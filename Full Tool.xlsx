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undra-my.sharepoint.com/personal/otto_carpentier_conundra_eu/Documents/Documents/Personal/fantasy/"/>
    </mc:Choice>
  </mc:AlternateContent>
  <xr:revisionPtr revIDLastSave="587" documentId="13_ncr:1_{3AD3FC75-6B64-C84E-808F-1CBC87D54E82}" xr6:coauthVersionLast="47" xr6:coauthVersionMax="47" xr10:uidLastSave="{002F746E-0D6B-4525-9248-8AABBC8C29CF}"/>
  <bookViews>
    <workbookView xWindow="-120" yWindow="-120" windowWidth="29040" windowHeight="15840" activeTab="5" xr2:uid="{00000000-000D-0000-FFFF-FFFF00000000}"/>
  </bookViews>
  <sheets>
    <sheet name="BBM2022" sheetId="18" r:id="rId1"/>
    <sheet name="Fantasypros" sheetId="20" r:id="rId2"/>
    <sheet name="Valorisation" sheetId="17" r:id="rId3"/>
    <sheet name="RNK cats" sheetId="4" r:id="rId4"/>
    <sheet name="My Team" sheetId="12" r:id="rId5"/>
    <sheet name="Schedule" sheetId="13" r:id="rId6"/>
  </sheets>
  <definedNames>
    <definedName name="_xlnm._FilterDatabase" localSheetId="3" hidden="1">'RNK cats'!$A$3:$N$159</definedName>
    <definedName name="_xlnm._FilterDatabase" localSheetId="2" hidden="1">Valorisation!$B$5:$AU$205</definedName>
  </definedNames>
  <calcPr calcId="191028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3" l="1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2" i="13"/>
  <c r="M8" i="4"/>
  <c r="N8" i="4"/>
  <c r="M5" i="4"/>
  <c r="N5" i="4"/>
  <c r="M7" i="4"/>
  <c r="N7" i="4"/>
  <c r="M9" i="4"/>
  <c r="N9" i="4"/>
  <c r="M21" i="4"/>
  <c r="N21" i="4"/>
  <c r="M6" i="4"/>
  <c r="N6" i="4"/>
  <c r="M31" i="4"/>
  <c r="N31" i="4"/>
  <c r="M14" i="4"/>
  <c r="N14" i="4"/>
  <c r="M13" i="4"/>
  <c r="N13" i="4"/>
  <c r="M32" i="4"/>
  <c r="N32" i="4"/>
  <c r="M22" i="4"/>
  <c r="N22" i="4"/>
  <c r="M58" i="4"/>
  <c r="N58" i="4"/>
  <c r="M19" i="4"/>
  <c r="N19" i="4"/>
  <c r="M11" i="4"/>
  <c r="N11" i="4"/>
  <c r="M25" i="4"/>
  <c r="N25" i="4"/>
  <c r="M38" i="4"/>
  <c r="N38" i="4"/>
  <c r="M81" i="4"/>
  <c r="N81" i="4"/>
  <c r="M23" i="4"/>
  <c r="N23" i="4"/>
  <c r="M43" i="4"/>
  <c r="N43" i="4"/>
  <c r="M64" i="4"/>
  <c r="N64" i="4"/>
  <c r="M24" i="4"/>
  <c r="N24" i="4"/>
  <c r="M61" i="4"/>
  <c r="N61" i="4"/>
  <c r="M59" i="4"/>
  <c r="N59" i="4"/>
  <c r="M10" i="4"/>
  <c r="N10" i="4"/>
  <c r="M49" i="4"/>
  <c r="N49" i="4"/>
  <c r="M85" i="4"/>
  <c r="N85" i="4"/>
  <c r="M18" i="4"/>
  <c r="N18" i="4"/>
  <c r="M45" i="4"/>
  <c r="N45" i="4"/>
  <c r="M88" i="4"/>
  <c r="N88" i="4"/>
  <c r="M27" i="4"/>
  <c r="N27" i="4"/>
  <c r="M17" i="4"/>
  <c r="N17" i="4"/>
  <c r="M26" i="4"/>
  <c r="N26" i="4"/>
  <c r="M48" i="4"/>
  <c r="N48" i="4"/>
  <c r="M55" i="4"/>
  <c r="N55" i="4"/>
  <c r="M50" i="4"/>
  <c r="N50" i="4"/>
  <c r="M41" i="4"/>
  <c r="N41" i="4"/>
  <c r="M71" i="4"/>
  <c r="N71" i="4"/>
  <c r="M33" i="4"/>
  <c r="N33" i="4"/>
  <c r="M126" i="4"/>
  <c r="N126" i="4"/>
  <c r="M56" i="4"/>
  <c r="N56" i="4"/>
  <c r="M47" i="4"/>
  <c r="N47" i="4"/>
  <c r="M73" i="4"/>
  <c r="N73" i="4"/>
  <c r="M15" i="4"/>
  <c r="N15" i="4"/>
  <c r="M37" i="4"/>
  <c r="N37" i="4"/>
  <c r="M12" i="4"/>
  <c r="N12" i="4"/>
  <c r="M53" i="4"/>
  <c r="N53" i="4"/>
  <c r="M44" i="4"/>
  <c r="N44" i="4"/>
  <c r="M52" i="4"/>
  <c r="N52" i="4"/>
  <c r="M54" i="4"/>
  <c r="N54" i="4"/>
  <c r="M74" i="4"/>
  <c r="N74" i="4"/>
  <c r="M105" i="4"/>
  <c r="N105" i="4"/>
  <c r="M30" i="4"/>
  <c r="N30" i="4"/>
  <c r="M116" i="4"/>
  <c r="N116" i="4"/>
  <c r="M16" i="4"/>
  <c r="N16" i="4"/>
  <c r="M91" i="4"/>
  <c r="N91" i="4"/>
  <c r="M62" i="4"/>
  <c r="N62" i="4"/>
  <c r="M100" i="4"/>
  <c r="N100" i="4"/>
  <c r="M114" i="4"/>
  <c r="N114" i="4"/>
  <c r="M20" i="4"/>
  <c r="N20" i="4"/>
  <c r="M92" i="4"/>
  <c r="N92" i="4"/>
  <c r="M35" i="4"/>
  <c r="N35" i="4"/>
  <c r="M83" i="4"/>
  <c r="N83" i="4"/>
  <c r="M39" i="4"/>
  <c r="N39" i="4"/>
  <c r="M63" i="4"/>
  <c r="N63" i="4"/>
  <c r="M28" i="4"/>
  <c r="N28" i="4"/>
  <c r="M29" i="4"/>
  <c r="N29" i="4"/>
  <c r="M97" i="4"/>
  <c r="N97" i="4"/>
  <c r="M89" i="4"/>
  <c r="N89" i="4"/>
  <c r="M42" i="4"/>
  <c r="N42" i="4"/>
  <c r="M110" i="4"/>
  <c r="N110" i="4"/>
  <c r="M87" i="4"/>
  <c r="N87" i="4"/>
  <c r="M95" i="4"/>
  <c r="N95" i="4"/>
  <c r="M113" i="4"/>
  <c r="N113" i="4"/>
  <c r="M156" i="4"/>
  <c r="N156" i="4"/>
  <c r="M145" i="4"/>
  <c r="N145" i="4"/>
  <c r="M72" i="4"/>
  <c r="N72" i="4"/>
  <c r="M78" i="4"/>
  <c r="N78" i="4"/>
  <c r="M94" i="4"/>
  <c r="N94" i="4"/>
  <c r="M130" i="4"/>
  <c r="N130" i="4"/>
  <c r="M131" i="4"/>
  <c r="N131" i="4"/>
  <c r="M69" i="4"/>
  <c r="N69" i="4"/>
  <c r="M67" i="4"/>
  <c r="N67" i="4"/>
  <c r="M36" i="4"/>
  <c r="N36" i="4"/>
  <c r="M68" i="4"/>
  <c r="N68" i="4"/>
  <c r="M60" i="4"/>
  <c r="N60" i="4"/>
  <c r="M107" i="4"/>
  <c r="N107" i="4"/>
  <c r="M75" i="4"/>
  <c r="N75" i="4"/>
  <c r="M77" i="4"/>
  <c r="N77" i="4"/>
  <c r="M84" i="4"/>
  <c r="N84" i="4"/>
  <c r="M46" i="4"/>
  <c r="N46" i="4"/>
  <c r="M34" i="4"/>
  <c r="N34" i="4"/>
  <c r="M57" i="4"/>
  <c r="N57" i="4"/>
  <c r="M118" i="4"/>
  <c r="N118" i="4"/>
  <c r="M86" i="4"/>
  <c r="N86" i="4"/>
  <c r="M115" i="4"/>
  <c r="N115" i="4"/>
  <c r="M111" i="4"/>
  <c r="N111" i="4"/>
  <c r="M102" i="4"/>
  <c r="N102" i="4"/>
  <c r="M133" i="4"/>
  <c r="N133" i="4"/>
  <c r="M96" i="4"/>
  <c r="N96" i="4"/>
  <c r="M120" i="4"/>
  <c r="N120" i="4"/>
  <c r="M66" i="4"/>
  <c r="N66" i="4"/>
  <c r="M40" i="4"/>
  <c r="N40" i="4"/>
  <c r="M119" i="4"/>
  <c r="N119" i="4"/>
  <c r="M125" i="4"/>
  <c r="N125" i="4"/>
  <c r="M80" i="4"/>
  <c r="N80" i="4"/>
  <c r="M79" i="4"/>
  <c r="N79" i="4"/>
  <c r="M103" i="4"/>
  <c r="N103" i="4"/>
  <c r="M76" i="4"/>
  <c r="N76" i="4"/>
  <c r="M70" i="4"/>
  <c r="N70" i="4"/>
  <c r="M139" i="4"/>
  <c r="N139" i="4"/>
  <c r="M51" i="4"/>
  <c r="N51" i="4"/>
  <c r="M106" i="4"/>
  <c r="N106" i="4"/>
  <c r="M138" i="4"/>
  <c r="N138" i="4"/>
  <c r="M135" i="4"/>
  <c r="N135" i="4"/>
  <c r="M65" i="4"/>
  <c r="N65" i="4"/>
  <c r="M150" i="4"/>
  <c r="N150" i="4"/>
  <c r="M101" i="4"/>
  <c r="N101" i="4"/>
  <c r="M132" i="4"/>
  <c r="N132" i="4"/>
  <c r="M82" i="4"/>
  <c r="N82" i="4"/>
  <c r="M112" i="4"/>
  <c r="N112" i="4"/>
  <c r="M159" i="4"/>
  <c r="N159" i="4"/>
  <c r="M90" i="4"/>
  <c r="N90" i="4"/>
  <c r="M136" i="4"/>
  <c r="N136" i="4"/>
  <c r="M122" i="4"/>
  <c r="N122" i="4"/>
  <c r="M99" i="4"/>
  <c r="N99" i="4"/>
  <c r="M146" i="4"/>
  <c r="N146" i="4"/>
  <c r="M129" i="4"/>
  <c r="N129" i="4"/>
  <c r="M143" i="4"/>
  <c r="N143" i="4"/>
  <c r="M117" i="4"/>
  <c r="N117" i="4"/>
  <c r="M134" i="4"/>
  <c r="N134" i="4"/>
  <c r="M108" i="4"/>
  <c r="N108" i="4"/>
  <c r="M142" i="4"/>
  <c r="N142" i="4"/>
  <c r="M121" i="4"/>
  <c r="N121" i="4"/>
  <c r="M109" i="4"/>
  <c r="N109" i="4"/>
  <c r="M144" i="4"/>
  <c r="N144" i="4"/>
  <c r="M128" i="4"/>
  <c r="N128" i="4"/>
  <c r="M124" i="4"/>
  <c r="N124" i="4"/>
  <c r="M98" i="4"/>
  <c r="N98" i="4"/>
  <c r="M93" i="4"/>
  <c r="N93" i="4"/>
  <c r="M157" i="4"/>
  <c r="N157" i="4"/>
  <c r="M104" i="4"/>
  <c r="N104" i="4"/>
  <c r="M158" i="4"/>
  <c r="N158" i="4"/>
  <c r="M149" i="4"/>
  <c r="N149" i="4"/>
  <c r="M155" i="4"/>
  <c r="N155" i="4"/>
  <c r="M147" i="4"/>
  <c r="N147" i="4"/>
  <c r="M140" i="4"/>
  <c r="N140" i="4"/>
  <c r="M141" i="4"/>
  <c r="N141" i="4"/>
  <c r="M151" i="4"/>
  <c r="N151" i="4"/>
  <c r="M127" i="4"/>
  <c r="N127" i="4"/>
  <c r="M153" i="4"/>
  <c r="N153" i="4"/>
  <c r="M148" i="4"/>
  <c r="N148" i="4"/>
  <c r="M154" i="4"/>
  <c r="N154" i="4"/>
  <c r="M152" i="4"/>
  <c r="N152" i="4"/>
  <c r="M137" i="4"/>
  <c r="N137" i="4"/>
  <c r="M123" i="4"/>
  <c r="N123" i="4"/>
  <c r="N4" i="4"/>
  <c r="M4" i="4"/>
  <c r="B8" i="4"/>
  <c r="B5" i="4"/>
  <c r="B7" i="4"/>
  <c r="B9" i="4"/>
  <c r="B21" i="4"/>
  <c r="B6" i="4"/>
  <c r="B31" i="4"/>
  <c r="B14" i="4"/>
  <c r="B13" i="4"/>
  <c r="B32" i="4"/>
  <c r="B22" i="4"/>
  <c r="B58" i="4"/>
  <c r="B19" i="4"/>
  <c r="B11" i="4"/>
  <c r="B25" i="4"/>
  <c r="B38" i="4"/>
  <c r="B81" i="4"/>
  <c r="B23" i="4"/>
  <c r="B43" i="4"/>
  <c r="B64" i="4"/>
  <c r="B24" i="4"/>
  <c r="B61" i="4"/>
  <c r="B59" i="4"/>
  <c r="B10" i="4"/>
  <c r="B49" i="4"/>
  <c r="B85" i="4"/>
  <c r="B18" i="4"/>
  <c r="B45" i="4"/>
  <c r="B88" i="4"/>
  <c r="B27" i="4"/>
  <c r="B17" i="4"/>
  <c r="B26" i="4"/>
  <c r="B48" i="4"/>
  <c r="B55" i="4"/>
  <c r="B50" i="4"/>
  <c r="B41" i="4"/>
  <c r="B71" i="4"/>
  <c r="B33" i="4"/>
  <c r="B126" i="4"/>
  <c r="B56" i="4"/>
  <c r="B47" i="4"/>
  <c r="B73" i="4"/>
  <c r="B15" i="4"/>
  <c r="B37" i="4"/>
  <c r="B12" i="4"/>
  <c r="B53" i="4"/>
  <c r="B44" i="4"/>
  <c r="B52" i="4"/>
  <c r="B54" i="4"/>
  <c r="B74" i="4"/>
  <c r="B105" i="4"/>
  <c r="B30" i="4"/>
  <c r="B116" i="4"/>
  <c r="B16" i="4"/>
  <c r="B91" i="4"/>
  <c r="B62" i="4"/>
  <c r="B100" i="4"/>
  <c r="B114" i="4"/>
  <c r="B20" i="4"/>
  <c r="B92" i="4"/>
  <c r="B35" i="4"/>
  <c r="B83" i="4"/>
  <c r="B39" i="4"/>
  <c r="B63" i="4"/>
  <c r="B28" i="4"/>
  <c r="B29" i="4"/>
  <c r="B97" i="4"/>
  <c r="B89" i="4"/>
  <c r="B42" i="4"/>
  <c r="B110" i="4"/>
  <c r="B87" i="4"/>
  <c r="B95" i="4"/>
  <c r="B113" i="4"/>
  <c r="B156" i="4"/>
  <c r="B145" i="4"/>
  <c r="B72" i="4"/>
  <c r="B78" i="4"/>
  <c r="B94" i="4"/>
  <c r="B130" i="4"/>
  <c r="B131" i="4"/>
  <c r="B69" i="4"/>
  <c r="B67" i="4"/>
  <c r="B36" i="4"/>
  <c r="B68" i="4"/>
  <c r="B60" i="4"/>
  <c r="B107" i="4"/>
  <c r="B75" i="4"/>
  <c r="B77" i="4"/>
  <c r="B84" i="4"/>
  <c r="B46" i="4"/>
  <c r="B34" i="4"/>
  <c r="B57" i="4"/>
  <c r="B118" i="4"/>
  <c r="B86" i="4"/>
  <c r="B115" i="4"/>
  <c r="B111" i="4"/>
  <c r="B102" i="4"/>
  <c r="B133" i="4"/>
  <c r="B96" i="4"/>
  <c r="B120" i="4"/>
  <c r="B66" i="4"/>
  <c r="B40" i="4"/>
  <c r="B119" i="4"/>
  <c r="B125" i="4"/>
  <c r="B80" i="4"/>
  <c r="B79" i="4"/>
  <c r="B103" i="4"/>
  <c r="B76" i="4"/>
  <c r="B70" i="4"/>
  <c r="B139" i="4"/>
  <c r="B51" i="4"/>
  <c r="B106" i="4"/>
  <c r="B138" i="4"/>
  <c r="B135" i="4"/>
  <c r="B65" i="4"/>
  <c r="B150" i="4"/>
  <c r="B101" i="4"/>
  <c r="B132" i="4"/>
  <c r="B82" i="4"/>
  <c r="B112" i="4"/>
  <c r="B159" i="4"/>
  <c r="B90" i="4"/>
  <c r="B136" i="4"/>
  <c r="B122" i="4"/>
  <c r="B99" i="4"/>
  <c r="B146" i="4"/>
  <c r="B129" i="4"/>
  <c r="B143" i="4"/>
  <c r="B117" i="4"/>
  <c r="B134" i="4"/>
  <c r="B108" i="4"/>
  <c r="B142" i="4"/>
  <c r="B121" i="4"/>
  <c r="B109" i="4"/>
  <c r="B144" i="4"/>
  <c r="B128" i="4"/>
  <c r="B124" i="4"/>
  <c r="B98" i="4"/>
  <c r="B93" i="4"/>
  <c r="B157" i="4"/>
  <c r="B104" i="4"/>
  <c r="B158" i="4"/>
  <c r="B149" i="4"/>
  <c r="B155" i="4"/>
  <c r="B147" i="4"/>
  <c r="B140" i="4"/>
  <c r="B141" i="4"/>
  <c r="B151" i="4"/>
  <c r="B127" i="4"/>
  <c r="B153" i="4"/>
  <c r="B148" i="4"/>
  <c r="B154" i="4"/>
  <c r="B152" i="4"/>
  <c r="B137" i="4"/>
  <c r="B123" i="4"/>
  <c r="B4" i="4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R62" i="17"/>
  <c r="AR63" i="17"/>
  <c r="AR64" i="17"/>
  <c r="AR65" i="17"/>
  <c r="AR66" i="17"/>
  <c r="AR67" i="17"/>
  <c r="AR68" i="17"/>
  <c r="AR69" i="17"/>
  <c r="AR70" i="17"/>
  <c r="AR71" i="17"/>
  <c r="AR72" i="17"/>
  <c r="AR73" i="17"/>
  <c r="AR74" i="17"/>
  <c r="AR75" i="17"/>
  <c r="AR76" i="17"/>
  <c r="AR77" i="17"/>
  <c r="AR78" i="17"/>
  <c r="AR79" i="17"/>
  <c r="AR80" i="17"/>
  <c r="AR81" i="17"/>
  <c r="AR82" i="17"/>
  <c r="AR83" i="17"/>
  <c r="AR84" i="17"/>
  <c r="AR85" i="17"/>
  <c r="AR86" i="17"/>
  <c r="AR87" i="17"/>
  <c r="AR88" i="17"/>
  <c r="AR89" i="17"/>
  <c r="AR90" i="17"/>
  <c r="AR91" i="17"/>
  <c r="AR92" i="17"/>
  <c r="AR93" i="17"/>
  <c r="AR94" i="17"/>
  <c r="AR95" i="17"/>
  <c r="AR96" i="17"/>
  <c r="AR97" i="17"/>
  <c r="AR98" i="17"/>
  <c r="AR99" i="17"/>
  <c r="AR100" i="17"/>
  <c r="AR101" i="17"/>
  <c r="AR102" i="17"/>
  <c r="AR103" i="17"/>
  <c r="AR104" i="17"/>
  <c r="AR105" i="17"/>
  <c r="AR106" i="17"/>
  <c r="AR107" i="17"/>
  <c r="AR108" i="17"/>
  <c r="AR109" i="17"/>
  <c r="AR110" i="17"/>
  <c r="AR111" i="17"/>
  <c r="AR112" i="17"/>
  <c r="AR113" i="17"/>
  <c r="AR114" i="17"/>
  <c r="AR115" i="17"/>
  <c r="AR116" i="17"/>
  <c r="AR117" i="17"/>
  <c r="AR118" i="17"/>
  <c r="AR119" i="17"/>
  <c r="AR120" i="17"/>
  <c r="AR121" i="17"/>
  <c r="AR122" i="17"/>
  <c r="AR123" i="17"/>
  <c r="AR124" i="17"/>
  <c r="AR125" i="17"/>
  <c r="AR126" i="17"/>
  <c r="AR127" i="17"/>
  <c r="AR128" i="17"/>
  <c r="AR129" i="17"/>
  <c r="AR130" i="17"/>
  <c r="AR131" i="17"/>
  <c r="AR132" i="17"/>
  <c r="AR133" i="17"/>
  <c r="AR134" i="17"/>
  <c r="AR135" i="17"/>
  <c r="AR136" i="17"/>
  <c r="AR137" i="17"/>
  <c r="AR138" i="17"/>
  <c r="AR139" i="17"/>
  <c r="AR140" i="17"/>
  <c r="AR141" i="17"/>
  <c r="AR142" i="17"/>
  <c r="AR143" i="17"/>
  <c r="AR144" i="17"/>
  <c r="AR145" i="17"/>
  <c r="AR146" i="17"/>
  <c r="AR147" i="17"/>
  <c r="AR148" i="17"/>
  <c r="AR149" i="17"/>
  <c r="AR150" i="17"/>
  <c r="AR151" i="17"/>
  <c r="AR152" i="17"/>
  <c r="AR153" i="17"/>
  <c r="AR154" i="17"/>
  <c r="AR155" i="17"/>
  <c r="AR156" i="17"/>
  <c r="AR157" i="17"/>
  <c r="AR158" i="17"/>
  <c r="AR159" i="17"/>
  <c r="AR160" i="17"/>
  <c r="AR161" i="17"/>
  <c r="AR162" i="17"/>
  <c r="AR163" i="17"/>
  <c r="AR164" i="17"/>
  <c r="AR165" i="17"/>
  <c r="AR166" i="17"/>
  <c r="AR167" i="17"/>
  <c r="AR168" i="17"/>
  <c r="AR169" i="17"/>
  <c r="AR170" i="17"/>
  <c r="AR171" i="17"/>
  <c r="AR172" i="17"/>
  <c r="AR173" i="17"/>
  <c r="AR174" i="17"/>
  <c r="AR175" i="17"/>
  <c r="AR176" i="17"/>
  <c r="AR177" i="17"/>
  <c r="AR178" i="17"/>
  <c r="AR179" i="17"/>
  <c r="AR180" i="17"/>
  <c r="AR181" i="17"/>
  <c r="AR182" i="17"/>
  <c r="AR183" i="17"/>
  <c r="AR184" i="17"/>
  <c r="AR185" i="17"/>
  <c r="AR186" i="17"/>
  <c r="AR187" i="17"/>
  <c r="AR188" i="17"/>
  <c r="AR189" i="17"/>
  <c r="AR190" i="17"/>
  <c r="AR191" i="17"/>
  <c r="AR192" i="17"/>
  <c r="AR193" i="17"/>
  <c r="AR194" i="17"/>
  <c r="AR195" i="17"/>
  <c r="AR196" i="17"/>
  <c r="AR197" i="17"/>
  <c r="AR198" i="17"/>
  <c r="AR199" i="17"/>
  <c r="AR200" i="17"/>
  <c r="AR201" i="17"/>
  <c r="AR202" i="17"/>
  <c r="AR203" i="17"/>
  <c r="AR204" i="17"/>
  <c r="AR205" i="17"/>
  <c r="AR206" i="17"/>
  <c r="AR207" i="17"/>
  <c r="AR208" i="17"/>
  <c r="AR209" i="17"/>
  <c r="AR210" i="17"/>
  <c r="AR211" i="17"/>
  <c r="AR212" i="17"/>
  <c r="AR213" i="17"/>
  <c r="AR214" i="17"/>
  <c r="AR215" i="17"/>
  <c r="AR216" i="17"/>
  <c r="AR217" i="17"/>
  <c r="AR218" i="17"/>
  <c r="AR219" i="17"/>
  <c r="AR220" i="17"/>
  <c r="AR221" i="17"/>
  <c r="AR222" i="17"/>
  <c r="AR223" i="17"/>
  <c r="AR224" i="17"/>
  <c r="AQ7" i="17"/>
  <c r="AQ8" i="17"/>
  <c r="AQ9" i="17"/>
  <c r="AQ10" i="17"/>
  <c r="AQ11" i="17"/>
  <c r="AQ12" i="17"/>
  <c r="AQ13" i="17"/>
  <c r="AQ14" i="17"/>
  <c r="AQ15" i="17"/>
  <c r="AQ16" i="17"/>
  <c r="AQ17" i="17"/>
  <c r="AQ18" i="17"/>
  <c r="AQ19" i="17"/>
  <c r="AQ20" i="17"/>
  <c r="AQ21" i="17"/>
  <c r="AQ22" i="17"/>
  <c r="AQ23" i="17"/>
  <c r="AQ24" i="17"/>
  <c r="AQ25" i="17"/>
  <c r="AQ26" i="17"/>
  <c r="AQ27" i="17"/>
  <c r="AQ28" i="17"/>
  <c r="AQ29" i="17"/>
  <c r="AQ30" i="17"/>
  <c r="AQ31" i="17"/>
  <c r="AQ32" i="17"/>
  <c r="AQ33" i="17"/>
  <c r="AQ34" i="17"/>
  <c r="AQ35" i="17"/>
  <c r="AQ36" i="17"/>
  <c r="AQ37" i="17"/>
  <c r="AQ38" i="17"/>
  <c r="AQ39" i="17"/>
  <c r="AQ40" i="17"/>
  <c r="AQ41" i="17"/>
  <c r="AQ42" i="17"/>
  <c r="AQ43" i="17"/>
  <c r="AQ44" i="17"/>
  <c r="AQ45" i="17"/>
  <c r="AQ46" i="17"/>
  <c r="AQ47" i="17"/>
  <c r="AQ48" i="17"/>
  <c r="AQ49" i="17"/>
  <c r="AQ50" i="17"/>
  <c r="AQ51" i="17"/>
  <c r="AQ52" i="17"/>
  <c r="AQ53" i="17"/>
  <c r="AQ54" i="17"/>
  <c r="AQ55" i="17"/>
  <c r="AQ56" i="17"/>
  <c r="AQ57" i="17"/>
  <c r="AQ58" i="17"/>
  <c r="AQ59" i="17"/>
  <c r="AQ60" i="17"/>
  <c r="AQ61" i="17"/>
  <c r="AQ62" i="17"/>
  <c r="AQ63" i="17"/>
  <c r="AQ64" i="17"/>
  <c r="AQ65" i="17"/>
  <c r="AQ66" i="17"/>
  <c r="AQ67" i="17"/>
  <c r="AQ68" i="17"/>
  <c r="AQ69" i="17"/>
  <c r="AQ70" i="17"/>
  <c r="AQ71" i="17"/>
  <c r="AQ72" i="17"/>
  <c r="AQ73" i="17"/>
  <c r="AQ74" i="17"/>
  <c r="AQ75" i="17"/>
  <c r="AQ76" i="17"/>
  <c r="AQ77" i="17"/>
  <c r="AQ78" i="17"/>
  <c r="AQ79" i="17"/>
  <c r="AQ80" i="17"/>
  <c r="AQ81" i="17"/>
  <c r="AQ82" i="17"/>
  <c r="AQ83" i="17"/>
  <c r="AQ84" i="17"/>
  <c r="AQ85" i="17"/>
  <c r="AQ86" i="17"/>
  <c r="AQ87" i="17"/>
  <c r="AQ88" i="17"/>
  <c r="AQ89" i="17"/>
  <c r="AQ90" i="17"/>
  <c r="AQ91" i="17"/>
  <c r="AQ92" i="17"/>
  <c r="AQ93" i="17"/>
  <c r="AQ94" i="17"/>
  <c r="AQ95" i="17"/>
  <c r="AQ96" i="17"/>
  <c r="AQ97" i="17"/>
  <c r="AQ98" i="17"/>
  <c r="AQ99" i="17"/>
  <c r="AQ100" i="17"/>
  <c r="AQ101" i="17"/>
  <c r="AQ102" i="17"/>
  <c r="AQ103" i="17"/>
  <c r="AQ104" i="17"/>
  <c r="AQ105" i="17"/>
  <c r="AQ106" i="17"/>
  <c r="AQ107" i="17"/>
  <c r="AQ108" i="17"/>
  <c r="AQ109" i="17"/>
  <c r="AQ110" i="17"/>
  <c r="AQ111" i="17"/>
  <c r="AQ112" i="17"/>
  <c r="AQ113" i="17"/>
  <c r="AQ114" i="17"/>
  <c r="AQ115" i="17"/>
  <c r="AQ116" i="17"/>
  <c r="AQ117" i="17"/>
  <c r="AQ118" i="17"/>
  <c r="AQ119" i="17"/>
  <c r="AQ120" i="17"/>
  <c r="AQ121" i="17"/>
  <c r="AQ122" i="17"/>
  <c r="AQ123" i="17"/>
  <c r="AQ124" i="17"/>
  <c r="AQ125" i="17"/>
  <c r="AQ126" i="17"/>
  <c r="AQ127" i="17"/>
  <c r="AQ128" i="17"/>
  <c r="AQ129" i="17"/>
  <c r="AQ130" i="17"/>
  <c r="AQ131" i="17"/>
  <c r="AQ132" i="17"/>
  <c r="AQ133" i="17"/>
  <c r="AQ134" i="17"/>
  <c r="AQ135" i="17"/>
  <c r="AQ136" i="17"/>
  <c r="AQ137" i="17"/>
  <c r="AQ138" i="17"/>
  <c r="AQ139" i="17"/>
  <c r="AQ140" i="17"/>
  <c r="AQ141" i="17"/>
  <c r="AQ142" i="17"/>
  <c r="AQ143" i="17"/>
  <c r="AQ144" i="17"/>
  <c r="AQ145" i="17"/>
  <c r="AQ146" i="17"/>
  <c r="AQ147" i="17"/>
  <c r="AQ148" i="17"/>
  <c r="AQ149" i="17"/>
  <c r="AQ150" i="17"/>
  <c r="AQ151" i="17"/>
  <c r="AQ152" i="17"/>
  <c r="AQ153" i="17"/>
  <c r="AQ154" i="17"/>
  <c r="AQ155" i="17"/>
  <c r="AQ156" i="17"/>
  <c r="AQ157" i="17"/>
  <c r="AQ158" i="17"/>
  <c r="AQ159" i="17"/>
  <c r="AQ160" i="17"/>
  <c r="AQ161" i="17"/>
  <c r="AQ162" i="17"/>
  <c r="AQ163" i="17"/>
  <c r="AQ164" i="17"/>
  <c r="AQ165" i="17"/>
  <c r="AQ166" i="17"/>
  <c r="AQ167" i="17"/>
  <c r="AQ168" i="17"/>
  <c r="AQ169" i="17"/>
  <c r="AQ170" i="17"/>
  <c r="AQ171" i="17"/>
  <c r="AQ172" i="17"/>
  <c r="AQ173" i="17"/>
  <c r="AQ174" i="17"/>
  <c r="AQ175" i="17"/>
  <c r="AQ176" i="17"/>
  <c r="AQ177" i="17"/>
  <c r="AQ178" i="17"/>
  <c r="AQ179" i="17"/>
  <c r="AQ180" i="17"/>
  <c r="AQ181" i="17"/>
  <c r="AQ182" i="17"/>
  <c r="AQ183" i="17"/>
  <c r="AQ184" i="17"/>
  <c r="AQ185" i="17"/>
  <c r="AQ186" i="17"/>
  <c r="AQ187" i="17"/>
  <c r="AQ188" i="17"/>
  <c r="AQ189" i="17"/>
  <c r="AQ190" i="17"/>
  <c r="AQ191" i="17"/>
  <c r="AQ192" i="17"/>
  <c r="AQ193" i="17"/>
  <c r="AQ194" i="17"/>
  <c r="AQ195" i="17"/>
  <c r="AQ196" i="17"/>
  <c r="AQ197" i="17"/>
  <c r="AQ198" i="17"/>
  <c r="AQ199" i="17"/>
  <c r="AQ200" i="17"/>
  <c r="AQ201" i="17"/>
  <c r="AQ202" i="17"/>
  <c r="AQ203" i="17"/>
  <c r="AQ204" i="17"/>
  <c r="AQ205" i="17"/>
  <c r="AQ206" i="17"/>
  <c r="AQ207" i="17"/>
  <c r="AQ208" i="17"/>
  <c r="AQ209" i="17"/>
  <c r="AQ210" i="17"/>
  <c r="AQ211" i="17"/>
  <c r="AQ212" i="17"/>
  <c r="AQ213" i="17"/>
  <c r="AQ214" i="17"/>
  <c r="AQ215" i="17"/>
  <c r="AQ216" i="17"/>
  <c r="AQ217" i="17"/>
  <c r="AQ218" i="17"/>
  <c r="AQ219" i="17"/>
  <c r="AQ220" i="17"/>
  <c r="AQ221" i="17"/>
  <c r="AQ222" i="17"/>
  <c r="AQ223" i="17"/>
  <c r="AQ224" i="17"/>
  <c r="AR6" i="17"/>
  <c r="AQ6" i="17"/>
  <c r="E2" i="17"/>
  <c r="D2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E2" i="12"/>
  <c r="E1" i="12"/>
  <c r="F1" i="12"/>
  <c r="G1" i="12"/>
  <c r="H1" i="12"/>
  <c r="I1" i="12"/>
  <c r="J1" i="12"/>
  <c r="K1" i="12"/>
  <c r="L1" i="12"/>
  <c r="M1" i="12"/>
  <c r="N1" i="12"/>
  <c r="O1" i="12"/>
  <c r="P1" i="12"/>
  <c r="Q1" i="12"/>
  <c r="R1" i="12"/>
  <c r="S1" i="12"/>
  <c r="T1" i="12"/>
  <c r="U1" i="12"/>
  <c r="V1" i="12"/>
  <c r="AA38" i="12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6" i="17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J198" i="17"/>
  <c r="J187" i="17"/>
  <c r="J182" i="17"/>
  <c r="J177" i="17"/>
  <c r="J163" i="17"/>
  <c r="J122" i="17"/>
  <c r="J105" i="17"/>
  <c r="J75" i="17"/>
  <c r="J67" i="17"/>
  <c r="J49" i="17"/>
  <c r="J48" i="17"/>
  <c r="J43" i="17"/>
  <c r="J32" i="17"/>
  <c r="J29" i="17"/>
  <c r="AF20" i="12"/>
  <c r="AT3" i="17"/>
  <c r="AS3" i="17"/>
  <c r="AK4" i="17"/>
  <c r="AL4" i="17"/>
  <c r="AM4" i="17"/>
  <c r="AN4" i="17"/>
  <c r="AM3" i="17"/>
  <c r="AN3" i="17"/>
  <c r="AL3" i="17"/>
  <c r="AK3" i="17"/>
  <c r="AJ4" i="17"/>
  <c r="AJ3" i="17"/>
  <c r="AI4" i="17"/>
  <c r="AI3" i="17"/>
  <c r="AT7" i="17" l="1"/>
  <c r="AV7" i="17" s="1"/>
  <c r="AT19" i="17"/>
  <c r="AV19" i="17" s="1"/>
  <c r="AT31" i="17"/>
  <c r="AV31" i="17" s="1"/>
  <c r="AT43" i="17"/>
  <c r="AV43" i="17" s="1"/>
  <c r="AT55" i="17"/>
  <c r="AV55" i="17" s="1"/>
  <c r="AT67" i="17"/>
  <c r="AV67" i="17" s="1"/>
  <c r="AT79" i="17"/>
  <c r="AV79" i="17" s="1"/>
  <c r="AT91" i="17"/>
  <c r="AV91" i="17" s="1"/>
  <c r="AT103" i="17"/>
  <c r="AV103" i="17" s="1"/>
  <c r="AT115" i="17"/>
  <c r="AV115" i="17" s="1"/>
  <c r="AT127" i="17"/>
  <c r="AV127" i="17" s="1"/>
  <c r="AT139" i="17"/>
  <c r="AV139" i="17" s="1"/>
  <c r="AT151" i="17"/>
  <c r="AV151" i="17" s="1"/>
  <c r="AT163" i="17"/>
  <c r="AV163" i="17" s="1"/>
  <c r="AT175" i="17"/>
  <c r="AV175" i="17" s="1"/>
  <c r="AT187" i="17"/>
  <c r="AV187" i="17" s="1"/>
  <c r="AT199" i="17"/>
  <c r="AV199" i="17" s="1"/>
  <c r="AT211" i="17"/>
  <c r="AV211" i="17" s="1"/>
  <c r="AT223" i="17"/>
  <c r="AV223" i="17" s="1"/>
  <c r="AT138" i="17"/>
  <c r="AV138" i="17" s="1"/>
  <c r="AT162" i="17"/>
  <c r="AV162" i="17" s="1"/>
  <c r="AT222" i="17"/>
  <c r="AV222" i="17" s="1"/>
  <c r="AT8" i="17"/>
  <c r="AV8" i="17" s="1"/>
  <c r="AT20" i="17"/>
  <c r="AV20" i="17" s="1"/>
  <c r="AT32" i="17"/>
  <c r="AV32" i="17" s="1"/>
  <c r="AT44" i="17"/>
  <c r="AV44" i="17" s="1"/>
  <c r="AT56" i="17"/>
  <c r="AV56" i="17" s="1"/>
  <c r="AT68" i="17"/>
  <c r="AV68" i="17" s="1"/>
  <c r="AT80" i="17"/>
  <c r="AV80" i="17" s="1"/>
  <c r="AT92" i="17"/>
  <c r="AV92" i="17" s="1"/>
  <c r="AT104" i="17"/>
  <c r="AV104" i="17" s="1"/>
  <c r="AT116" i="17"/>
  <c r="AV116" i="17" s="1"/>
  <c r="AT128" i="17"/>
  <c r="AV128" i="17" s="1"/>
  <c r="AT140" i="17"/>
  <c r="AV140" i="17" s="1"/>
  <c r="AT152" i="17"/>
  <c r="AV152" i="17" s="1"/>
  <c r="AT164" i="17"/>
  <c r="AV164" i="17" s="1"/>
  <c r="AT176" i="17"/>
  <c r="AV176" i="17" s="1"/>
  <c r="AT188" i="17"/>
  <c r="AV188" i="17" s="1"/>
  <c r="AT200" i="17"/>
  <c r="AV200" i="17" s="1"/>
  <c r="AT212" i="17"/>
  <c r="AV212" i="17" s="1"/>
  <c r="AT224" i="17"/>
  <c r="AV224" i="17" s="1"/>
  <c r="AT114" i="17"/>
  <c r="AV114" i="17" s="1"/>
  <c r="AT150" i="17"/>
  <c r="AV150" i="17" s="1"/>
  <c r="AT9" i="17"/>
  <c r="AV9" i="17" s="1"/>
  <c r="AT21" i="17"/>
  <c r="AV21" i="17" s="1"/>
  <c r="AT33" i="17"/>
  <c r="AV33" i="17" s="1"/>
  <c r="AT45" i="17"/>
  <c r="AV45" i="17" s="1"/>
  <c r="AT57" i="17"/>
  <c r="AV57" i="17" s="1"/>
  <c r="AT69" i="17"/>
  <c r="AV69" i="17" s="1"/>
  <c r="AT81" i="17"/>
  <c r="AV81" i="17" s="1"/>
  <c r="AT93" i="17"/>
  <c r="AV93" i="17" s="1"/>
  <c r="AT105" i="17"/>
  <c r="AV105" i="17" s="1"/>
  <c r="AT117" i="17"/>
  <c r="AV117" i="17" s="1"/>
  <c r="AT129" i="17"/>
  <c r="AV129" i="17" s="1"/>
  <c r="AT141" i="17"/>
  <c r="AV141" i="17" s="1"/>
  <c r="AT153" i="17"/>
  <c r="AV153" i="17" s="1"/>
  <c r="AT165" i="17"/>
  <c r="AV165" i="17" s="1"/>
  <c r="AT177" i="17"/>
  <c r="AV177" i="17" s="1"/>
  <c r="AT189" i="17"/>
  <c r="AV189" i="17" s="1"/>
  <c r="AT201" i="17"/>
  <c r="AV201" i="17" s="1"/>
  <c r="AT213" i="17"/>
  <c r="AV213" i="17" s="1"/>
  <c r="AT78" i="17"/>
  <c r="AV78" i="17" s="1"/>
  <c r="AT210" i="17"/>
  <c r="AV210" i="17" s="1"/>
  <c r="AT10" i="17"/>
  <c r="AV10" i="17" s="1"/>
  <c r="AT22" i="17"/>
  <c r="AV22" i="17" s="1"/>
  <c r="AT34" i="17"/>
  <c r="AV34" i="17" s="1"/>
  <c r="AT46" i="17"/>
  <c r="AV46" i="17" s="1"/>
  <c r="AT58" i="17"/>
  <c r="AV58" i="17" s="1"/>
  <c r="AT70" i="17"/>
  <c r="AV70" i="17" s="1"/>
  <c r="AT82" i="17"/>
  <c r="AV82" i="17" s="1"/>
  <c r="AT94" i="17"/>
  <c r="AV94" i="17" s="1"/>
  <c r="AT106" i="17"/>
  <c r="AV106" i="17" s="1"/>
  <c r="AT118" i="17"/>
  <c r="AV118" i="17" s="1"/>
  <c r="AT130" i="17"/>
  <c r="AV130" i="17" s="1"/>
  <c r="AT142" i="17"/>
  <c r="AV142" i="17" s="1"/>
  <c r="AT154" i="17"/>
  <c r="AV154" i="17" s="1"/>
  <c r="AT166" i="17"/>
  <c r="AV166" i="17" s="1"/>
  <c r="AT178" i="17"/>
  <c r="AV178" i="17" s="1"/>
  <c r="AT190" i="17"/>
  <c r="AV190" i="17" s="1"/>
  <c r="AT202" i="17"/>
  <c r="AV202" i="17" s="1"/>
  <c r="AT214" i="17"/>
  <c r="AV214" i="17" s="1"/>
  <c r="AT54" i="17"/>
  <c r="AV54" i="17" s="1"/>
  <c r="AT11" i="17"/>
  <c r="AV11" i="17" s="1"/>
  <c r="AT23" i="17"/>
  <c r="AV23" i="17" s="1"/>
  <c r="AT35" i="17"/>
  <c r="AV35" i="17" s="1"/>
  <c r="AT47" i="17"/>
  <c r="AV47" i="17" s="1"/>
  <c r="AT59" i="17"/>
  <c r="AV59" i="17" s="1"/>
  <c r="AT71" i="17"/>
  <c r="AV71" i="17" s="1"/>
  <c r="AT83" i="17"/>
  <c r="AV83" i="17" s="1"/>
  <c r="AT95" i="17"/>
  <c r="AV95" i="17" s="1"/>
  <c r="AT107" i="17"/>
  <c r="AV107" i="17" s="1"/>
  <c r="AT119" i="17"/>
  <c r="AV119" i="17" s="1"/>
  <c r="AT131" i="17"/>
  <c r="AV131" i="17" s="1"/>
  <c r="AT143" i="17"/>
  <c r="AV143" i="17" s="1"/>
  <c r="AT155" i="17"/>
  <c r="AV155" i="17" s="1"/>
  <c r="AT167" i="17"/>
  <c r="AV167" i="17" s="1"/>
  <c r="AT179" i="17"/>
  <c r="AV179" i="17" s="1"/>
  <c r="AT191" i="17"/>
  <c r="AV191" i="17" s="1"/>
  <c r="AT203" i="17"/>
  <c r="AV203" i="17" s="1"/>
  <c r="AT215" i="17"/>
  <c r="AV215" i="17" s="1"/>
  <c r="AT126" i="17"/>
  <c r="AV126" i="17" s="1"/>
  <c r="AT12" i="17"/>
  <c r="AV12" i="17" s="1"/>
  <c r="AT24" i="17"/>
  <c r="AV24" i="17" s="1"/>
  <c r="AT36" i="17"/>
  <c r="AV36" i="17" s="1"/>
  <c r="AT48" i="17"/>
  <c r="AV48" i="17" s="1"/>
  <c r="AT60" i="17"/>
  <c r="AV60" i="17" s="1"/>
  <c r="AT72" i="17"/>
  <c r="AV72" i="17" s="1"/>
  <c r="AT84" i="17"/>
  <c r="AV84" i="17" s="1"/>
  <c r="AT96" i="17"/>
  <c r="AV96" i="17" s="1"/>
  <c r="AT108" i="17"/>
  <c r="AV108" i="17" s="1"/>
  <c r="AT120" i="17"/>
  <c r="AV120" i="17" s="1"/>
  <c r="AT132" i="17"/>
  <c r="AV132" i="17" s="1"/>
  <c r="AT144" i="17"/>
  <c r="AV144" i="17" s="1"/>
  <c r="AT156" i="17"/>
  <c r="AV156" i="17" s="1"/>
  <c r="AT168" i="17"/>
  <c r="AV168" i="17" s="1"/>
  <c r="AT180" i="17"/>
  <c r="AV180" i="17" s="1"/>
  <c r="AT192" i="17"/>
  <c r="AV192" i="17" s="1"/>
  <c r="AT204" i="17"/>
  <c r="AV204" i="17" s="1"/>
  <c r="AT216" i="17"/>
  <c r="AV216" i="17" s="1"/>
  <c r="AT90" i="17"/>
  <c r="AV90" i="17" s="1"/>
  <c r="AT198" i="17"/>
  <c r="AV198" i="17" s="1"/>
  <c r="AT13" i="17"/>
  <c r="AV13" i="17" s="1"/>
  <c r="AT25" i="17"/>
  <c r="AV25" i="17" s="1"/>
  <c r="AT37" i="17"/>
  <c r="AV37" i="17" s="1"/>
  <c r="AT49" i="17"/>
  <c r="AV49" i="17" s="1"/>
  <c r="AT61" i="17"/>
  <c r="AV61" i="17" s="1"/>
  <c r="AT73" i="17"/>
  <c r="AV73" i="17" s="1"/>
  <c r="AT85" i="17"/>
  <c r="AV85" i="17" s="1"/>
  <c r="AT97" i="17"/>
  <c r="AV97" i="17" s="1"/>
  <c r="AT109" i="17"/>
  <c r="AV109" i="17" s="1"/>
  <c r="AT121" i="17"/>
  <c r="AV121" i="17" s="1"/>
  <c r="AT133" i="17"/>
  <c r="AV133" i="17" s="1"/>
  <c r="AT145" i="17"/>
  <c r="AV145" i="17" s="1"/>
  <c r="AT157" i="17"/>
  <c r="AV157" i="17" s="1"/>
  <c r="AT169" i="17"/>
  <c r="AV169" i="17" s="1"/>
  <c r="AT181" i="17"/>
  <c r="AV181" i="17" s="1"/>
  <c r="AT193" i="17"/>
  <c r="AV193" i="17" s="1"/>
  <c r="AT205" i="17"/>
  <c r="AV205" i="17" s="1"/>
  <c r="AT217" i="17"/>
  <c r="AV217" i="17" s="1"/>
  <c r="AT102" i="17"/>
  <c r="AV102" i="17" s="1"/>
  <c r="AT174" i="17"/>
  <c r="AV174" i="17" s="1"/>
  <c r="AT14" i="17"/>
  <c r="AV14" i="17" s="1"/>
  <c r="AT26" i="17"/>
  <c r="AV26" i="17" s="1"/>
  <c r="AT38" i="17"/>
  <c r="AV38" i="17" s="1"/>
  <c r="AT50" i="17"/>
  <c r="AV50" i="17" s="1"/>
  <c r="AT62" i="17"/>
  <c r="AV62" i="17" s="1"/>
  <c r="AT74" i="17"/>
  <c r="AV74" i="17" s="1"/>
  <c r="AT86" i="17"/>
  <c r="AV86" i="17" s="1"/>
  <c r="AT98" i="17"/>
  <c r="AV98" i="17" s="1"/>
  <c r="AT110" i="17"/>
  <c r="AV110" i="17" s="1"/>
  <c r="AT122" i="17"/>
  <c r="AV122" i="17" s="1"/>
  <c r="AT134" i="17"/>
  <c r="AV134" i="17" s="1"/>
  <c r="AT146" i="17"/>
  <c r="AV146" i="17" s="1"/>
  <c r="AT158" i="17"/>
  <c r="AV158" i="17" s="1"/>
  <c r="AT170" i="17"/>
  <c r="AV170" i="17" s="1"/>
  <c r="AT182" i="17"/>
  <c r="AV182" i="17" s="1"/>
  <c r="AT194" i="17"/>
  <c r="AV194" i="17" s="1"/>
  <c r="AT206" i="17"/>
  <c r="AV206" i="17" s="1"/>
  <c r="AT218" i="17"/>
  <c r="AV218" i="17" s="1"/>
  <c r="AT66" i="17"/>
  <c r="AV66" i="17" s="1"/>
  <c r="AT15" i="17"/>
  <c r="AV15" i="17" s="1"/>
  <c r="AT27" i="17"/>
  <c r="AV27" i="17" s="1"/>
  <c r="AT39" i="17"/>
  <c r="AV39" i="17" s="1"/>
  <c r="AT51" i="17"/>
  <c r="AV51" i="17" s="1"/>
  <c r="AT63" i="17"/>
  <c r="AV63" i="17" s="1"/>
  <c r="AT75" i="17"/>
  <c r="AV75" i="17" s="1"/>
  <c r="AT87" i="17"/>
  <c r="AV87" i="17" s="1"/>
  <c r="AT99" i="17"/>
  <c r="AV99" i="17" s="1"/>
  <c r="AT111" i="17"/>
  <c r="AV111" i="17" s="1"/>
  <c r="AT123" i="17"/>
  <c r="AV123" i="17" s="1"/>
  <c r="AT135" i="17"/>
  <c r="AV135" i="17" s="1"/>
  <c r="AT147" i="17"/>
  <c r="AV147" i="17" s="1"/>
  <c r="AT159" i="17"/>
  <c r="AV159" i="17" s="1"/>
  <c r="AT171" i="17"/>
  <c r="AV171" i="17" s="1"/>
  <c r="AT183" i="17"/>
  <c r="AV183" i="17" s="1"/>
  <c r="AT195" i="17"/>
  <c r="AV195" i="17" s="1"/>
  <c r="AT207" i="17"/>
  <c r="AV207" i="17" s="1"/>
  <c r="AT219" i="17"/>
  <c r="AV219" i="17" s="1"/>
  <c r="AT42" i="17"/>
  <c r="AV42" i="17" s="1"/>
  <c r="AT16" i="17"/>
  <c r="AV16" i="17" s="1"/>
  <c r="AT28" i="17"/>
  <c r="AV28" i="17" s="1"/>
  <c r="AT40" i="17"/>
  <c r="AV40" i="17" s="1"/>
  <c r="AT52" i="17"/>
  <c r="AV52" i="17" s="1"/>
  <c r="AT64" i="17"/>
  <c r="AV64" i="17" s="1"/>
  <c r="AT76" i="17"/>
  <c r="AV76" i="17" s="1"/>
  <c r="AT88" i="17"/>
  <c r="AV88" i="17" s="1"/>
  <c r="AT100" i="17"/>
  <c r="AV100" i="17" s="1"/>
  <c r="AT112" i="17"/>
  <c r="AV112" i="17" s="1"/>
  <c r="AT124" i="17"/>
  <c r="AV124" i="17" s="1"/>
  <c r="AT136" i="17"/>
  <c r="AV136" i="17" s="1"/>
  <c r="AT148" i="17"/>
  <c r="AV148" i="17" s="1"/>
  <c r="AT160" i="17"/>
  <c r="AV160" i="17" s="1"/>
  <c r="AT172" i="17"/>
  <c r="AV172" i="17" s="1"/>
  <c r="AT184" i="17"/>
  <c r="AV184" i="17" s="1"/>
  <c r="AT196" i="17"/>
  <c r="AV196" i="17" s="1"/>
  <c r="AT208" i="17"/>
  <c r="AV208" i="17" s="1"/>
  <c r="AT220" i="17"/>
  <c r="AV220" i="17" s="1"/>
  <c r="AT30" i="17"/>
  <c r="AV30" i="17" s="1"/>
  <c r="AT17" i="17"/>
  <c r="AV17" i="17" s="1"/>
  <c r="AT29" i="17"/>
  <c r="AV29" i="17" s="1"/>
  <c r="AT41" i="17"/>
  <c r="AV41" i="17" s="1"/>
  <c r="AT53" i="17"/>
  <c r="AV53" i="17" s="1"/>
  <c r="AT65" i="17"/>
  <c r="AV65" i="17" s="1"/>
  <c r="AT77" i="17"/>
  <c r="AV77" i="17" s="1"/>
  <c r="AT89" i="17"/>
  <c r="AV89" i="17" s="1"/>
  <c r="AT101" i="17"/>
  <c r="AV101" i="17" s="1"/>
  <c r="AT113" i="17"/>
  <c r="AV113" i="17" s="1"/>
  <c r="AT125" i="17"/>
  <c r="AV125" i="17" s="1"/>
  <c r="AT137" i="17"/>
  <c r="AV137" i="17" s="1"/>
  <c r="AT149" i="17"/>
  <c r="AV149" i="17" s="1"/>
  <c r="AT161" i="17"/>
  <c r="AV161" i="17" s="1"/>
  <c r="AT173" i="17"/>
  <c r="AV173" i="17" s="1"/>
  <c r="AT185" i="17"/>
  <c r="AV185" i="17" s="1"/>
  <c r="AT197" i="17"/>
  <c r="AV197" i="17" s="1"/>
  <c r="AT209" i="17"/>
  <c r="AV209" i="17" s="1"/>
  <c r="AT221" i="17"/>
  <c r="AV221" i="17" s="1"/>
  <c r="AT18" i="17"/>
  <c r="AV18" i="17" s="1"/>
  <c r="AT186" i="17"/>
  <c r="AV186" i="17" s="1"/>
  <c r="AT6" i="17"/>
  <c r="AV6" i="17" s="1"/>
  <c r="AI12" i="17"/>
  <c r="D6" i="4" s="1"/>
  <c r="AI18" i="17"/>
  <c r="D58" i="4" s="1"/>
  <c r="AI24" i="17"/>
  <c r="D23" i="4" s="1"/>
  <c r="AI30" i="17"/>
  <c r="D10" i="4" s="1"/>
  <c r="AI36" i="17"/>
  <c r="AI42" i="17"/>
  <c r="AI48" i="17"/>
  <c r="D73" i="4" s="1"/>
  <c r="AI54" i="17"/>
  <c r="D52" i="4" s="1"/>
  <c r="AI60" i="17"/>
  <c r="D16" i="4" s="1"/>
  <c r="AI66" i="17"/>
  <c r="D92" i="4" s="1"/>
  <c r="AI72" i="17"/>
  <c r="AI78" i="17"/>
  <c r="D95" i="4" s="1"/>
  <c r="AI7" i="17"/>
  <c r="D8" i="4" s="1"/>
  <c r="AI13" i="17"/>
  <c r="D31" i="4" s="1"/>
  <c r="AI19" i="17"/>
  <c r="D19" i="4" s="1"/>
  <c r="AI25" i="17"/>
  <c r="D43" i="4" s="1"/>
  <c r="AI31" i="17"/>
  <c r="D49" i="4" s="1"/>
  <c r="AI37" i="17"/>
  <c r="AI43" i="17"/>
  <c r="AI49" i="17"/>
  <c r="D15" i="4" s="1"/>
  <c r="AI55" i="17"/>
  <c r="D54" i="4" s="1"/>
  <c r="AI8" i="17"/>
  <c r="D5" i="4" s="1"/>
  <c r="AI14" i="17"/>
  <c r="AI20" i="17"/>
  <c r="D11" i="4" s="1"/>
  <c r="AI9" i="17"/>
  <c r="AI15" i="17"/>
  <c r="D13" i="4" s="1"/>
  <c r="AI21" i="17"/>
  <c r="D25" i="4" s="1"/>
  <c r="AI10" i="17"/>
  <c r="AI16" i="17"/>
  <c r="AI22" i="17"/>
  <c r="AI32" i="17"/>
  <c r="D85" i="4" s="1"/>
  <c r="AI46" i="17"/>
  <c r="D56" i="4" s="1"/>
  <c r="AI50" i="17"/>
  <c r="AI70" i="17"/>
  <c r="AI23" i="17"/>
  <c r="AI71" i="17"/>
  <c r="D28" i="4" s="1"/>
  <c r="AI82" i="17"/>
  <c r="AI88" i="17"/>
  <c r="D67" i="4" s="1"/>
  <c r="AI41" i="17"/>
  <c r="D50" i="4" s="1"/>
  <c r="AI45" i="17"/>
  <c r="D126" i="4" s="1"/>
  <c r="AI59" i="17"/>
  <c r="AI73" i="17"/>
  <c r="AI26" i="17"/>
  <c r="D64" i="4" s="1"/>
  <c r="AI28" i="17"/>
  <c r="AI40" i="17"/>
  <c r="D55" i="4" s="1"/>
  <c r="AI44" i="17"/>
  <c r="D33" i="4" s="1"/>
  <c r="AI35" i="17"/>
  <c r="AI39" i="17"/>
  <c r="D48" i="4" s="1"/>
  <c r="AI11" i="17"/>
  <c r="AI34" i="17"/>
  <c r="D45" i="4" s="1"/>
  <c r="AI38" i="17"/>
  <c r="AI27" i="17"/>
  <c r="AI17" i="17"/>
  <c r="AI33" i="17"/>
  <c r="AI58" i="17"/>
  <c r="AI68" i="17"/>
  <c r="D83" i="4" s="1"/>
  <c r="AI85" i="17"/>
  <c r="AI103" i="17"/>
  <c r="D102" i="4" s="1"/>
  <c r="AI117" i="17"/>
  <c r="D51" i="4" s="1"/>
  <c r="AI118" i="17"/>
  <c r="D106" i="4" s="1"/>
  <c r="AI132" i="17"/>
  <c r="D146" i="4" s="1"/>
  <c r="AI146" i="17"/>
  <c r="D157" i="4" s="1"/>
  <c r="AI161" i="17"/>
  <c r="AI175" i="17"/>
  <c r="AI185" i="17"/>
  <c r="AI191" i="17"/>
  <c r="AI197" i="17"/>
  <c r="AI203" i="17"/>
  <c r="AI209" i="17"/>
  <c r="AI215" i="17"/>
  <c r="AI221" i="17"/>
  <c r="AI56" i="17"/>
  <c r="D74" i="4" s="1"/>
  <c r="AI84" i="17"/>
  <c r="D94" i="4" s="1"/>
  <c r="AI104" i="17"/>
  <c r="D133" i="4" s="1"/>
  <c r="AI119" i="17"/>
  <c r="D138" i="4" s="1"/>
  <c r="AI133" i="17"/>
  <c r="AI67" i="17"/>
  <c r="AI77" i="17"/>
  <c r="AI83" i="17"/>
  <c r="AI105" i="17"/>
  <c r="D96" i="4" s="1"/>
  <c r="AI106" i="17"/>
  <c r="AI120" i="17"/>
  <c r="AI134" i="17"/>
  <c r="D143" i="4" s="1"/>
  <c r="AI62" i="17"/>
  <c r="D62" i="4" s="1"/>
  <c r="AI91" i="17"/>
  <c r="AI92" i="17"/>
  <c r="D107" i="4" s="1"/>
  <c r="AI52" i="17"/>
  <c r="D53" i="4" s="1"/>
  <c r="AI76" i="17"/>
  <c r="AI90" i="17"/>
  <c r="AI93" i="17"/>
  <c r="AI94" i="17"/>
  <c r="D77" i="4" s="1"/>
  <c r="AI29" i="17"/>
  <c r="AI89" i="17"/>
  <c r="AI57" i="17"/>
  <c r="AI75" i="17"/>
  <c r="AI65" i="17"/>
  <c r="D20" i="4" s="1"/>
  <c r="AI81" i="17"/>
  <c r="AI61" i="17"/>
  <c r="AI74" i="17"/>
  <c r="AI80" i="17"/>
  <c r="AI47" i="17"/>
  <c r="D47" i="4" s="1"/>
  <c r="AI53" i="17"/>
  <c r="AI64" i="17"/>
  <c r="D114" i="4" s="1"/>
  <c r="AI79" i="17"/>
  <c r="D113" i="4" s="1"/>
  <c r="AI69" i="17"/>
  <c r="AI87" i="17"/>
  <c r="AI97" i="17"/>
  <c r="AI116" i="17"/>
  <c r="D139" i="4" s="1"/>
  <c r="AI131" i="17"/>
  <c r="D99" i="4" s="1"/>
  <c r="AI147" i="17"/>
  <c r="D104" i="4" s="1"/>
  <c r="AI192" i="17"/>
  <c r="AI206" i="17"/>
  <c r="AI220" i="17"/>
  <c r="AI102" i="17"/>
  <c r="AI110" i="17"/>
  <c r="D125" i="4" s="1"/>
  <c r="AI125" i="17"/>
  <c r="AI135" i="17"/>
  <c r="D117" i="4" s="1"/>
  <c r="AI142" i="17"/>
  <c r="AI143" i="17"/>
  <c r="AI144" i="17"/>
  <c r="D98" i="4" s="1"/>
  <c r="AI145" i="17"/>
  <c r="D93" i="4" s="1"/>
  <c r="AI51" i="17"/>
  <c r="D12" i="4" s="1"/>
  <c r="AI99" i="17"/>
  <c r="D118" i="4" s="1"/>
  <c r="AI115" i="17"/>
  <c r="AI130" i="17"/>
  <c r="AI140" i="17"/>
  <c r="AI141" i="17"/>
  <c r="D144" i="4" s="1"/>
  <c r="AI86" i="17"/>
  <c r="AI109" i="17"/>
  <c r="AI124" i="17"/>
  <c r="AI114" i="17"/>
  <c r="AI139" i="17"/>
  <c r="D121" i="4" s="1"/>
  <c r="AI178" i="17"/>
  <c r="AI179" i="17"/>
  <c r="AI180" i="17"/>
  <c r="AI181" i="17"/>
  <c r="AI182" i="17"/>
  <c r="AI96" i="17"/>
  <c r="D46" i="4" s="1"/>
  <c r="AI101" i="17"/>
  <c r="AI108" i="17"/>
  <c r="AI129" i="17"/>
  <c r="AI176" i="17"/>
  <c r="AI177" i="17"/>
  <c r="AI113" i="17"/>
  <c r="AI123" i="17"/>
  <c r="D101" i="4" s="1"/>
  <c r="AI138" i="17"/>
  <c r="AI172" i="17"/>
  <c r="AI173" i="17"/>
  <c r="AI174" i="17"/>
  <c r="AI184" i="17"/>
  <c r="AI98" i="17"/>
  <c r="AI107" i="17"/>
  <c r="D66" i="4" s="1"/>
  <c r="AI128" i="17"/>
  <c r="AI166" i="17"/>
  <c r="AI167" i="17"/>
  <c r="AI168" i="17"/>
  <c r="AI169" i="17"/>
  <c r="AI170" i="17"/>
  <c r="AI171" i="17"/>
  <c r="AI186" i="17"/>
  <c r="AI63" i="17"/>
  <c r="AI112" i="17"/>
  <c r="D79" i="4" s="1"/>
  <c r="AI122" i="17"/>
  <c r="D150" i="4" s="1"/>
  <c r="AI137" i="17"/>
  <c r="D108" i="4" s="1"/>
  <c r="AI162" i="17"/>
  <c r="AI163" i="17"/>
  <c r="AI164" i="17"/>
  <c r="AI165" i="17"/>
  <c r="AI100" i="17"/>
  <c r="AI127" i="17"/>
  <c r="AI160" i="17"/>
  <c r="AI95" i="17"/>
  <c r="AI121" i="17"/>
  <c r="AI136" i="17"/>
  <c r="AI154" i="17"/>
  <c r="D151" i="4" s="1"/>
  <c r="AI155" i="17"/>
  <c r="D127" i="4" s="1"/>
  <c r="AI156" i="17"/>
  <c r="AI157" i="17"/>
  <c r="AI158" i="17"/>
  <c r="AI159" i="17"/>
  <c r="AI151" i="17"/>
  <c r="AI187" i="17"/>
  <c r="AI188" i="17"/>
  <c r="AI189" i="17"/>
  <c r="AI190" i="17"/>
  <c r="AI152" i="17"/>
  <c r="AI111" i="17"/>
  <c r="D80" i="4" s="1"/>
  <c r="AI126" i="17"/>
  <c r="AI153" i="17"/>
  <c r="AI222" i="17"/>
  <c r="AI223" i="17"/>
  <c r="AI224" i="17"/>
  <c r="AI183" i="17"/>
  <c r="AI216" i="17"/>
  <c r="AI217" i="17"/>
  <c r="AI218" i="17"/>
  <c r="AI219" i="17"/>
  <c r="AI210" i="17"/>
  <c r="AI211" i="17"/>
  <c r="AI212" i="17"/>
  <c r="AI213" i="17"/>
  <c r="AI214" i="17"/>
  <c r="AI150" i="17"/>
  <c r="AI207" i="17"/>
  <c r="AI208" i="17"/>
  <c r="AI204" i="17"/>
  <c r="AI205" i="17"/>
  <c r="AI148" i="17"/>
  <c r="AI198" i="17"/>
  <c r="AI199" i="17"/>
  <c r="AI200" i="17"/>
  <c r="AI201" i="17"/>
  <c r="AI202" i="17"/>
  <c r="AI149" i="17"/>
  <c r="AI193" i="17"/>
  <c r="AI194" i="17"/>
  <c r="AI195" i="17"/>
  <c r="AI196" i="17"/>
  <c r="AN10" i="17"/>
  <c r="I9" i="4" s="1"/>
  <c r="AN16" i="17"/>
  <c r="I32" i="4" s="1"/>
  <c r="AN22" i="17"/>
  <c r="I38" i="4" s="1"/>
  <c r="AN28" i="17"/>
  <c r="I61" i="4" s="1"/>
  <c r="AN34" i="17"/>
  <c r="I45" i="4" s="1"/>
  <c r="AN40" i="17"/>
  <c r="I55" i="4" s="1"/>
  <c r="AN46" i="17"/>
  <c r="I56" i="4" s="1"/>
  <c r="AN52" i="17"/>
  <c r="I53" i="4" s="1"/>
  <c r="AN58" i="17"/>
  <c r="I30" i="4" s="1"/>
  <c r="AN11" i="17"/>
  <c r="I21" i="4" s="1"/>
  <c r="AN17" i="17"/>
  <c r="I22" i="4" s="1"/>
  <c r="AN23" i="17"/>
  <c r="I81" i="4" s="1"/>
  <c r="AN29" i="17"/>
  <c r="I59" i="4" s="1"/>
  <c r="AN35" i="17"/>
  <c r="I88" i="4" s="1"/>
  <c r="AN41" i="17"/>
  <c r="I50" i="4" s="1"/>
  <c r="AN47" i="17"/>
  <c r="I47" i="4" s="1"/>
  <c r="AN53" i="17"/>
  <c r="I44" i="4" s="1"/>
  <c r="AN59" i="17"/>
  <c r="I116" i="4" s="1"/>
  <c r="AN12" i="17"/>
  <c r="I6" i="4" s="1"/>
  <c r="AN18" i="17"/>
  <c r="I58" i="4" s="1"/>
  <c r="AN24" i="17"/>
  <c r="I23" i="4" s="1"/>
  <c r="AN7" i="17"/>
  <c r="I8" i="4" s="1"/>
  <c r="AN13" i="17"/>
  <c r="I31" i="4" s="1"/>
  <c r="AN19" i="17"/>
  <c r="I19" i="4" s="1"/>
  <c r="AN25" i="17"/>
  <c r="I43" i="4" s="1"/>
  <c r="AN8" i="17"/>
  <c r="I5" i="4" s="1"/>
  <c r="AN14" i="17"/>
  <c r="I14" i="4" s="1"/>
  <c r="AN20" i="17"/>
  <c r="I11" i="4" s="1"/>
  <c r="AN26" i="17"/>
  <c r="I64" i="4" s="1"/>
  <c r="AN27" i="17"/>
  <c r="I24" i="4" s="1"/>
  <c r="AN62" i="17"/>
  <c r="I62" i="4" s="1"/>
  <c r="AN65" i="17"/>
  <c r="I20" i="4" s="1"/>
  <c r="AN79" i="17"/>
  <c r="I113" i="4" s="1"/>
  <c r="AN85" i="17"/>
  <c r="I130" i="4" s="1"/>
  <c r="AN91" i="17"/>
  <c r="I60" i="4" s="1"/>
  <c r="AN97" i="17"/>
  <c r="I34" i="4" s="1"/>
  <c r="AN103" i="17"/>
  <c r="I102" i="4" s="1"/>
  <c r="AN109" i="17"/>
  <c r="I119" i="4" s="1"/>
  <c r="AN115" i="17"/>
  <c r="I70" i="4" s="1"/>
  <c r="AN121" i="17"/>
  <c r="I65" i="4" s="1"/>
  <c r="AN127" i="17"/>
  <c r="I159" i="4" s="1"/>
  <c r="AN133" i="17"/>
  <c r="I129" i="4" s="1"/>
  <c r="AN139" i="17"/>
  <c r="I121" i="4" s="1"/>
  <c r="AN145" i="17"/>
  <c r="I93" i="4" s="1"/>
  <c r="AN151" i="17"/>
  <c r="I147" i="4" s="1"/>
  <c r="AN157" i="17"/>
  <c r="I148" i="4" s="1"/>
  <c r="AN163" i="17"/>
  <c r="AD163" i="17" s="1"/>
  <c r="AN169" i="17"/>
  <c r="AD169" i="17" s="1"/>
  <c r="AN175" i="17"/>
  <c r="AD175" i="17" s="1"/>
  <c r="AN181" i="17"/>
  <c r="AD181" i="17" s="1"/>
  <c r="AN38" i="17"/>
  <c r="I26" i="4" s="1"/>
  <c r="AN42" i="17"/>
  <c r="I41" i="4" s="1"/>
  <c r="AN56" i="17"/>
  <c r="I74" i="4" s="1"/>
  <c r="AN61" i="17"/>
  <c r="I91" i="4" s="1"/>
  <c r="AN66" i="17"/>
  <c r="I92" i="4" s="1"/>
  <c r="AN60" i="17"/>
  <c r="I16" i="4" s="1"/>
  <c r="AN67" i="17"/>
  <c r="I35" i="4" s="1"/>
  <c r="AN80" i="17"/>
  <c r="I156" i="4" s="1"/>
  <c r="AN86" i="17"/>
  <c r="I131" i="4" s="1"/>
  <c r="AN33" i="17"/>
  <c r="I18" i="4" s="1"/>
  <c r="AN37" i="17"/>
  <c r="I17" i="4" s="1"/>
  <c r="AN51" i="17"/>
  <c r="I12" i="4" s="1"/>
  <c r="AN55" i="17"/>
  <c r="I54" i="4" s="1"/>
  <c r="AN9" i="17"/>
  <c r="I7" i="4" s="1"/>
  <c r="AN32" i="17"/>
  <c r="I85" i="4" s="1"/>
  <c r="AN36" i="17"/>
  <c r="I27" i="4" s="1"/>
  <c r="AN50" i="17"/>
  <c r="I37" i="4" s="1"/>
  <c r="AN54" i="17"/>
  <c r="I52" i="4" s="1"/>
  <c r="AN15" i="17"/>
  <c r="I13" i="4" s="1"/>
  <c r="AN31" i="17"/>
  <c r="I49" i="4" s="1"/>
  <c r="AN45" i="17"/>
  <c r="I126" i="4" s="1"/>
  <c r="AN49" i="17"/>
  <c r="I15" i="4" s="1"/>
  <c r="AN21" i="17"/>
  <c r="I25" i="4" s="1"/>
  <c r="AN30" i="17"/>
  <c r="I10" i="4" s="1"/>
  <c r="AN44" i="17"/>
  <c r="I33" i="4" s="1"/>
  <c r="AN48" i="17"/>
  <c r="I73" i="4" s="1"/>
  <c r="AN69" i="17"/>
  <c r="I39" i="4" s="1"/>
  <c r="AN87" i="17"/>
  <c r="I69" i="4" s="1"/>
  <c r="AN98" i="17"/>
  <c r="I57" i="4" s="1"/>
  <c r="AN112" i="17"/>
  <c r="I79" i="4" s="1"/>
  <c r="AN126" i="17"/>
  <c r="I112" i="4" s="1"/>
  <c r="AN141" i="17"/>
  <c r="I144" i="4" s="1"/>
  <c r="AN155" i="17"/>
  <c r="I127" i="4" s="1"/>
  <c r="AN170" i="17"/>
  <c r="AD170" i="17" s="1"/>
  <c r="AN39" i="17"/>
  <c r="I48" i="4" s="1"/>
  <c r="AN64" i="17"/>
  <c r="I114" i="4" s="1"/>
  <c r="AN74" i="17"/>
  <c r="I89" i="4" s="1"/>
  <c r="AN99" i="17"/>
  <c r="I118" i="4" s="1"/>
  <c r="AN113" i="17"/>
  <c r="I103" i="4" s="1"/>
  <c r="AN128" i="17"/>
  <c r="I90" i="4" s="1"/>
  <c r="AN68" i="17"/>
  <c r="I83" i="4" s="1"/>
  <c r="AN100" i="17"/>
  <c r="I86" i="4" s="1"/>
  <c r="AN114" i="17"/>
  <c r="I76" i="4" s="1"/>
  <c r="AN129" i="17"/>
  <c r="I136" i="4" s="1"/>
  <c r="AN73" i="17"/>
  <c r="I97" i="4" s="1"/>
  <c r="AN101" i="17"/>
  <c r="I115" i="4" s="1"/>
  <c r="AN43" i="17"/>
  <c r="I71" i="4" s="1"/>
  <c r="AN63" i="17"/>
  <c r="I100" i="4" s="1"/>
  <c r="AN78" i="17"/>
  <c r="I95" i="4" s="1"/>
  <c r="AN102" i="17"/>
  <c r="I111" i="4" s="1"/>
  <c r="AN72" i="17"/>
  <c r="I29" i="4" s="1"/>
  <c r="AN77" i="17"/>
  <c r="I87" i="4" s="1"/>
  <c r="AN84" i="17"/>
  <c r="I94" i="4" s="1"/>
  <c r="AN71" i="17"/>
  <c r="I28" i="4" s="1"/>
  <c r="AN83" i="17"/>
  <c r="I78" i="4" s="1"/>
  <c r="AN92" i="17"/>
  <c r="I107" i="4" s="1"/>
  <c r="AN76" i="17"/>
  <c r="I110" i="4" s="1"/>
  <c r="AN82" i="17"/>
  <c r="I72" i="4" s="1"/>
  <c r="AN93" i="17"/>
  <c r="I75" i="4" s="1"/>
  <c r="AN70" i="17"/>
  <c r="I63" i="4" s="1"/>
  <c r="AN81" i="17"/>
  <c r="I145" i="4" s="1"/>
  <c r="AN90" i="17"/>
  <c r="I68" i="4" s="1"/>
  <c r="AN89" i="17"/>
  <c r="I36" i="4" s="1"/>
  <c r="AN95" i="17"/>
  <c r="I84" i="4" s="1"/>
  <c r="AN107" i="17"/>
  <c r="I66" i="4" s="1"/>
  <c r="AN122" i="17"/>
  <c r="I150" i="4" s="1"/>
  <c r="AN132" i="17"/>
  <c r="I146" i="4" s="1"/>
  <c r="AN164" i="17"/>
  <c r="AD164" i="17" s="1"/>
  <c r="AN165" i="17"/>
  <c r="AD165" i="17" s="1"/>
  <c r="AN166" i="17"/>
  <c r="AD166" i="17" s="1"/>
  <c r="AN167" i="17"/>
  <c r="AD167" i="17" s="1"/>
  <c r="AN168" i="17"/>
  <c r="AD168" i="17" s="1"/>
  <c r="AN186" i="17"/>
  <c r="AD186" i="17" s="1"/>
  <c r="AN200" i="17"/>
  <c r="AD200" i="17" s="1"/>
  <c r="AN201" i="17"/>
  <c r="AD201" i="17" s="1"/>
  <c r="AN215" i="17"/>
  <c r="AD215" i="17" s="1"/>
  <c r="AN116" i="17"/>
  <c r="I139" i="4" s="1"/>
  <c r="AN137" i="17"/>
  <c r="I108" i="4" s="1"/>
  <c r="AN158" i="17"/>
  <c r="I154" i="4" s="1"/>
  <c r="AN159" i="17"/>
  <c r="I152" i="4" s="1"/>
  <c r="AN160" i="17"/>
  <c r="I137" i="4" s="1"/>
  <c r="AN161" i="17"/>
  <c r="I123" i="4" s="1"/>
  <c r="AN162" i="17"/>
  <c r="AD162" i="17" s="1"/>
  <c r="AN106" i="17"/>
  <c r="I120" i="4" s="1"/>
  <c r="AN131" i="17"/>
  <c r="I99" i="4" s="1"/>
  <c r="AN156" i="17"/>
  <c r="I153" i="4" s="1"/>
  <c r="AN111" i="17"/>
  <c r="I80" i="4" s="1"/>
  <c r="AN136" i="17"/>
  <c r="I134" i="4" s="1"/>
  <c r="AN152" i="17"/>
  <c r="I140" i="4" s="1"/>
  <c r="AN153" i="17"/>
  <c r="I141" i="4" s="1"/>
  <c r="AN154" i="17"/>
  <c r="I151" i="4" s="1"/>
  <c r="AN105" i="17"/>
  <c r="I96" i="4" s="1"/>
  <c r="AN130" i="17"/>
  <c r="I122" i="4" s="1"/>
  <c r="AN146" i="17"/>
  <c r="I157" i="4" s="1"/>
  <c r="AN147" i="17"/>
  <c r="I104" i="4" s="1"/>
  <c r="AN148" i="17"/>
  <c r="I158" i="4" s="1"/>
  <c r="AN149" i="17"/>
  <c r="I149" i="4" s="1"/>
  <c r="AN150" i="17"/>
  <c r="I155" i="4" s="1"/>
  <c r="AN57" i="17"/>
  <c r="I105" i="4" s="1"/>
  <c r="AN88" i="17"/>
  <c r="I67" i="4" s="1"/>
  <c r="AN110" i="17"/>
  <c r="I125" i="4" s="1"/>
  <c r="AN120" i="17"/>
  <c r="I135" i="4" s="1"/>
  <c r="AN135" i="17"/>
  <c r="I117" i="4" s="1"/>
  <c r="AN142" i="17"/>
  <c r="I128" i="4" s="1"/>
  <c r="AN143" i="17"/>
  <c r="I124" i="4" s="1"/>
  <c r="AN144" i="17"/>
  <c r="I98" i="4" s="1"/>
  <c r="AN75" i="17"/>
  <c r="I42" i="4" s="1"/>
  <c r="AN104" i="17"/>
  <c r="I133" i="4" s="1"/>
  <c r="AN125" i="17"/>
  <c r="I82" i="4" s="1"/>
  <c r="AN140" i="17"/>
  <c r="I109" i="4" s="1"/>
  <c r="AN119" i="17"/>
  <c r="I138" i="4" s="1"/>
  <c r="AN134" i="17"/>
  <c r="I143" i="4" s="1"/>
  <c r="AN94" i="17"/>
  <c r="I77" i="4" s="1"/>
  <c r="AN124" i="17"/>
  <c r="I132" i="4" s="1"/>
  <c r="AN96" i="17"/>
  <c r="I46" i="4" s="1"/>
  <c r="AN118" i="17"/>
  <c r="I106" i="4" s="1"/>
  <c r="AN108" i="17"/>
  <c r="I40" i="4" s="1"/>
  <c r="AN123" i="17"/>
  <c r="I101" i="4" s="1"/>
  <c r="AN171" i="17"/>
  <c r="AD171" i="17" s="1"/>
  <c r="AN172" i="17"/>
  <c r="AD172" i="17" s="1"/>
  <c r="AN173" i="17"/>
  <c r="AD173" i="17" s="1"/>
  <c r="AN174" i="17"/>
  <c r="AD174" i="17" s="1"/>
  <c r="AN138" i="17"/>
  <c r="I142" i="4" s="1"/>
  <c r="AN177" i="17"/>
  <c r="AD177" i="17" s="1"/>
  <c r="AN182" i="17"/>
  <c r="AD182" i="17" s="1"/>
  <c r="AN202" i="17"/>
  <c r="AD202" i="17" s="1"/>
  <c r="AN203" i="17"/>
  <c r="AD203" i="17" s="1"/>
  <c r="AN204" i="17"/>
  <c r="AD204" i="17" s="1"/>
  <c r="AN205" i="17"/>
  <c r="AD205" i="17" s="1"/>
  <c r="AN206" i="17"/>
  <c r="AD206" i="17" s="1"/>
  <c r="AN180" i="17"/>
  <c r="AD180" i="17" s="1"/>
  <c r="AN185" i="17"/>
  <c r="AD185" i="17" s="1"/>
  <c r="AN210" i="17"/>
  <c r="AD210" i="17" s="1"/>
  <c r="AN184" i="17"/>
  <c r="AD184" i="17" s="1"/>
  <c r="AN195" i="17"/>
  <c r="AD195" i="17" s="1"/>
  <c r="AN196" i="17"/>
  <c r="AD196" i="17" s="1"/>
  <c r="AN197" i="17"/>
  <c r="AD197" i="17" s="1"/>
  <c r="AN198" i="17"/>
  <c r="AD198" i="17" s="1"/>
  <c r="AN199" i="17"/>
  <c r="AD199" i="17" s="1"/>
  <c r="AN208" i="17"/>
  <c r="AD208" i="17" s="1"/>
  <c r="AN189" i="17"/>
  <c r="AD189" i="17" s="1"/>
  <c r="AN190" i="17"/>
  <c r="AD190" i="17" s="1"/>
  <c r="AN191" i="17"/>
  <c r="AD191" i="17" s="1"/>
  <c r="AN192" i="17"/>
  <c r="AD192" i="17" s="1"/>
  <c r="AN193" i="17"/>
  <c r="AD193" i="17" s="1"/>
  <c r="AN194" i="17"/>
  <c r="AD194" i="17" s="1"/>
  <c r="AN209" i="17"/>
  <c r="AD209" i="17" s="1"/>
  <c r="AN178" i="17"/>
  <c r="AD178" i="17" s="1"/>
  <c r="AN187" i="17"/>
  <c r="AD187" i="17" s="1"/>
  <c r="AN188" i="17"/>
  <c r="AD188" i="17" s="1"/>
  <c r="AN212" i="17"/>
  <c r="AD212" i="17" s="1"/>
  <c r="AN183" i="17"/>
  <c r="AD183" i="17" s="1"/>
  <c r="AN117" i="17"/>
  <c r="I51" i="4" s="1"/>
  <c r="AN211" i="17"/>
  <c r="AD211" i="17" s="1"/>
  <c r="AN179" i="17"/>
  <c r="AD179" i="17" s="1"/>
  <c r="AN219" i="17"/>
  <c r="AD219" i="17" s="1"/>
  <c r="AN220" i="17"/>
  <c r="AD220" i="17" s="1"/>
  <c r="AN221" i="17"/>
  <c r="AD221" i="17" s="1"/>
  <c r="AN222" i="17"/>
  <c r="AD222" i="17" s="1"/>
  <c r="AN223" i="17"/>
  <c r="AD223" i="17" s="1"/>
  <c r="AN224" i="17"/>
  <c r="AD224" i="17" s="1"/>
  <c r="AN176" i="17"/>
  <c r="AD176" i="17" s="1"/>
  <c r="AN216" i="17"/>
  <c r="AD216" i="17" s="1"/>
  <c r="AN217" i="17"/>
  <c r="AD217" i="17" s="1"/>
  <c r="AN218" i="17"/>
  <c r="AD218" i="17" s="1"/>
  <c r="AN213" i="17"/>
  <c r="AD213" i="17" s="1"/>
  <c r="AN214" i="17"/>
  <c r="AD214" i="17" s="1"/>
  <c r="AN207" i="17"/>
  <c r="AD207" i="17" s="1"/>
  <c r="AM10" i="17"/>
  <c r="H9" i="4" s="1"/>
  <c r="AM16" i="17"/>
  <c r="H32" i="4" s="1"/>
  <c r="AM22" i="17"/>
  <c r="H38" i="4" s="1"/>
  <c r="AM28" i="17"/>
  <c r="H61" i="4" s="1"/>
  <c r="AM34" i="17"/>
  <c r="H45" i="4" s="1"/>
  <c r="AM40" i="17"/>
  <c r="H55" i="4" s="1"/>
  <c r="AM46" i="17"/>
  <c r="H56" i="4" s="1"/>
  <c r="AM52" i="17"/>
  <c r="H53" i="4" s="1"/>
  <c r="AM58" i="17"/>
  <c r="H30" i="4" s="1"/>
  <c r="AM64" i="17"/>
  <c r="H114" i="4" s="1"/>
  <c r="AM70" i="17"/>
  <c r="H63" i="4" s="1"/>
  <c r="AM76" i="17"/>
  <c r="H110" i="4" s="1"/>
  <c r="AM11" i="17"/>
  <c r="H21" i="4" s="1"/>
  <c r="AM17" i="17"/>
  <c r="H22" i="4" s="1"/>
  <c r="AM23" i="17"/>
  <c r="H81" i="4" s="1"/>
  <c r="AM29" i="17"/>
  <c r="H59" i="4" s="1"/>
  <c r="AM35" i="17"/>
  <c r="H88" i="4" s="1"/>
  <c r="AM41" i="17"/>
  <c r="H50" i="4" s="1"/>
  <c r="AM47" i="17"/>
  <c r="H47" i="4" s="1"/>
  <c r="AM53" i="17"/>
  <c r="H44" i="4" s="1"/>
  <c r="AM59" i="17"/>
  <c r="H116" i="4" s="1"/>
  <c r="AM12" i="17"/>
  <c r="H6" i="4" s="1"/>
  <c r="AM18" i="17"/>
  <c r="H58" i="4" s="1"/>
  <c r="AM24" i="17"/>
  <c r="H23" i="4" s="1"/>
  <c r="AM7" i="17"/>
  <c r="H8" i="4" s="1"/>
  <c r="AM13" i="17"/>
  <c r="H31" i="4" s="1"/>
  <c r="AM19" i="17"/>
  <c r="H19" i="4" s="1"/>
  <c r="AM8" i="17"/>
  <c r="H5" i="4" s="1"/>
  <c r="AM14" i="17"/>
  <c r="H14" i="4" s="1"/>
  <c r="AM20" i="17"/>
  <c r="H11" i="4" s="1"/>
  <c r="AM38" i="17"/>
  <c r="H26" i="4" s="1"/>
  <c r="AM42" i="17"/>
  <c r="H41" i="4" s="1"/>
  <c r="AM56" i="17"/>
  <c r="H74" i="4" s="1"/>
  <c r="AM61" i="17"/>
  <c r="H91" i="4" s="1"/>
  <c r="AM66" i="17"/>
  <c r="H92" i="4" s="1"/>
  <c r="AM60" i="17"/>
  <c r="H16" i="4" s="1"/>
  <c r="AM67" i="17"/>
  <c r="H35" i="4" s="1"/>
  <c r="AM80" i="17"/>
  <c r="H156" i="4" s="1"/>
  <c r="AM86" i="17"/>
  <c r="H131" i="4" s="1"/>
  <c r="AM33" i="17"/>
  <c r="H18" i="4" s="1"/>
  <c r="AM37" i="17"/>
  <c r="H17" i="4" s="1"/>
  <c r="AM51" i="17"/>
  <c r="H12" i="4" s="1"/>
  <c r="AM55" i="17"/>
  <c r="H54" i="4" s="1"/>
  <c r="AM68" i="17"/>
  <c r="H83" i="4" s="1"/>
  <c r="AM9" i="17"/>
  <c r="H7" i="4" s="1"/>
  <c r="AM32" i="17"/>
  <c r="H85" i="4" s="1"/>
  <c r="AM36" i="17"/>
  <c r="H27" i="4" s="1"/>
  <c r="AM50" i="17"/>
  <c r="H37" i="4" s="1"/>
  <c r="AM26" i="17"/>
  <c r="H64" i="4" s="1"/>
  <c r="AM15" i="17"/>
  <c r="H13" i="4" s="1"/>
  <c r="AM31" i="17"/>
  <c r="H49" i="4" s="1"/>
  <c r="AM45" i="17"/>
  <c r="H126" i="4" s="1"/>
  <c r="AM49" i="17"/>
  <c r="H15" i="4" s="1"/>
  <c r="AM21" i="17"/>
  <c r="H25" i="4" s="1"/>
  <c r="AM30" i="17"/>
  <c r="H10" i="4" s="1"/>
  <c r="AM44" i="17"/>
  <c r="H33" i="4" s="1"/>
  <c r="AM39" i="17"/>
  <c r="H48" i="4" s="1"/>
  <c r="AM43" i="17"/>
  <c r="H71" i="4" s="1"/>
  <c r="AM74" i="17"/>
  <c r="H89" i="4" s="1"/>
  <c r="AM99" i="17"/>
  <c r="H118" i="4" s="1"/>
  <c r="AM113" i="17"/>
  <c r="H103" i="4" s="1"/>
  <c r="AM127" i="17"/>
  <c r="H159" i="4" s="1"/>
  <c r="AM128" i="17"/>
  <c r="H90" i="4" s="1"/>
  <c r="AM142" i="17"/>
  <c r="H128" i="4" s="1"/>
  <c r="AM156" i="17"/>
  <c r="H153" i="4" s="1"/>
  <c r="AM171" i="17"/>
  <c r="AC171" i="17" s="1"/>
  <c r="AM183" i="17"/>
  <c r="AC183" i="17" s="1"/>
  <c r="AM189" i="17"/>
  <c r="AC189" i="17" s="1"/>
  <c r="AM195" i="17"/>
  <c r="AC195" i="17" s="1"/>
  <c r="AM201" i="17"/>
  <c r="AC201" i="17" s="1"/>
  <c r="AM207" i="17"/>
  <c r="AC207" i="17" s="1"/>
  <c r="AM213" i="17"/>
  <c r="AC213" i="17" s="1"/>
  <c r="AM219" i="17"/>
  <c r="AC219" i="17" s="1"/>
  <c r="AM79" i="17"/>
  <c r="H113" i="4" s="1"/>
  <c r="AM100" i="17"/>
  <c r="H86" i="4" s="1"/>
  <c r="AM114" i="17"/>
  <c r="H76" i="4" s="1"/>
  <c r="AM129" i="17"/>
  <c r="H136" i="4" s="1"/>
  <c r="AM73" i="17"/>
  <c r="H97" i="4" s="1"/>
  <c r="AM101" i="17"/>
  <c r="H115" i="4" s="1"/>
  <c r="AM115" i="17"/>
  <c r="H70" i="4" s="1"/>
  <c r="AM116" i="17"/>
  <c r="H139" i="4" s="1"/>
  <c r="AM130" i="17"/>
  <c r="H122" i="4" s="1"/>
  <c r="AM25" i="17"/>
  <c r="H43" i="4" s="1"/>
  <c r="AM54" i="17"/>
  <c r="H52" i="4" s="1"/>
  <c r="AM63" i="17"/>
  <c r="H100" i="4" s="1"/>
  <c r="AM78" i="17"/>
  <c r="H95" i="4" s="1"/>
  <c r="AM102" i="17"/>
  <c r="H111" i="4" s="1"/>
  <c r="AM27" i="17"/>
  <c r="H24" i="4" s="1"/>
  <c r="AM72" i="17"/>
  <c r="H29" i="4" s="1"/>
  <c r="AM85" i="17"/>
  <c r="H130" i="4" s="1"/>
  <c r="AM103" i="17"/>
  <c r="H102" i="4" s="1"/>
  <c r="AM77" i="17"/>
  <c r="H87" i="4" s="1"/>
  <c r="AM84" i="17"/>
  <c r="H94" i="4" s="1"/>
  <c r="AM71" i="17"/>
  <c r="H28" i="4" s="1"/>
  <c r="AM83" i="17"/>
  <c r="H78" i="4" s="1"/>
  <c r="AM62" i="17"/>
  <c r="H62" i="4" s="1"/>
  <c r="AM82" i="17"/>
  <c r="H72" i="4" s="1"/>
  <c r="AM91" i="17"/>
  <c r="H60" i="4" s="1"/>
  <c r="AM81" i="17"/>
  <c r="H145" i="4" s="1"/>
  <c r="AM90" i="17"/>
  <c r="H68" i="4" s="1"/>
  <c r="AM89" i="17"/>
  <c r="H36" i="4" s="1"/>
  <c r="AM57" i="17"/>
  <c r="H105" i="4" s="1"/>
  <c r="AM65" i="17"/>
  <c r="H20" i="4" s="1"/>
  <c r="AM75" i="17"/>
  <c r="H42" i="4" s="1"/>
  <c r="AM88" i="17"/>
  <c r="H67" i="4" s="1"/>
  <c r="AM96" i="17"/>
  <c r="H46" i="4" s="1"/>
  <c r="AM112" i="17"/>
  <c r="H79" i="4" s="1"/>
  <c r="AM137" i="17"/>
  <c r="H108" i="4" s="1"/>
  <c r="AM158" i="17"/>
  <c r="H154" i="4" s="1"/>
  <c r="AM159" i="17"/>
  <c r="H152" i="4" s="1"/>
  <c r="AM160" i="17"/>
  <c r="H137" i="4" s="1"/>
  <c r="AM161" i="17"/>
  <c r="H123" i="4" s="1"/>
  <c r="AM162" i="17"/>
  <c r="AC162" i="17" s="1"/>
  <c r="AM163" i="17"/>
  <c r="AC163" i="17" s="1"/>
  <c r="AM187" i="17"/>
  <c r="AC187" i="17" s="1"/>
  <c r="AM202" i="17"/>
  <c r="AC202" i="17" s="1"/>
  <c r="AM216" i="17"/>
  <c r="AC216" i="17" s="1"/>
  <c r="AM48" i="17"/>
  <c r="H73" i="4" s="1"/>
  <c r="AM69" i="17"/>
  <c r="H39" i="4" s="1"/>
  <c r="AM106" i="17"/>
  <c r="H120" i="4" s="1"/>
  <c r="AM131" i="17"/>
  <c r="H99" i="4" s="1"/>
  <c r="AM157" i="17"/>
  <c r="H148" i="4" s="1"/>
  <c r="AM93" i="17"/>
  <c r="H75" i="4" s="1"/>
  <c r="AM95" i="17"/>
  <c r="H84" i="4" s="1"/>
  <c r="AM111" i="17"/>
  <c r="H80" i="4" s="1"/>
  <c r="AM121" i="17"/>
  <c r="H65" i="4" s="1"/>
  <c r="AM136" i="17"/>
  <c r="H134" i="4" s="1"/>
  <c r="AM152" i="17"/>
  <c r="H140" i="4" s="1"/>
  <c r="AM153" i="17"/>
  <c r="H141" i="4" s="1"/>
  <c r="AM154" i="17"/>
  <c r="H151" i="4" s="1"/>
  <c r="AM155" i="17"/>
  <c r="H127" i="4" s="1"/>
  <c r="AM97" i="17"/>
  <c r="H34" i="4" s="1"/>
  <c r="AM105" i="17"/>
  <c r="H96" i="4" s="1"/>
  <c r="AM126" i="17"/>
  <c r="H112" i="4" s="1"/>
  <c r="AM146" i="17"/>
  <c r="H157" i="4" s="1"/>
  <c r="AM147" i="17"/>
  <c r="H104" i="4" s="1"/>
  <c r="AM148" i="17"/>
  <c r="H158" i="4" s="1"/>
  <c r="AM149" i="17"/>
  <c r="H149" i="4" s="1"/>
  <c r="AM150" i="17"/>
  <c r="H155" i="4" s="1"/>
  <c r="AM151" i="17"/>
  <c r="H147" i="4" s="1"/>
  <c r="AM87" i="17"/>
  <c r="H69" i="4" s="1"/>
  <c r="AM110" i="17"/>
  <c r="H125" i="4" s="1"/>
  <c r="AM120" i="17"/>
  <c r="H135" i="4" s="1"/>
  <c r="AM135" i="17"/>
  <c r="H117" i="4" s="1"/>
  <c r="AM143" i="17"/>
  <c r="H124" i="4" s="1"/>
  <c r="AM144" i="17"/>
  <c r="H98" i="4" s="1"/>
  <c r="AM145" i="17"/>
  <c r="H93" i="4" s="1"/>
  <c r="AM104" i="17"/>
  <c r="H133" i="4" s="1"/>
  <c r="AM125" i="17"/>
  <c r="H82" i="4" s="1"/>
  <c r="AM140" i="17"/>
  <c r="H109" i="4" s="1"/>
  <c r="AM141" i="17"/>
  <c r="H144" i="4" s="1"/>
  <c r="AM119" i="17"/>
  <c r="H138" i="4" s="1"/>
  <c r="AM134" i="17"/>
  <c r="H143" i="4" s="1"/>
  <c r="AM94" i="17"/>
  <c r="H77" i="4" s="1"/>
  <c r="AM109" i="17"/>
  <c r="H119" i="4" s="1"/>
  <c r="AM124" i="17"/>
  <c r="H132" i="4" s="1"/>
  <c r="AM118" i="17"/>
  <c r="H106" i="4" s="1"/>
  <c r="AM139" i="17"/>
  <c r="H121" i="4" s="1"/>
  <c r="AM176" i="17"/>
  <c r="AC176" i="17" s="1"/>
  <c r="AM177" i="17"/>
  <c r="AC177" i="17" s="1"/>
  <c r="AM178" i="17"/>
  <c r="AC178" i="17" s="1"/>
  <c r="AM179" i="17"/>
  <c r="AC179" i="17" s="1"/>
  <c r="AM180" i="17"/>
  <c r="AC180" i="17" s="1"/>
  <c r="AM181" i="17"/>
  <c r="AC181" i="17" s="1"/>
  <c r="AM98" i="17"/>
  <c r="H57" i="4" s="1"/>
  <c r="AM108" i="17"/>
  <c r="H40" i="4" s="1"/>
  <c r="AM123" i="17"/>
  <c r="H101" i="4" s="1"/>
  <c r="AM133" i="17"/>
  <c r="H129" i="4" s="1"/>
  <c r="AM92" i="17"/>
  <c r="H107" i="4" s="1"/>
  <c r="AM117" i="17"/>
  <c r="H51" i="4" s="1"/>
  <c r="AM138" i="17"/>
  <c r="H142" i="4" s="1"/>
  <c r="AM170" i="17"/>
  <c r="AC170" i="17" s="1"/>
  <c r="AM172" i="17"/>
  <c r="AC172" i="17" s="1"/>
  <c r="AM203" i="17"/>
  <c r="AC203" i="17" s="1"/>
  <c r="AM164" i="17"/>
  <c r="AC164" i="17" s="1"/>
  <c r="AM184" i="17"/>
  <c r="AC184" i="17" s="1"/>
  <c r="AM196" i="17"/>
  <c r="AC196" i="17" s="1"/>
  <c r="AM197" i="17"/>
  <c r="AC197" i="17" s="1"/>
  <c r="AM198" i="17"/>
  <c r="AC198" i="17" s="1"/>
  <c r="AM199" i="17"/>
  <c r="AC199" i="17" s="1"/>
  <c r="AM200" i="17"/>
  <c r="AC200" i="17" s="1"/>
  <c r="AM205" i="17"/>
  <c r="AC205" i="17" s="1"/>
  <c r="AM165" i="17"/>
  <c r="AC165" i="17" s="1"/>
  <c r="AM173" i="17"/>
  <c r="AC173" i="17" s="1"/>
  <c r="AM190" i="17"/>
  <c r="AC190" i="17" s="1"/>
  <c r="AM191" i="17"/>
  <c r="AC191" i="17" s="1"/>
  <c r="AM192" i="17"/>
  <c r="AC192" i="17" s="1"/>
  <c r="AM193" i="17"/>
  <c r="AC193" i="17" s="1"/>
  <c r="AM194" i="17"/>
  <c r="AC194" i="17" s="1"/>
  <c r="AM166" i="17"/>
  <c r="AC166" i="17" s="1"/>
  <c r="AM188" i="17"/>
  <c r="AC188" i="17" s="1"/>
  <c r="AM182" i="17"/>
  <c r="AC182" i="17" s="1"/>
  <c r="AM167" i="17"/>
  <c r="AC167" i="17" s="1"/>
  <c r="AM174" i="17"/>
  <c r="AC174" i="17" s="1"/>
  <c r="AM204" i="17"/>
  <c r="AC204" i="17" s="1"/>
  <c r="AM168" i="17"/>
  <c r="AC168" i="17" s="1"/>
  <c r="AM175" i="17"/>
  <c r="AC175" i="17" s="1"/>
  <c r="AM132" i="17"/>
  <c r="H146" i="4" s="1"/>
  <c r="AM169" i="17"/>
  <c r="AC169" i="17" s="1"/>
  <c r="AM186" i="17"/>
  <c r="AC186" i="17" s="1"/>
  <c r="AM220" i="17"/>
  <c r="AC220" i="17" s="1"/>
  <c r="AM221" i="17"/>
  <c r="AC221" i="17" s="1"/>
  <c r="AM222" i="17"/>
  <c r="AC222" i="17" s="1"/>
  <c r="AM223" i="17"/>
  <c r="AC223" i="17" s="1"/>
  <c r="AM224" i="17"/>
  <c r="AC224" i="17" s="1"/>
  <c r="AM217" i="17"/>
  <c r="AC217" i="17" s="1"/>
  <c r="AM218" i="17"/>
  <c r="AC218" i="17" s="1"/>
  <c r="AM214" i="17"/>
  <c r="AC214" i="17" s="1"/>
  <c r="AM215" i="17"/>
  <c r="AC215" i="17" s="1"/>
  <c r="AM122" i="17"/>
  <c r="H150" i="4" s="1"/>
  <c r="AM206" i="17"/>
  <c r="AC206" i="17" s="1"/>
  <c r="AM185" i="17"/>
  <c r="AC185" i="17" s="1"/>
  <c r="AM208" i="17"/>
  <c r="AC208" i="17" s="1"/>
  <c r="AM209" i="17"/>
  <c r="AC209" i="17" s="1"/>
  <c r="AM210" i="17"/>
  <c r="AC210" i="17" s="1"/>
  <c r="AM211" i="17"/>
  <c r="AC211" i="17" s="1"/>
  <c r="AM212" i="17"/>
  <c r="AC212" i="17" s="1"/>
  <c r="AM107" i="17"/>
  <c r="H66" i="4" s="1"/>
  <c r="AL11" i="17"/>
  <c r="G21" i="4" s="1"/>
  <c r="AL17" i="17"/>
  <c r="G22" i="4" s="1"/>
  <c r="AL23" i="17"/>
  <c r="G81" i="4" s="1"/>
  <c r="AL29" i="17"/>
  <c r="G59" i="4" s="1"/>
  <c r="AL35" i="17"/>
  <c r="G88" i="4" s="1"/>
  <c r="AL41" i="17"/>
  <c r="G50" i="4" s="1"/>
  <c r="AL47" i="17"/>
  <c r="G47" i="4" s="1"/>
  <c r="AL53" i="17"/>
  <c r="G44" i="4" s="1"/>
  <c r="AL59" i="17"/>
  <c r="G116" i="4" s="1"/>
  <c r="AL12" i="17"/>
  <c r="G6" i="4" s="1"/>
  <c r="AL18" i="17"/>
  <c r="G58" i="4" s="1"/>
  <c r="AL24" i="17"/>
  <c r="G23" i="4" s="1"/>
  <c r="AL30" i="17"/>
  <c r="G10" i="4" s="1"/>
  <c r="AL36" i="17"/>
  <c r="G27" i="4" s="1"/>
  <c r="AL42" i="17"/>
  <c r="G41" i="4" s="1"/>
  <c r="AL48" i="17"/>
  <c r="G73" i="4" s="1"/>
  <c r="AL54" i="17"/>
  <c r="G52" i="4" s="1"/>
  <c r="AL60" i="17"/>
  <c r="G16" i="4" s="1"/>
  <c r="AL7" i="17"/>
  <c r="G8" i="4" s="1"/>
  <c r="AL13" i="17"/>
  <c r="G31" i="4" s="1"/>
  <c r="AL19" i="17"/>
  <c r="G19" i="4" s="1"/>
  <c r="AL25" i="17"/>
  <c r="G43" i="4" s="1"/>
  <c r="AL8" i="17"/>
  <c r="G5" i="4" s="1"/>
  <c r="AL14" i="17"/>
  <c r="G14" i="4" s="1"/>
  <c r="AL20" i="17"/>
  <c r="G11" i="4" s="1"/>
  <c r="AL26" i="17"/>
  <c r="G64" i="4" s="1"/>
  <c r="AL9" i="17"/>
  <c r="G7" i="4" s="1"/>
  <c r="AL15" i="17"/>
  <c r="G13" i="4" s="1"/>
  <c r="AL21" i="17"/>
  <c r="G25" i="4" s="1"/>
  <c r="AL27" i="17"/>
  <c r="G24" i="4" s="1"/>
  <c r="AL67" i="17"/>
  <c r="G35" i="4" s="1"/>
  <c r="AL80" i="17"/>
  <c r="G156" i="4" s="1"/>
  <c r="AL86" i="17"/>
  <c r="G131" i="4" s="1"/>
  <c r="AL92" i="17"/>
  <c r="G107" i="4" s="1"/>
  <c r="AL98" i="17"/>
  <c r="G57" i="4" s="1"/>
  <c r="AL104" i="17"/>
  <c r="G133" i="4" s="1"/>
  <c r="AL110" i="17"/>
  <c r="G125" i="4" s="1"/>
  <c r="AL116" i="17"/>
  <c r="G139" i="4" s="1"/>
  <c r="AL122" i="17"/>
  <c r="G150" i="4" s="1"/>
  <c r="AL128" i="17"/>
  <c r="G90" i="4" s="1"/>
  <c r="AL134" i="17"/>
  <c r="G143" i="4" s="1"/>
  <c r="AL140" i="17"/>
  <c r="G109" i="4" s="1"/>
  <c r="AL146" i="17"/>
  <c r="G157" i="4" s="1"/>
  <c r="AL152" i="17"/>
  <c r="G140" i="4" s="1"/>
  <c r="AL158" i="17"/>
  <c r="G154" i="4" s="1"/>
  <c r="AL164" i="17"/>
  <c r="AB164" i="17" s="1"/>
  <c r="AL170" i="17"/>
  <c r="AB170" i="17" s="1"/>
  <c r="AL176" i="17"/>
  <c r="AB176" i="17" s="1"/>
  <c r="AL33" i="17"/>
  <c r="G18" i="4" s="1"/>
  <c r="AL37" i="17"/>
  <c r="G17" i="4" s="1"/>
  <c r="AL51" i="17"/>
  <c r="G12" i="4" s="1"/>
  <c r="AL55" i="17"/>
  <c r="G54" i="4" s="1"/>
  <c r="AL68" i="17"/>
  <c r="G83" i="4" s="1"/>
  <c r="AL69" i="17"/>
  <c r="G39" i="4" s="1"/>
  <c r="AL81" i="17"/>
  <c r="G145" i="4" s="1"/>
  <c r="AL87" i="17"/>
  <c r="G69" i="4" s="1"/>
  <c r="AL32" i="17"/>
  <c r="G85" i="4" s="1"/>
  <c r="AL46" i="17"/>
  <c r="G56" i="4" s="1"/>
  <c r="AL50" i="17"/>
  <c r="G37" i="4" s="1"/>
  <c r="AL31" i="17"/>
  <c r="G49" i="4" s="1"/>
  <c r="AL45" i="17"/>
  <c r="G126" i="4" s="1"/>
  <c r="AL49" i="17"/>
  <c r="G15" i="4" s="1"/>
  <c r="AL28" i="17"/>
  <c r="G61" i="4" s="1"/>
  <c r="AL10" i="17"/>
  <c r="G9" i="4" s="1"/>
  <c r="AL40" i="17"/>
  <c r="G55" i="4" s="1"/>
  <c r="AL44" i="17"/>
  <c r="G33" i="4" s="1"/>
  <c r="AL16" i="17"/>
  <c r="G32" i="4" s="1"/>
  <c r="AL39" i="17"/>
  <c r="G48" i="4" s="1"/>
  <c r="AL43" i="17"/>
  <c r="G71" i="4" s="1"/>
  <c r="AL38" i="17"/>
  <c r="G26" i="4" s="1"/>
  <c r="AL64" i="17"/>
  <c r="G114" i="4" s="1"/>
  <c r="AL79" i="17"/>
  <c r="G113" i="4" s="1"/>
  <c r="AL100" i="17"/>
  <c r="G86" i="4" s="1"/>
  <c r="AL114" i="17"/>
  <c r="G76" i="4" s="1"/>
  <c r="AL129" i="17"/>
  <c r="G136" i="4" s="1"/>
  <c r="AL143" i="17"/>
  <c r="G124" i="4" s="1"/>
  <c r="AL157" i="17"/>
  <c r="G148" i="4" s="1"/>
  <c r="AL172" i="17"/>
  <c r="AB172" i="17" s="1"/>
  <c r="AL73" i="17"/>
  <c r="G97" i="4" s="1"/>
  <c r="AL101" i="17"/>
  <c r="G115" i="4" s="1"/>
  <c r="AL115" i="17"/>
  <c r="G70" i="4" s="1"/>
  <c r="AL130" i="17"/>
  <c r="G122" i="4" s="1"/>
  <c r="AL22" i="17"/>
  <c r="G38" i="4" s="1"/>
  <c r="AL58" i="17"/>
  <c r="G30" i="4" s="1"/>
  <c r="AL63" i="17"/>
  <c r="G100" i="4" s="1"/>
  <c r="AL78" i="17"/>
  <c r="G95" i="4" s="1"/>
  <c r="AL102" i="17"/>
  <c r="G111" i="4" s="1"/>
  <c r="AL117" i="17"/>
  <c r="G51" i="4" s="1"/>
  <c r="AL131" i="17"/>
  <c r="G99" i="4" s="1"/>
  <c r="AL72" i="17"/>
  <c r="G29" i="4" s="1"/>
  <c r="AL85" i="17"/>
  <c r="G130" i="4" s="1"/>
  <c r="AL103" i="17"/>
  <c r="G102" i="4" s="1"/>
  <c r="AL56" i="17"/>
  <c r="G74" i="4" s="1"/>
  <c r="AL77" i="17"/>
  <c r="G87" i="4" s="1"/>
  <c r="AL84" i="17"/>
  <c r="G94" i="4" s="1"/>
  <c r="AL71" i="17"/>
  <c r="G28" i="4" s="1"/>
  <c r="AL83" i="17"/>
  <c r="G78" i="4" s="1"/>
  <c r="AL62" i="17"/>
  <c r="G62" i="4" s="1"/>
  <c r="AL82" i="17"/>
  <c r="G72" i="4" s="1"/>
  <c r="AL52" i="17"/>
  <c r="G53" i="4" s="1"/>
  <c r="AL66" i="17"/>
  <c r="G92" i="4" s="1"/>
  <c r="AL76" i="17"/>
  <c r="G110" i="4" s="1"/>
  <c r="AL90" i="17"/>
  <c r="G68" i="4" s="1"/>
  <c r="AL70" i="17"/>
  <c r="G63" i="4" s="1"/>
  <c r="AL89" i="17"/>
  <c r="G36" i="4" s="1"/>
  <c r="AL34" i="17"/>
  <c r="G45" i="4" s="1"/>
  <c r="AL57" i="17"/>
  <c r="G105" i="4" s="1"/>
  <c r="AL65" i="17"/>
  <c r="G20" i="4" s="1"/>
  <c r="AL75" i="17"/>
  <c r="G42" i="4" s="1"/>
  <c r="AL88" i="17"/>
  <c r="G67" i="4" s="1"/>
  <c r="AL61" i="17"/>
  <c r="G91" i="4" s="1"/>
  <c r="AL97" i="17"/>
  <c r="G34" i="4" s="1"/>
  <c r="AL106" i="17"/>
  <c r="G120" i="4" s="1"/>
  <c r="AL127" i="17"/>
  <c r="G159" i="4" s="1"/>
  <c r="AL188" i="17"/>
  <c r="AB188" i="17" s="1"/>
  <c r="AL203" i="17"/>
  <c r="AB203" i="17" s="1"/>
  <c r="AL217" i="17"/>
  <c r="AB217" i="17" s="1"/>
  <c r="AL93" i="17"/>
  <c r="G75" i="4" s="1"/>
  <c r="AL95" i="17"/>
  <c r="G84" i="4" s="1"/>
  <c r="AL111" i="17"/>
  <c r="G80" i="4" s="1"/>
  <c r="AL121" i="17"/>
  <c r="G65" i="4" s="1"/>
  <c r="AL136" i="17"/>
  <c r="G134" i="4" s="1"/>
  <c r="AL153" i="17"/>
  <c r="G141" i="4" s="1"/>
  <c r="AL154" i="17"/>
  <c r="G151" i="4" s="1"/>
  <c r="AL155" i="17"/>
  <c r="G127" i="4" s="1"/>
  <c r="AL156" i="17"/>
  <c r="G153" i="4" s="1"/>
  <c r="AL105" i="17"/>
  <c r="G96" i="4" s="1"/>
  <c r="AL126" i="17"/>
  <c r="G112" i="4" s="1"/>
  <c r="AL147" i="17"/>
  <c r="G104" i="4" s="1"/>
  <c r="AL148" i="17"/>
  <c r="G158" i="4" s="1"/>
  <c r="AL149" i="17"/>
  <c r="G149" i="4" s="1"/>
  <c r="AL150" i="17"/>
  <c r="G155" i="4" s="1"/>
  <c r="AL151" i="17"/>
  <c r="G147" i="4" s="1"/>
  <c r="AL120" i="17"/>
  <c r="G135" i="4" s="1"/>
  <c r="AL135" i="17"/>
  <c r="G117" i="4" s="1"/>
  <c r="AL144" i="17"/>
  <c r="G98" i="4" s="1"/>
  <c r="AL145" i="17"/>
  <c r="G93" i="4" s="1"/>
  <c r="AL99" i="17"/>
  <c r="G118" i="4" s="1"/>
  <c r="AL125" i="17"/>
  <c r="G82" i="4" s="1"/>
  <c r="AL141" i="17"/>
  <c r="G144" i="4" s="1"/>
  <c r="AL142" i="17"/>
  <c r="G128" i="4" s="1"/>
  <c r="AL74" i="17"/>
  <c r="G89" i="4" s="1"/>
  <c r="AL119" i="17"/>
  <c r="G138" i="4" s="1"/>
  <c r="AL94" i="17"/>
  <c r="G77" i="4" s="1"/>
  <c r="AL109" i="17"/>
  <c r="G119" i="4" s="1"/>
  <c r="AL124" i="17"/>
  <c r="G132" i="4" s="1"/>
  <c r="AL118" i="17"/>
  <c r="G106" i="4" s="1"/>
  <c r="AL139" i="17"/>
  <c r="G121" i="4" s="1"/>
  <c r="AL177" i="17"/>
  <c r="AB177" i="17" s="1"/>
  <c r="AL178" i="17"/>
  <c r="AB178" i="17" s="1"/>
  <c r="AL179" i="17"/>
  <c r="AB179" i="17" s="1"/>
  <c r="AL180" i="17"/>
  <c r="AB180" i="17" s="1"/>
  <c r="AL181" i="17"/>
  <c r="AB181" i="17" s="1"/>
  <c r="AL182" i="17"/>
  <c r="AB182" i="17" s="1"/>
  <c r="AL91" i="17"/>
  <c r="G60" i="4" s="1"/>
  <c r="AL96" i="17"/>
  <c r="G46" i="4" s="1"/>
  <c r="AL108" i="17"/>
  <c r="G40" i="4" s="1"/>
  <c r="AL123" i="17"/>
  <c r="G101" i="4" s="1"/>
  <c r="AL133" i="17"/>
  <c r="G129" i="4" s="1"/>
  <c r="AL173" i="17"/>
  <c r="AB173" i="17" s="1"/>
  <c r="AL174" i="17"/>
  <c r="AB174" i="17" s="1"/>
  <c r="AL175" i="17"/>
  <c r="AB175" i="17" s="1"/>
  <c r="AL113" i="17"/>
  <c r="G103" i="4" s="1"/>
  <c r="AL138" i="17"/>
  <c r="G142" i="4" s="1"/>
  <c r="AL107" i="17"/>
  <c r="G66" i="4" s="1"/>
  <c r="AL132" i="17"/>
  <c r="G146" i="4" s="1"/>
  <c r="AL165" i="17"/>
  <c r="AB165" i="17" s="1"/>
  <c r="AL166" i="17"/>
  <c r="AB166" i="17" s="1"/>
  <c r="AL167" i="17"/>
  <c r="AB167" i="17" s="1"/>
  <c r="AL168" i="17"/>
  <c r="AB168" i="17" s="1"/>
  <c r="AL169" i="17"/>
  <c r="AB169" i="17" s="1"/>
  <c r="AL163" i="17"/>
  <c r="AB163" i="17" s="1"/>
  <c r="AL184" i="17"/>
  <c r="AB184" i="17" s="1"/>
  <c r="AL196" i="17"/>
  <c r="AB196" i="17" s="1"/>
  <c r="AL197" i="17"/>
  <c r="AB197" i="17" s="1"/>
  <c r="AL198" i="17"/>
  <c r="AB198" i="17" s="1"/>
  <c r="AL199" i="17"/>
  <c r="AB199" i="17" s="1"/>
  <c r="AL200" i="17"/>
  <c r="AB200" i="17" s="1"/>
  <c r="AL201" i="17"/>
  <c r="AB201" i="17" s="1"/>
  <c r="AL190" i="17"/>
  <c r="AB190" i="17" s="1"/>
  <c r="AL191" i="17"/>
  <c r="AB191" i="17" s="1"/>
  <c r="AL192" i="17"/>
  <c r="AB192" i="17" s="1"/>
  <c r="AL193" i="17"/>
  <c r="AB193" i="17" s="1"/>
  <c r="AL194" i="17"/>
  <c r="AB194" i="17" s="1"/>
  <c r="AL195" i="17"/>
  <c r="AB195" i="17" s="1"/>
  <c r="AL189" i="17"/>
  <c r="AB189" i="17" s="1"/>
  <c r="AL112" i="17"/>
  <c r="G79" i="4" s="1"/>
  <c r="AL187" i="17"/>
  <c r="AB187" i="17" s="1"/>
  <c r="AL183" i="17"/>
  <c r="AB183" i="17" s="1"/>
  <c r="AL186" i="17"/>
  <c r="AB186" i="17" s="1"/>
  <c r="AL220" i="17"/>
  <c r="AB220" i="17" s="1"/>
  <c r="AL221" i="17"/>
  <c r="AB221" i="17" s="1"/>
  <c r="AL222" i="17"/>
  <c r="AB222" i="17" s="1"/>
  <c r="AL223" i="17"/>
  <c r="AB223" i="17" s="1"/>
  <c r="AL224" i="17"/>
  <c r="AB224" i="17" s="1"/>
  <c r="AL218" i="17"/>
  <c r="AB218" i="17" s="1"/>
  <c r="AL219" i="17"/>
  <c r="AB219" i="17" s="1"/>
  <c r="AL162" i="17"/>
  <c r="AB162" i="17" s="1"/>
  <c r="AL159" i="17"/>
  <c r="G152" i="4" s="1"/>
  <c r="AL214" i="17"/>
  <c r="AB214" i="17" s="1"/>
  <c r="AL215" i="17"/>
  <c r="AB215" i="17" s="1"/>
  <c r="AL216" i="17"/>
  <c r="AB216" i="17" s="1"/>
  <c r="AL137" i="17"/>
  <c r="G108" i="4" s="1"/>
  <c r="AL202" i="17"/>
  <c r="AB202" i="17" s="1"/>
  <c r="AL160" i="17"/>
  <c r="G137" i="4" s="1"/>
  <c r="AL185" i="17"/>
  <c r="AB185" i="17" s="1"/>
  <c r="AL208" i="17"/>
  <c r="AB208" i="17" s="1"/>
  <c r="AL209" i="17"/>
  <c r="AB209" i="17" s="1"/>
  <c r="AL210" i="17"/>
  <c r="AB210" i="17" s="1"/>
  <c r="AL211" i="17"/>
  <c r="AB211" i="17" s="1"/>
  <c r="AL212" i="17"/>
  <c r="AB212" i="17" s="1"/>
  <c r="AL213" i="17"/>
  <c r="AB213" i="17" s="1"/>
  <c r="AL161" i="17"/>
  <c r="G123" i="4" s="1"/>
  <c r="AL171" i="17"/>
  <c r="AB171" i="17" s="1"/>
  <c r="AL204" i="17"/>
  <c r="AB204" i="17" s="1"/>
  <c r="AL205" i="17"/>
  <c r="AB205" i="17" s="1"/>
  <c r="AL206" i="17"/>
  <c r="AB206" i="17" s="1"/>
  <c r="AL207" i="17"/>
  <c r="AB207" i="17" s="1"/>
  <c r="AJ12" i="17"/>
  <c r="E6" i="4" s="1"/>
  <c r="AJ18" i="17"/>
  <c r="E58" i="4" s="1"/>
  <c r="AJ24" i="17"/>
  <c r="E23" i="4" s="1"/>
  <c r="AJ30" i="17"/>
  <c r="E10" i="4" s="1"/>
  <c r="AJ36" i="17"/>
  <c r="E27" i="4" s="1"/>
  <c r="AJ42" i="17"/>
  <c r="E41" i="4" s="1"/>
  <c r="AJ48" i="17"/>
  <c r="E73" i="4" s="1"/>
  <c r="AJ54" i="17"/>
  <c r="E52" i="4" s="1"/>
  <c r="AJ60" i="17"/>
  <c r="E16" i="4" s="1"/>
  <c r="AJ7" i="17"/>
  <c r="E8" i="4" s="1"/>
  <c r="AJ13" i="17"/>
  <c r="E31" i="4" s="1"/>
  <c r="AJ19" i="17"/>
  <c r="E19" i="4" s="1"/>
  <c r="AJ25" i="17"/>
  <c r="E43" i="4" s="1"/>
  <c r="AJ31" i="17"/>
  <c r="E49" i="4" s="1"/>
  <c r="AJ37" i="17"/>
  <c r="E17" i="4" s="1"/>
  <c r="AJ43" i="17"/>
  <c r="E71" i="4" s="1"/>
  <c r="AJ49" i="17"/>
  <c r="E15" i="4" s="1"/>
  <c r="AJ55" i="17"/>
  <c r="E54" i="4" s="1"/>
  <c r="AJ61" i="17"/>
  <c r="E91" i="4" s="1"/>
  <c r="AJ8" i="17"/>
  <c r="E5" i="4" s="1"/>
  <c r="AJ14" i="17"/>
  <c r="E14" i="4" s="1"/>
  <c r="AJ20" i="17"/>
  <c r="E11" i="4" s="1"/>
  <c r="AJ26" i="17"/>
  <c r="E64" i="4" s="1"/>
  <c r="AJ9" i="17"/>
  <c r="E7" i="4" s="1"/>
  <c r="AJ15" i="17"/>
  <c r="E13" i="4" s="1"/>
  <c r="AJ21" i="17"/>
  <c r="E25" i="4" s="1"/>
  <c r="AJ27" i="17"/>
  <c r="E24" i="4" s="1"/>
  <c r="AJ10" i="17"/>
  <c r="E9" i="4" s="1"/>
  <c r="AJ16" i="17"/>
  <c r="E32" i="4" s="1"/>
  <c r="AJ22" i="17"/>
  <c r="E38" i="4" s="1"/>
  <c r="AJ29" i="17"/>
  <c r="E59" i="4" s="1"/>
  <c r="AJ69" i="17"/>
  <c r="E39" i="4" s="1"/>
  <c r="AJ81" i="17"/>
  <c r="E145" i="4" s="1"/>
  <c r="AJ87" i="17"/>
  <c r="E69" i="4" s="1"/>
  <c r="AJ93" i="17"/>
  <c r="E75" i="4" s="1"/>
  <c r="AJ99" i="17"/>
  <c r="E118" i="4" s="1"/>
  <c r="AJ105" i="17"/>
  <c r="E96" i="4" s="1"/>
  <c r="AJ111" i="17"/>
  <c r="E80" i="4" s="1"/>
  <c r="AJ117" i="17"/>
  <c r="E51" i="4" s="1"/>
  <c r="AJ123" i="17"/>
  <c r="E101" i="4" s="1"/>
  <c r="AJ129" i="17"/>
  <c r="E136" i="4" s="1"/>
  <c r="AJ135" i="17"/>
  <c r="E117" i="4" s="1"/>
  <c r="AJ141" i="17"/>
  <c r="E144" i="4" s="1"/>
  <c r="AJ147" i="17"/>
  <c r="E104" i="4" s="1"/>
  <c r="AJ153" i="17"/>
  <c r="E141" i="4" s="1"/>
  <c r="AJ159" i="17"/>
  <c r="E152" i="4" s="1"/>
  <c r="AJ165" i="17"/>
  <c r="Z165" i="17" s="1"/>
  <c r="AJ171" i="17"/>
  <c r="Z171" i="17" s="1"/>
  <c r="AJ177" i="17"/>
  <c r="Z177" i="17" s="1"/>
  <c r="AJ32" i="17"/>
  <c r="E85" i="4" s="1"/>
  <c r="AJ46" i="17"/>
  <c r="E56" i="4" s="1"/>
  <c r="AJ50" i="17"/>
  <c r="E37" i="4" s="1"/>
  <c r="AJ70" i="17"/>
  <c r="E63" i="4" s="1"/>
  <c r="AJ23" i="17"/>
  <c r="E81" i="4" s="1"/>
  <c r="AJ71" i="17"/>
  <c r="E28" i="4" s="1"/>
  <c r="AJ72" i="17"/>
  <c r="E29" i="4" s="1"/>
  <c r="AJ82" i="17"/>
  <c r="E72" i="4" s="1"/>
  <c r="AJ88" i="17"/>
  <c r="E67" i="4" s="1"/>
  <c r="AJ41" i="17"/>
  <c r="E50" i="4" s="1"/>
  <c r="AJ45" i="17"/>
  <c r="E126" i="4" s="1"/>
  <c r="AJ59" i="17"/>
  <c r="E116" i="4" s="1"/>
  <c r="AJ28" i="17"/>
  <c r="E61" i="4" s="1"/>
  <c r="AJ40" i="17"/>
  <c r="E55" i="4" s="1"/>
  <c r="AJ44" i="17"/>
  <c r="E33" i="4" s="1"/>
  <c r="AJ58" i="17"/>
  <c r="E30" i="4" s="1"/>
  <c r="AJ35" i="17"/>
  <c r="E88" i="4" s="1"/>
  <c r="AJ39" i="17"/>
  <c r="E48" i="4" s="1"/>
  <c r="AJ11" i="17"/>
  <c r="E21" i="4" s="1"/>
  <c r="AJ34" i="17"/>
  <c r="E45" i="4" s="1"/>
  <c r="AJ38" i="17"/>
  <c r="E26" i="4" s="1"/>
  <c r="AJ51" i="17"/>
  <c r="E12" i="4" s="1"/>
  <c r="AJ63" i="17"/>
  <c r="E100" i="4" s="1"/>
  <c r="AJ78" i="17"/>
  <c r="E95" i="4" s="1"/>
  <c r="AJ86" i="17"/>
  <c r="E131" i="4" s="1"/>
  <c r="AJ102" i="17"/>
  <c r="E111" i="4" s="1"/>
  <c r="AJ116" i="17"/>
  <c r="E139" i="4" s="1"/>
  <c r="AJ131" i="17"/>
  <c r="E99" i="4" s="1"/>
  <c r="AJ145" i="17"/>
  <c r="E93" i="4" s="1"/>
  <c r="AJ160" i="17"/>
  <c r="E137" i="4" s="1"/>
  <c r="AJ174" i="17"/>
  <c r="Z174" i="17" s="1"/>
  <c r="AJ17" i="17"/>
  <c r="E22" i="4" s="1"/>
  <c r="AJ68" i="17"/>
  <c r="E83" i="4" s="1"/>
  <c r="AJ85" i="17"/>
  <c r="E130" i="4" s="1"/>
  <c r="AJ103" i="17"/>
  <c r="E102" i="4" s="1"/>
  <c r="AJ118" i="17"/>
  <c r="E106" i="4" s="1"/>
  <c r="AJ132" i="17"/>
  <c r="E146" i="4" s="1"/>
  <c r="AJ56" i="17"/>
  <c r="E74" i="4" s="1"/>
  <c r="AJ84" i="17"/>
  <c r="E94" i="4" s="1"/>
  <c r="AJ104" i="17"/>
  <c r="E133" i="4" s="1"/>
  <c r="AJ119" i="17"/>
  <c r="E138" i="4" s="1"/>
  <c r="AJ133" i="17"/>
  <c r="E129" i="4" s="1"/>
  <c r="AJ67" i="17"/>
  <c r="E35" i="4" s="1"/>
  <c r="AJ77" i="17"/>
  <c r="E87" i="4" s="1"/>
  <c r="AJ83" i="17"/>
  <c r="E78" i="4" s="1"/>
  <c r="AJ62" i="17"/>
  <c r="E62" i="4" s="1"/>
  <c r="AJ91" i="17"/>
  <c r="E60" i="4" s="1"/>
  <c r="AJ92" i="17"/>
  <c r="E107" i="4" s="1"/>
  <c r="AJ52" i="17"/>
  <c r="E53" i="4" s="1"/>
  <c r="AJ66" i="17"/>
  <c r="E92" i="4" s="1"/>
  <c r="AJ76" i="17"/>
  <c r="E110" i="4" s="1"/>
  <c r="AJ90" i="17"/>
  <c r="E68" i="4" s="1"/>
  <c r="AJ94" i="17"/>
  <c r="E77" i="4" s="1"/>
  <c r="AJ89" i="17"/>
  <c r="E36" i="4" s="1"/>
  <c r="AJ57" i="17"/>
  <c r="E105" i="4" s="1"/>
  <c r="AJ75" i="17"/>
  <c r="E42" i="4" s="1"/>
  <c r="AJ33" i="17"/>
  <c r="E18" i="4" s="1"/>
  <c r="AJ65" i="17"/>
  <c r="E20" i="4" s="1"/>
  <c r="AJ74" i="17"/>
  <c r="E89" i="4" s="1"/>
  <c r="AJ80" i="17"/>
  <c r="E156" i="4" s="1"/>
  <c r="AJ47" i="17"/>
  <c r="E47" i="4" s="1"/>
  <c r="AJ53" i="17"/>
  <c r="E44" i="4" s="1"/>
  <c r="AJ64" i="17"/>
  <c r="E114" i="4" s="1"/>
  <c r="AJ79" i="17"/>
  <c r="E113" i="4" s="1"/>
  <c r="AJ126" i="17"/>
  <c r="E112" i="4" s="1"/>
  <c r="AJ148" i="17"/>
  <c r="E158" i="4" s="1"/>
  <c r="AJ149" i="17"/>
  <c r="E149" i="4" s="1"/>
  <c r="AJ150" i="17"/>
  <c r="E155" i="4" s="1"/>
  <c r="AJ151" i="17"/>
  <c r="E147" i="4" s="1"/>
  <c r="AJ152" i="17"/>
  <c r="E140" i="4" s="1"/>
  <c r="AJ190" i="17"/>
  <c r="Z190" i="17" s="1"/>
  <c r="AJ191" i="17"/>
  <c r="Z191" i="17" s="1"/>
  <c r="AJ205" i="17"/>
  <c r="Z205" i="17" s="1"/>
  <c r="AJ219" i="17"/>
  <c r="Z219" i="17" s="1"/>
  <c r="AJ97" i="17"/>
  <c r="E34" i="4" s="1"/>
  <c r="AJ120" i="17"/>
  <c r="E135" i="4" s="1"/>
  <c r="AJ146" i="17"/>
  <c r="E157" i="4" s="1"/>
  <c r="AJ110" i="17"/>
  <c r="E125" i="4" s="1"/>
  <c r="AJ125" i="17"/>
  <c r="E82" i="4" s="1"/>
  <c r="AJ142" i="17"/>
  <c r="E128" i="4" s="1"/>
  <c r="AJ143" i="17"/>
  <c r="E124" i="4" s="1"/>
  <c r="AJ144" i="17"/>
  <c r="E98" i="4" s="1"/>
  <c r="AJ115" i="17"/>
  <c r="E70" i="4" s="1"/>
  <c r="AJ130" i="17"/>
  <c r="E122" i="4" s="1"/>
  <c r="AJ140" i="17"/>
  <c r="E109" i="4" s="1"/>
  <c r="AJ73" i="17"/>
  <c r="E97" i="4" s="1"/>
  <c r="AJ109" i="17"/>
  <c r="E119" i="4" s="1"/>
  <c r="AJ124" i="17"/>
  <c r="E132" i="4" s="1"/>
  <c r="AJ134" i="17"/>
  <c r="E143" i="4" s="1"/>
  <c r="AJ114" i="17"/>
  <c r="E76" i="4" s="1"/>
  <c r="AJ139" i="17"/>
  <c r="E121" i="4" s="1"/>
  <c r="AJ96" i="17"/>
  <c r="E46" i="4" s="1"/>
  <c r="AJ101" i="17"/>
  <c r="E115" i="4" s="1"/>
  <c r="AJ108" i="17"/>
  <c r="E40" i="4" s="1"/>
  <c r="AJ175" i="17"/>
  <c r="Z175" i="17" s="1"/>
  <c r="AJ176" i="17"/>
  <c r="Z176" i="17" s="1"/>
  <c r="AJ183" i="17"/>
  <c r="Z183" i="17" s="1"/>
  <c r="AJ113" i="17"/>
  <c r="E103" i="4" s="1"/>
  <c r="AJ138" i="17"/>
  <c r="E142" i="4" s="1"/>
  <c r="AJ172" i="17"/>
  <c r="Z172" i="17" s="1"/>
  <c r="AJ173" i="17"/>
  <c r="Z173" i="17" s="1"/>
  <c r="AJ184" i="17"/>
  <c r="Z184" i="17" s="1"/>
  <c r="AJ185" i="17"/>
  <c r="Z185" i="17" s="1"/>
  <c r="AJ98" i="17"/>
  <c r="E57" i="4" s="1"/>
  <c r="AJ107" i="17"/>
  <c r="E66" i="4" s="1"/>
  <c r="AJ128" i="17"/>
  <c r="E90" i="4" s="1"/>
  <c r="AJ166" i="17"/>
  <c r="Z166" i="17" s="1"/>
  <c r="AJ167" i="17"/>
  <c r="Z167" i="17" s="1"/>
  <c r="AJ168" i="17"/>
  <c r="Z168" i="17" s="1"/>
  <c r="AJ169" i="17"/>
  <c r="Z169" i="17" s="1"/>
  <c r="AJ170" i="17"/>
  <c r="Z170" i="17" s="1"/>
  <c r="AJ112" i="17"/>
  <c r="E79" i="4" s="1"/>
  <c r="AJ122" i="17"/>
  <c r="E150" i="4" s="1"/>
  <c r="AJ137" i="17"/>
  <c r="E108" i="4" s="1"/>
  <c r="AJ161" i="17"/>
  <c r="E123" i="4" s="1"/>
  <c r="AJ162" i="17"/>
  <c r="Z162" i="17" s="1"/>
  <c r="AJ163" i="17"/>
  <c r="Z163" i="17" s="1"/>
  <c r="AJ164" i="17"/>
  <c r="Z164" i="17" s="1"/>
  <c r="AJ100" i="17"/>
  <c r="E86" i="4" s="1"/>
  <c r="AJ106" i="17"/>
  <c r="E120" i="4" s="1"/>
  <c r="AJ127" i="17"/>
  <c r="E159" i="4" s="1"/>
  <c r="AJ180" i="17"/>
  <c r="Z180" i="17" s="1"/>
  <c r="AJ194" i="17"/>
  <c r="Z194" i="17" s="1"/>
  <c r="AJ187" i="17"/>
  <c r="Z187" i="17" s="1"/>
  <c r="AJ188" i="17"/>
  <c r="Z188" i="17" s="1"/>
  <c r="AJ189" i="17"/>
  <c r="Z189" i="17" s="1"/>
  <c r="AJ196" i="17"/>
  <c r="Z196" i="17" s="1"/>
  <c r="AJ193" i="17"/>
  <c r="Z193" i="17" s="1"/>
  <c r="AJ95" i="17"/>
  <c r="E84" i="4" s="1"/>
  <c r="AJ154" i="17"/>
  <c r="E151" i="4" s="1"/>
  <c r="AJ178" i="17"/>
  <c r="Z178" i="17" s="1"/>
  <c r="AJ192" i="17"/>
  <c r="Z192" i="17" s="1"/>
  <c r="AJ155" i="17"/>
  <c r="E127" i="4" s="1"/>
  <c r="AJ186" i="17"/>
  <c r="Z186" i="17" s="1"/>
  <c r="AJ221" i="17"/>
  <c r="Z221" i="17" s="1"/>
  <c r="AJ222" i="17"/>
  <c r="Z222" i="17" s="1"/>
  <c r="AJ223" i="17"/>
  <c r="Z223" i="17" s="1"/>
  <c r="AJ224" i="17"/>
  <c r="Z224" i="17" s="1"/>
  <c r="AJ195" i="17"/>
  <c r="Z195" i="17" s="1"/>
  <c r="AJ156" i="17"/>
  <c r="E153" i="4" s="1"/>
  <c r="AJ181" i="17"/>
  <c r="Z181" i="17" s="1"/>
  <c r="AJ220" i="17"/>
  <c r="Z220" i="17" s="1"/>
  <c r="AJ157" i="17"/>
  <c r="E148" i="4" s="1"/>
  <c r="AJ215" i="17"/>
  <c r="Z215" i="17" s="1"/>
  <c r="AJ216" i="17"/>
  <c r="Z216" i="17" s="1"/>
  <c r="AJ217" i="17"/>
  <c r="Z217" i="17" s="1"/>
  <c r="AJ218" i="17"/>
  <c r="Z218" i="17" s="1"/>
  <c r="AJ158" i="17"/>
  <c r="E154" i="4" s="1"/>
  <c r="AJ179" i="17"/>
  <c r="Z179" i="17" s="1"/>
  <c r="AJ209" i="17"/>
  <c r="Z209" i="17" s="1"/>
  <c r="AJ210" i="17"/>
  <c r="Z210" i="17" s="1"/>
  <c r="AJ211" i="17"/>
  <c r="Z211" i="17" s="1"/>
  <c r="AJ212" i="17"/>
  <c r="Z212" i="17" s="1"/>
  <c r="AJ213" i="17"/>
  <c r="Z213" i="17" s="1"/>
  <c r="AJ214" i="17"/>
  <c r="Z214" i="17" s="1"/>
  <c r="AJ206" i="17"/>
  <c r="Z206" i="17" s="1"/>
  <c r="AJ207" i="17"/>
  <c r="Z207" i="17" s="1"/>
  <c r="AJ208" i="17"/>
  <c r="Z208" i="17" s="1"/>
  <c r="AJ203" i="17"/>
  <c r="Z203" i="17" s="1"/>
  <c r="AJ204" i="17"/>
  <c r="Z204" i="17" s="1"/>
  <c r="AJ121" i="17"/>
  <c r="E65" i="4" s="1"/>
  <c r="AJ136" i="17"/>
  <c r="E134" i="4" s="1"/>
  <c r="AJ182" i="17"/>
  <c r="Z182" i="17" s="1"/>
  <c r="AJ197" i="17"/>
  <c r="Z197" i="17" s="1"/>
  <c r="AJ198" i="17"/>
  <c r="Z198" i="17" s="1"/>
  <c r="AJ199" i="17"/>
  <c r="Z199" i="17" s="1"/>
  <c r="AJ200" i="17"/>
  <c r="Z200" i="17" s="1"/>
  <c r="AJ201" i="17"/>
  <c r="Z201" i="17" s="1"/>
  <c r="AJ202" i="17"/>
  <c r="Z202" i="17" s="1"/>
  <c r="AN6" i="17"/>
  <c r="I4" i="4" s="1"/>
  <c r="AM6" i="17"/>
  <c r="H4" i="4" s="1"/>
  <c r="AL6" i="17"/>
  <c r="G4" i="4" s="1"/>
  <c r="AJ6" i="17"/>
  <c r="E4" i="4" s="1"/>
  <c r="AI6" i="17"/>
  <c r="AP4" i="17"/>
  <c r="D109" i="4" l="1"/>
  <c r="D111" i="4"/>
  <c r="D44" i="4"/>
  <c r="D75" i="4"/>
  <c r="D87" i="4"/>
  <c r="D18" i="4"/>
  <c r="D97" i="4"/>
  <c r="D38" i="4"/>
  <c r="D17" i="4"/>
  <c r="D41" i="4"/>
  <c r="D65" i="4"/>
  <c r="D100" i="4"/>
  <c r="D122" i="4"/>
  <c r="D68" i="4"/>
  <c r="D35" i="4"/>
  <c r="D22" i="4"/>
  <c r="D116" i="4"/>
  <c r="D32" i="4"/>
  <c r="D27" i="4"/>
  <c r="D158" i="4"/>
  <c r="D84" i="4"/>
  <c r="D70" i="4"/>
  <c r="D156" i="4"/>
  <c r="D110" i="4"/>
  <c r="D129" i="4"/>
  <c r="D24" i="4"/>
  <c r="D9" i="4"/>
  <c r="D137" i="4"/>
  <c r="D89" i="4"/>
  <c r="D123" i="4"/>
  <c r="D26" i="4"/>
  <c r="D4" i="4"/>
  <c r="D159" i="4"/>
  <c r="D142" i="4"/>
  <c r="D91" i="4"/>
  <c r="D147" i="4"/>
  <c r="D86" i="4"/>
  <c r="D145" i="4"/>
  <c r="D60" i="4"/>
  <c r="D21" i="4"/>
  <c r="D72" i="4"/>
  <c r="D7" i="4"/>
  <c r="D134" i="4"/>
  <c r="D152" i="4"/>
  <c r="D103" i="4"/>
  <c r="D155" i="4"/>
  <c r="D154" i="4"/>
  <c r="D76" i="4"/>
  <c r="D124" i="4"/>
  <c r="D34" i="4"/>
  <c r="D42" i="4"/>
  <c r="D88" i="4"/>
  <c r="D81" i="4"/>
  <c r="D14" i="4"/>
  <c r="D29" i="4"/>
  <c r="D149" i="4"/>
  <c r="D148" i="4"/>
  <c r="D132" i="4"/>
  <c r="D128" i="4"/>
  <c r="D69" i="4"/>
  <c r="D105" i="4"/>
  <c r="D135" i="4"/>
  <c r="D63" i="4"/>
  <c r="D140" i="4"/>
  <c r="D141" i="4"/>
  <c r="D153" i="4"/>
  <c r="D90" i="4"/>
  <c r="D136" i="4"/>
  <c r="D119" i="4"/>
  <c r="D39" i="4"/>
  <c r="D36" i="4"/>
  <c r="D120" i="4"/>
  <c r="D130" i="4"/>
  <c r="D37" i="4"/>
  <c r="D112" i="4"/>
  <c r="D40" i="4"/>
  <c r="D131" i="4"/>
  <c r="D82" i="4"/>
  <c r="D59" i="4"/>
  <c r="D61" i="4"/>
  <c r="D57" i="4"/>
  <c r="D115" i="4"/>
  <c r="D78" i="4"/>
  <c r="D30" i="4"/>
  <c r="D71" i="4"/>
  <c r="Z96" i="17"/>
  <c r="Z14" i="17"/>
  <c r="AB57" i="17"/>
  <c r="AC26" i="17"/>
  <c r="AD131" i="17"/>
  <c r="Z80" i="17"/>
  <c r="Z12" i="17"/>
  <c r="AB129" i="17"/>
  <c r="Z103" i="17"/>
  <c r="Z19" i="17"/>
  <c r="AB124" i="17"/>
  <c r="Z154" i="17"/>
  <c r="Z108" i="17"/>
  <c r="Z144" i="17"/>
  <c r="Z152" i="17"/>
  <c r="Z65" i="17"/>
  <c r="Z85" i="17"/>
  <c r="Z51" i="17"/>
  <c r="AB160" i="17"/>
  <c r="Z95" i="17"/>
  <c r="Z107" i="17"/>
  <c r="Z101" i="17"/>
  <c r="Z143" i="17"/>
  <c r="Z151" i="17"/>
  <c r="Z33" i="17"/>
  <c r="Z83" i="17"/>
  <c r="Z68" i="17"/>
  <c r="Z38" i="17"/>
  <c r="Z88" i="17"/>
  <c r="Z159" i="17"/>
  <c r="Z87" i="17"/>
  <c r="Z20" i="17"/>
  <c r="Z7" i="17"/>
  <c r="AB96" i="17"/>
  <c r="AB94" i="17"/>
  <c r="AB150" i="17"/>
  <c r="AB111" i="17"/>
  <c r="AB65" i="17"/>
  <c r="AB71" i="17"/>
  <c r="AB58" i="17"/>
  <c r="AB79" i="17"/>
  <c r="AB31" i="17"/>
  <c r="AB104" i="17"/>
  <c r="AB14" i="17"/>
  <c r="AB24" i="17"/>
  <c r="AC107" i="17"/>
  <c r="AC117" i="17"/>
  <c r="AC139" i="17"/>
  <c r="AC144" i="17"/>
  <c r="AC126" i="17"/>
  <c r="AC157" i="17"/>
  <c r="AC159" i="17"/>
  <c r="AC91" i="17"/>
  <c r="AC78" i="17"/>
  <c r="AC79" i="17"/>
  <c r="AC127" i="17"/>
  <c r="AC15" i="17"/>
  <c r="AC80" i="17"/>
  <c r="AC17" i="17"/>
  <c r="AC16" i="17"/>
  <c r="AD140" i="17"/>
  <c r="AD150" i="17"/>
  <c r="AD156" i="17"/>
  <c r="AD90" i="17"/>
  <c r="AD102" i="17"/>
  <c r="AD99" i="17"/>
  <c r="AD48" i="17"/>
  <c r="AD9" i="17"/>
  <c r="AD42" i="17"/>
  <c r="AD121" i="17"/>
  <c r="AD20" i="17"/>
  <c r="AD47" i="17"/>
  <c r="AD28" i="17"/>
  <c r="Z75" i="17"/>
  <c r="AB84" i="17"/>
  <c r="AC158" i="17"/>
  <c r="AC10" i="17"/>
  <c r="AD44" i="17"/>
  <c r="Z11" i="17"/>
  <c r="Z8" i="17"/>
  <c r="AB93" i="17"/>
  <c r="AB34" i="17"/>
  <c r="AB130" i="17"/>
  <c r="AB38" i="17"/>
  <c r="AB46" i="17"/>
  <c r="AB92" i="17"/>
  <c r="AB25" i="17"/>
  <c r="AB12" i="17"/>
  <c r="AC133" i="17"/>
  <c r="AC124" i="17"/>
  <c r="AC135" i="17"/>
  <c r="AC97" i="17"/>
  <c r="AC106" i="17"/>
  <c r="AC137" i="17"/>
  <c r="AC62" i="17"/>
  <c r="AC54" i="17"/>
  <c r="AC99" i="17"/>
  <c r="AC50" i="17"/>
  <c r="AC60" i="17"/>
  <c r="AC24" i="17"/>
  <c r="AC76" i="17"/>
  <c r="AD104" i="17"/>
  <c r="AD148" i="17"/>
  <c r="AD106" i="17"/>
  <c r="AD70" i="17"/>
  <c r="AD63" i="17"/>
  <c r="AD64" i="17"/>
  <c r="AD30" i="17"/>
  <c r="AD51" i="17"/>
  <c r="AD109" i="17"/>
  <c r="AD8" i="17"/>
  <c r="AD35" i="17"/>
  <c r="AD16" i="17"/>
  <c r="Z34" i="17"/>
  <c r="AB64" i="17"/>
  <c r="AC63" i="17"/>
  <c r="AD78" i="17"/>
  <c r="Z161" i="17"/>
  <c r="Z125" i="17"/>
  <c r="Z147" i="17"/>
  <c r="Z54" i="17"/>
  <c r="AB148" i="17"/>
  <c r="Z114" i="17"/>
  <c r="Z133" i="17"/>
  <c r="Z71" i="17"/>
  <c r="Z61" i="17"/>
  <c r="AB161" i="17"/>
  <c r="AB107" i="17"/>
  <c r="AB142" i="17"/>
  <c r="AB147" i="17"/>
  <c r="AB89" i="17"/>
  <c r="AB56" i="17"/>
  <c r="AB115" i="17"/>
  <c r="AB43" i="17"/>
  <c r="AB32" i="17"/>
  <c r="AB158" i="17"/>
  <c r="AB86" i="17"/>
  <c r="AB19" i="17"/>
  <c r="AB59" i="17"/>
  <c r="AC123" i="17"/>
  <c r="AC109" i="17"/>
  <c r="AC120" i="17"/>
  <c r="AC155" i="17"/>
  <c r="AC69" i="17"/>
  <c r="AC112" i="17"/>
  <c r="AC83" i="17"/>
  <c r="AC25" i="17"/>
  <c r="AC74" i="17"/>
  <c r="AC36" i="17"/>
  <c r="AC66" i="17"/>
  <c r="AC18" i="17"/>
  <c r="AC70" i="17"/>
  <c r="AD75" i="17"/>
  <c r="AD147" i="17"/>
  <c r="AD93" i="17"/>
  <c r="AD43" i="17"/>
  <c r="AD39" i="17"/>
  <c r="AD21" i="17"/>
  <c r="AD37" i="17"/>
  <c r="AD103" i="17"/>
  <c r="AD25" i="17"/>
  <c r="AD29" i="17"/>
  <c r="AD10" i="17"/>
  <c r="Z77" i="17"/>
  <c r="AB149" i="17"/>
  <c r="Z149" i="17"/>
  <c r="Z69" i="17"/>
  <c r="AB132" i="17"/>
  <c r="Z137" i="17"/>
  <c r="Z110" i="17"/>
  <c r="Z89" i="17"/>
  <c r="Z39" i="17"/>
  <c r="Z29" i="17"/>
  <c r="Z134" i="17"/>
  <c r="Z145" i="17"/>
  <c r="Z135" i="17"/>
  <c r="Z55" i="17"/>
  <c r="AB138" i="17"/>
  <c r="AB126" i="17"/>
  <c r="AB70" i="17"/>
  <c r="AB103" i="17"/>
  <c r="AB101" i="17"/>
  <c r="AB39" i="17"/>
  <c r="AB87" i="17"/>
  <c r="AB152" i="17"/>
  <c r="AB80" i="17"/>
  <c r="AB53" i="17"/>
  <c r="AC108" i="17"/>
  <c r="AC94" i="17"/>
  <c r="AC110" i="17"/>
  <c r="AC154" i="17"/>
  <c r="AC48" i="17"/>
  <c r="AC96" i="17"/>
  <c r="AC71" i="17"/>
  <c r="AC130" i="17"/>
  <c r="AC43" i="17"/>
  <c r="AC32" i="17"/>
  <c r="AC61" i="17"/>
  <c r="AC12" i="17"/>
  <c r="AC64" i="17"/>
  <c r="AD123" i="17"/>
  <c r="AD144" i="17"/>
  <c r="AD146" i="17"/>
  <c r="AD161" i="17"/>
  <c r="AD82" i="17"/>
  <c r="AD101" i="17"/>
  <c r="AD49" i="17"/>
  <c r="AD33" i="17"/>
  <c r="AD97" i="17"/>
  <c r="AD19" i="17"/>
  <c r="AD23" i="17"/>
  <c r="Z153" i="17"/>
  <c r="AB91" i="17"/>
  <c r="AB98" i="17"/>
  <c r="AC143" i="17"/>
  <c r="AC7" i="17"/>
  <c r="AD41" i="17"/>
  <c r="Z57" i="17"/>
  <c r="AB77" i="17"/>
  <c r="Z136" i="17"/>
  <c r="Z148" i="17"/>
  <c r="Z160" i="17"/>
  <c r="Z141" i="17"/>
  <c r="Z48" i="17"/>
  <c r="Z6" i="17"/>
  <c r="Z121" i="17"/>
  <c r="Z122" i="17"/>
  <c r="Z146" i="17"/>
  <c r="Z126" i="17"/>
  <c r="Z94" i="17"/>
  <c r="Z119" i="17"/>
  <c r="Z35" i="17"/>
  <c r="Z23" i="17"/>
  <c r="Z22" i="17"/>
  <c r="Z42" i="17"/>
  <c r="AB141" i="17"/>
  <c r="AB6" i="17"/>
  <c r="Z158" i="17"/>
  <c r="Z112" i="17"/>
  <c r="Z124" i="17"/>
  <c r="Z120" i="17"/>
  <c r="Z79" i="17"/>
  <c r="Z90" i="17"/>
  <c r="Z104" i="17"/>
  <c r="Z131" i="17"/>
  <c r="Z58" i="17"/>
  <c r="Z70" i="17"/>
  <c r="Z129" i="17"/>
  <c r="Z16" i="17"/>
  <c r="Z49" i="17"/>
  <c r="Z36" i="17"/>
  <c r="AB159" i="17"/>
  <c r="AB112" i="17"/>
  <c r="AB113" i="17"/>
  <c r="AB125" i="17"/>
  <c r="AB105" i="17"/>
  <c r="AB90" i="17"/>
  <c r="AB85" i="17"/>
  <c r="AB73" i="17"/>
  <c r="AB16" i="17"/>
  <c r="AB81" i="17"/>
  <c r="AB146" i="17"/>
  <c r="AB67" i="17"/>
  <c r="AB7" i="17"/>
  <c r="AB47" i="17"/>
  <c r="AC98" i="17"/>
  <c r="AC134" i="17"/>
  <c r="AC87" i="17"/>
  <c r="AC153" i="17"/>
  <c r="AC88" i="17"/>
  <c r="AC84" i="17"/>
  <c r="AC116" i="17"/>
  <c r="AC39" i="17"/>
  <c r="AC9" i="17"/>
  <c r="AC56" i="17"/>
  <c r="AC59" i="17"/>
  <c r="AC58" i="17"/>
  <c r="AD117" i="17"/>
  <c r="AD108" i="17"/>
  <c r="AD143" i="17"/>
  <c r="AD130" i="17"/>
  <c r="AD160" i="17"/>
  <c r="AD76" i="17"/>
  <c r="AD73" i="17"/>
  <c r="AD155" i="17"/>
  <c r="AD45" i="17"/>
  <c r="AD86" i="17"/>
  <c r="AD91" i="17"/>
  <c r="AD17" i="17"/>
  <c r="Z98" i="17"/>
  <c r="Z81" i="17"/>
  <c r="AB119" i="17"/>
  <c r="AB18" i="17"/>
  <c r="Z139" i="17"/>
  <c r="Z72" i="17"/>
  <c r="AC6" i="17"/>
  <c r="Z109" i="17"/>
  <c r="Z97" i="17"/>
  <c r="Z64" i="17"/>
  <c r="Z76" i="17"/>
  <c r="Z84" i="17"/>
  <c r="Z116" i="17"/>
  <c r="Z44" i="17"/>
  <c r="Z50" i="17"/>
  <c r="Z123" i="17"/>
  <c r="Z10" i="17"/>
  <c r="Z43" i="17"/>
  <c r="Z30" i="17"/>
  <c r="AB99" i="17"/>
  <c r="AB156" i="17"/>
  <c r="AB127" i="17"/>
  <c r="AB76" i="17"/>
  <c r="AB72" i="17"/>
  <c r="AB44" i="17"/>
  <c r="AB69" i="17"/>
  <c r="AB140" i="17"/>
  <c r="AB27" i="17"/>
  <c r="AB60" i="17"/>
  <c r="AB41" i="17"/>
  <c r="AC119" i="17"/>
  <c r="AC151" i="17"/>
  <c r="AC152" i="17"/>
  <c r="AC75" i="17"/>
  <c r="AC77" i="17"/>
  <c r="AC115" i="17"/>
  <c r="AC44" i="17"/>
  <c r="AC68" i="17"/>
  <c r="AC42" i="17"/>
  <c r="AC53" i="17"/>
  <c r="AC52" i="17"/>
  <c r="AD118" i="17"/>
  <c r="AD142" i="17"/>
  <c r="AD105" i="17"/>
  <c r="AD159" i="17"/>
  <c r="AD92" i="17"/>
  <c r="AD129" i="17"/>
  <c r="AD141" i="17"/>
  <c r="AD31" i="17"/>
  <c r="AD80" i="17"/>
  <c r="AD157" i="17"/>
  <c r="AD85" i="17"/>
  <c r="AD7" i="17"/>
  <c r="AD11" i="17"/>
  <c r="Z17" i="17"/>
  <c r="AC105" i="17"/>
  <c r="AD115" i="17"/>
  <c r="Z67" i="17"/>
  <c r="AB74" i="17"/>
  <c r="Z138" i="17"/>
  <c r="AD6" i="17"/>
  <c r="Z113" i="17"/>
  <c r="Z73" i="17"/>
  <c r="Z53" i="17"/>
  <c r="Z66" i="17"/>
  <c r="Z56" i="17"/>
  <c r="Z102" i="17"/>
  <c r="Z40" i="17"/>
  <c r="Z46" i="17"/>
  <c r="Z117" i="17"/>
  <c r="Z27" i="17"/>
  <c r="Z37" i="17"/>
  <c r="Z24" i="17"/>
  <c r="AB145" i="17"/>
  <c r="AB155" i="17"/>
  <c r="AB106" i="17"/>
  <c r="AB66" i="17"/>
  <c r="AB131" i="17"/>
  <c r="AB157" i="17"/>
  <c r="AB40" i="17"/>
  <c r="AB68" i="17"/>
  <c r="AB134" i="17"/>
  <c r="AB21" i="17"/>
  <c r="AB54" i="17"/>
  <c r="AB35" i="17"/>
  <c r="AC141" i="17"/>
  <c r="AC150" i="17"/>
  <c r="AC136" i="17"/>
  <c r="AC65" i="17"/>
  <c r="AC103" i="17"/>
  <c r="AC101" i="17"/>
  <c r="AC30" i="17"/>
  <c r="AC55" i="17"/>
  <c r="AC38" i="17"/>
  <c r="AC47" i="17"/>
  <c r="AC46" i="17"/>
  <c r="AD96" i="17"/>
  <c r="AD135" i="17"/>
  <c r="AD154" i="17"/>
  <c r="AD158" i="17"/>
  <c r="AD132" i="17"/>
  <c r="AD83" i="17"/>
  <c r="AD114" i="17"/>
  <c r="AD126" i="17"/>
  <c r="AD15" i="17"/>
  <c r="AD67" i="17"/>
  <c r="AD151" i="17"/>
  <c r="AD79" i="17"/>
  <c r="AD24" i="17"/>
  <c r="AD58" i="17"/>
  <c r="Z142" i="17"/>
  <c r="AB137" i="17"/>
  <c r="AB50" i="17"/>
  <c r="AC131" i="17"/>
  <c r="AD38" i="17"/>
  <c r="Z47" i="17"/>
  <c r="Z52" i="17"/>
  <c r="Z132" i="17"/>
  <c r="Z86" i="17"/>
  <c r="Z28" i="17"/>
  <c r="Z32" i="17"/>
  <c r="Z111" i="17"/>
  <c r="Z21" i="17"/>
  <c r="Z31" i="17"/>
  <c r="Z18" i="17"/>
  <c r="AB139" i="17"/>
  <c r="AB144" i="17"/>
  <c r="AB154" i="17"/>
  <c r="AB97" i="17"/>
  <c r="AB52" i="17"/>
  <c r="AB117" i="17"/>
  <c r="AB143" i="17"/>
  <c r="AB10" i="17"/>
  <c r="AB55" i="17"/>
  <c r="AB128" i="17"/>
  <c r="AB15" i="17"/>
  <c r="AB48" i="17"/>
  <c r="AB29" i="17"/>
  <c r="AC122" i="17"/>
  <c r="AC132" i="17"/>
  <c r="AC140" i="17"/>
  <c r="AC149" i="17"/>
  <c r="AC121" i="17"/>
  <c r="AC57" i="17"/>
  <c r="AC85" i="17"/>
  <c r="AC73" i="17"/>
  <c r="AC21" i="17"/>
  <c r="AC51" i="17"/>
  <c r="AC20" i="17"/>
  <c r="AC41" i="17"/>
  <c r="AC40" i="17"/>
  <c r="AD124" i="17"/>
  <c r="AD120" i="17"/>
  <c r="AD153" i="17"/>
  <c r="AD137" i="17"/>
  <c r="AD122" i="17"/>
  <c r="AD71" i="17"/>
  <c r="AD100" i="17"/>
  <c r="AD112" i="17"/>
  <c r="AD54" i="17"/>
  <c r="AD60" i="17"/>
  <c r="AD145" i="17"/>
  <c r="AD65" i="17"/>
  <c r="AD18" i="17"/>
  <c r="AD52" i="17"/>
  <c r="Z156" i="17"/>
  <c r="Z82" i="17"/>
  <c r="AC82" i="17"/>
  <c r="AC11" i="17"/>
  <c r="AD125" i="17"/>
  <c r="AD81" i="17"/>
  <c r="AD55" i="17"/>
  <c r="AD22" i="17"/>
  <c r="Z118" i="17"/>
  <c r="Z105" i="17"/>
  <c r="Z25" i="17"/>
  <c r="AB133" i="17"/>
  <c r="AB118" i="17"/>
  <c r="AB153" i="17"/>
  <c r="AB61" i="17"/>
  <c r="AB102" i="17"/>
  <c r="AB28" i="17"/>
  <c r="AB51" i="17"/>
  <c r="AB122" i="17"/>
  <c r="AB9" i="17"/>
  <c r="AB42" i="17"/>
  <c r="AB23" i="17"/>
  <c r="AC125" i="17"/>
  <c r="AC148" i="17"/>
  <c r="AC111" i="17"/>
  <c r="AC89" i="17"/>
  <c r="AC72" i="17"/>
  <c r="AC129" i="17"/>
  <c r="AC156" i="17"/>
  <c r="AC49" i="17"/>
  <c r="AC37" i="17"/>
  <c r="AC14" i="17"/>
  <c r="AC35" i="17"/>
  <c r="AC34" i="17"/>
  <c r="AD94" i="17"/>
  <c r="AD110" i="17"/>
  <c r="AD152" i="17"/>
  <c r="AD116" i="17"/>
  <c r="AD107" i="17"/>
  <c r="AD84" i="17"/>
  <c r="AD68" i="17"/>
  <c r="AD98" i="17"/>
  <c r="AD50" i="17"/>
  <c r="AD66" i="17"/>
  <c r="AD139" i="17"/>
  <c r="AD62" i="17"/>
  <c r="AD12" i="17"/>
  <c r="AD46" i="17"/>
  <c r="Z150" i="17"/>
  <c r="AB95" i="17"/>
  <c r="AB8" i="17"/>
  <c r="AC118" i="17"/>
  <c r="AC113" i="17"/>
  <c r="AD74" i="17"/>
  <c r="Z127" i="17"/>
  <c r="Z140" i="17"/>
  <c r="Z106" i="17"/>
  <c r="Z130" i="17"/>
  <c r="Z92" i="17"/>
  <c r="Z78" i="17"/>
  <c r="Z15" i="17"/>
  <c r="AB135" i="17"/>
  <c r="Z91" i="17"/>
  <c r="Z45" i="17"/>
  <c r="Z9" i="17"/>
  <c r="AB123" i="17"/>
  <c r="AB120" i="17"/>
  <c r="AB136" i="17"/>
  <c r="AB88" i="17"/>
  <c r="AB62" i="17"/>
  <c r="AB78" i="17"/>
  <c r="AB114" i="17"/>
  <c r="AB49" i="17"/>
  <c r="AB37" i="17"/>
  <c r="AB116" i="17"/>
  <c r="AB26" i="17"/>
  <c r="AB36" i="17"/>
  <c r="AB17" i="17"/>
  <c r="AC104" i="17"/>
  <c r="AC147" i="17"/>
  <c r="AC95" i="17"/>
  <c r="AC161" i="17"/>
  <c r="AC90" i="17"/>
  <c r="AC27" i="17"/>
  <c r="AC114" i="17"/>
  <c r="AC142" i="17"/>
  <c r="AC45" i="17"/>
  <c r="AC33" i="17"/>
  <c r="AC8" i="17"/>
  <c r="AC29" i="17"/>
  <c r="AC28" i="17"/>
  <c r="AD134" i="17"/>
  <c r="AD88" i="17"/>
  <c r="AD136" i="17"/>
  <c r="AD95" i="17"/>
  <c r="AD77" i="17"/>
  <c r="AD128" i="17"/>
  <c r="AD87" i="17"/>
  <c r="AD36" i="17"/>
  <c r="AD61" i="17"/>
  <c r="AD133" i="17"/>
  <c r="AD27" i="17"/>
  <c r="AD59" i="17"/>
  <c r="AD40" i="17"/>
  <c r="Z60" i="17"/>
  <c r="AB22" i="17"/>
  <c r="AC92" i="17"/>
  <c r="AC67" i="17"/>
  <c r="AD149" i="17"/>
  <c r="AD14" i="17"/>
  <c r="Z155" i="17"/>
  <c r="Z59" i="17"/>
  <c r="AB82" i="17"/>
  <c r="Z157" i="17"/>
  <c r="Z100" i="17"/>
  <c r="Z115" i="17"/>
  <c r="Z74" i="17"/>
  <c r="Z63" i="17"/>
  <c r="Z99" i="17"/>
  <c r="Z128" i="17"/>
  <c r="Z62" i="17"/>
  <c r="Z41" i="17"/>
  <c r="Z93" i="17"/>
  <c r="Z26" i="17"/>
  <c r="AB108" i="17"/>
  <c r="AB109" i="17"/>
  <c r="AB151" i="17"/>
  <c r="AB121" i="17"/>
  <c r="AB75" i="17"/>
  <c r="AB83" i="17"/>
  <c r="AB63" i="17"/>
  <c r="AB100" i="17"/>
  <c r="AB45" i="17"/>
  <c r="AB33" i="17"/>
  <c r="AB110" i="17"/>
  <c r="AB20" i="17"/>
  <c r="AB30" i="17"/>
  <c r="AB11" i="17"/>
  <c r="AC138" i="17"/>
  <c r="AC145" i="17"/>
  <c r="AC146" i="17"/>
  <c r="AC93" i="17"/>
  <c r="AC160" i="17"/>
  <c r="AC81" i="17"/>
  <c r="AC102" i="17"/>
  <c r="AC100" i="17"/>
  <c r="AC128" i="17"/>
  <c r="AC31" i="17"/>
  <c r="AC86" i="17"/>
  <c r="AC19" i="17"/>
  <c r="AC23" i="17"/>
  <c r="AC22" i="17"/>
  <c r="AD138" i="17"/>
  <c r="AD119" i="17"/>
  <c r="AD57" i="17"/>
  <c r="AD111" i="17"/>
  <c r="AD89" i="17"/>
  <c r="AD72" i="17"/>
  <c r="AD113" i="17"/>
  <c r="AD69" i="17"/>
  <c r="AD32" i="17"/>
  <c r="AD56" i="17"/>
  <c r="AD127" i="17"/>
  <c r="AD26" i="17"/>
  <c r="AD53" i="17"/>
  <c r="AD34" i="17"/>
  <c r="AC13" i="17"/>
  <c r="AB13" i="17"/>
  <c r="AD13" i="17"/>
  <c r="Z13" i="17"/>
  <c r="AS115" i="17"/>
  <c r="AU115" i="17" s="1"/>
  <c r="AS162" i="17"/>
  <c r="AU162" i="17" s="1"/>
  <c r="AS128" i="17"/>
  <c r="AU128" i="17" s="1"/>
  <c r="AS21" i="17"/>
  <c r="AU21" i="17" s="1"/>
  <c r="AS165" i="17"/>
  <c r="AU165" i="17" s="1"/>
  <c r="AS82" i="17"/>
  <c r="AU82" i="17" s="1"/>
  <c r="AS90" i="17"/>
  <c r="AU90" i="17" s="1"/>
  <c r="AS143" i="17"/>
  <c r="AU143" i="17" s="1"/>
  <c r="AS48" i="17"/>
  <c r="AU48" i="17" s="1"/>
  <c r="AS192" i="17"/>
  <c r="AU192" i="17" s="1"/>
  <c r="AS97" i="17"/>
  <c r="AU97" i="17" s="1"/>
  <c r="AS14" i="17"/>
  <c r="AU14" i="17" s="1"/>
  <c r="AS158" i="17"/>
  <c r="AU158" i="17" s="1"/>
  <c r="AS75" i="17"/>
  <c r="AU75" i="17" s="1"/>
  <c r="AS219" i="17"/>
  <c r="AU219" i="17" s="1"/>
  <c r="AS136" i="17"/>
  <c r="AU136" i="17" s="1"/>
  <c r="AS53" i="17"/>
  <c r="AU53" i="17" s="1"/>
  <c r="AS197" i="17"/>
  <c r="AU197" i="17" s="1"/>
  <c r="AS127" i="17"/>
  <c r="AU127" i="17" s="1"/>
  <c r="AS210" i="17"/>
  <c r="AU210" i="17" s="1"/>
  <c r="AS140" i="17"/>
  <c r="AU140" i="17" s="1"/>
  <c r="AS33" i="17"/>
  <c r="AU33" i="17" s="1"/>
  <c r="AS177" i="17"/>
  <c r="AU177" i="17" s="1"/>
  <c r="AS94" i="17"/>
  <c r="AU94" i="17" s="1"/>
  <c r="AS11" i="17"/>
  <c r="AU11" i="17" s="1"/>
  <c r="AS155" i="17"/>
  <c r="AU155" i="17" s="1"/>
  <c r="AS60" i="17"/>
  <c r="AU60" i="17" s="1"/>
  <c r="AS204" i="17"/>
  <c r="AU204" i="17" s="1"/>
  <c r="AS109" i="17"/>
  <c r="AU109" i="17" s="1"/>
  <c r="AS26" i="17"/>
  <c r="AU26" i="17" s="1"/>
  <c r="AS170" i="17"/>
  <c r="AU170" i="17" s="1"/>
  <c r="AS87" i="17"/>
  <c r="AU87" i="17" s="1"/>
  <c r="AS30" i="17"/>
  <c r="AU30" i="17" s="1"/>
  <c r="AS148" i="17"/>
  <c r="AU148" i="17" s="1"/>
  <c r="AS65" i="17"/>
  <c r="AU65" i="17" s="1"/>
  <c r="AS209" i="17"/>
  <c r="AU209" i="17" s="1"/>
  <c r="AS198" i="17"/>
  <c r="AU198" i="17" s="1"/>
  <c r="AS24" i="17"/>
  <c r="AU24" i="17" s="1"/>
  <c r="AS112" i="17"/>
  <c r="AU112" i="17" s="1"/>
  <c r="AS139" i="17"/>
  <c r="AU139" i="17" s="1"/>
  <c r="AS8" i="17"/>
  <c r="AU8" i="17" s="1"/>
  <c r="AS152" i="17"/>
  <c r="AU152" i="17" s="1"/>
  <c r="AS45" i="17"/>
  <c r="AU45" i="17" s="1"/>
  <c r="AS189" i="17"/>
  <c r="AU189" i="17" s="1"/>
  <c r="AS106" i="17"/>
  <c r="AU106" i="17" s="1"/>
  <c r="AS23" i="17"/>
  <c r="AU23" i="17" s="1"/>
  <c r="AS167" i="17"/>
  <c r="AU167" i="17" s="1"/>
  <c r="AS72" i="17"/>
  <c r="AU72" i="17" s="1"/>
  <c r="AS216" i="17"/>
  <c r="AU216" i="17" s="1"/>
  <c r="AS121" i="17"/>
  <c r="AU121" i="17" s="1"/>
  <c r="AS38" i="17"/>
  <c r="AU38" i="17" s="1"/>
  <c r="AS182" i="17"/>
  <c r="AU182" i="17" s="1"/>
  <c r="AS99" i="17"/>
  <c r="AU99" i="17" s="1"/>
  <c r="AS16" i="17"/>
  <c r="AU16" i="17" s="1"/>
  <c r="AS160" i="17"/>
  <c r="AU160" i="17" s="1"/>
  <c r="AS77" i="17"/>
  <c r="AU77" i="17" s="1"/>
  <c r="AS221" i="17"/>
  <c r="AU221" i="17" s="1"/>
  <c r="AS168" i="17"/>
  <c r="AU168" i="17" s="1"/>
  <c r="AS7" i="17"/>
  <c r="AU7" i="17" s="1"/>
  <c r="AS151" i="17"/>
  <c r="AU151" i="17" s="1"/>
  <c r="AS20" i="17"/>
  <c r="AU20" i="17" s="1"/>
  <c r="AS164" i="17"/>
  <c r="AU164" i="17" s="1"/>
  <c r="AS57" i="17"/>
  <c r="AU57" i="17" s="1"/>
  <c r="AS201" i="17"/>
  <c r="AU201" i="17" s="1"/>
  <c r="AS118" i="17"/>
  <c r="AU118" i="17" s="1"/>
  <c r="AS35" i="17"/>
  <c r="AU35" i="17" s="1"/>
  <c r="AS179" i="17"/>
  <c r="AU179" i="17" s="1"/>
  <c r="AS84" i="17"/>
  <c r="AU84" i="17" s="1"/>
  <c r="AS114" i="17"/>
  <c r="AU114" i="17" s="1"/>
  <c r="AS133" i="17"/>
  <c r="AU133" i="17" s="1"/>
  <c r="AS50" i="17"/>
  <c r="AU50" i="17" s="1"/>
  <c r="AS194" i="17"/>
  <c r="AU194" i="17" s="1"/>
  <c r="AS111" i="17"/>
  <c r="AU111" i="17" s="1"/>
  <c r="AS28" i="17"/>
  <c r="AU28" i="17" s="1"/>
  <c r="AS172" i="17"/>
  <c r="AU172" i="17" s="1"/>
  <c r="AS89" i="17"/>
  <c r="AU89" i="17" s="1"/>
  <c r="AS18" i="17"/>
  <c r="AU18" i="17" s="1"/>
  <c r="AS138" i="17"/>
  <c r="AU138" i="17" s="1"/>
  <c r="AS202" i="17"/>
  <c r="AU202" i="17" s="1"/>
  <c r="AS134" i="17"/>
  <c r="AU134" i="17" s="1"/>
  <c r="AS173" i="17"/>
  <c r="AU173" i="17" s="1"/>
  <c r="AS19" i="17"/>
  <c r="AU19" i="17" s="1"/>
  <c r="AS163" i="17"/>
  <c r="AU163" i="17" s="1"/>
  <c r="AS32" i="17"/>
  <c r="AU32" i="17" s="1"/>
  <c r="AS176" i="17"/>
  <c r="AU176" i="17" s="1"/>
  <c r="AS69" i="17"/>
  <c r="AU69" i="17" s="1"/>
  <c r="AS213" i="17"/>
  <c r="AU213" i="17" s="1"/>
  <c r="AS130" i="17"/>
  <c r="AU130" i="17" s="1"/>
  <c r="AS47" i="17"/>
  <c r="AU47" i="17" s="1"/>
  <c r="AS191" i="17"/>
  <c r="AU191" i="17" s="1"/>
  <c r="AS96" i="17"/>
  <c r="AU96" i="17" s="1"/>
  <c r="AS222" i="17"/>
  <c r="AU222" i="17" s="1"/>
  <c r="AS145" i="17"/>
  <c r="AU145" i="17" s="1"/>
  <c r="AS62" i="17"/>
  <c r="AU62" i="17" s="1"/>
  <c r="AS206" i="17"/>
  <c r="AU206" i="17" s="1"/>
  <c r="AS123" i="17"/>
  <c r="AU123" i="17" s="1"/>
  <c r="AS40" i="17"/>
  <c r="AU40" i="17" s="1"/>
  <c r="AS184" i="17"/>
  <c r="AU184" i="17" s="1"/>
  <c r="AS101" i="17"/>
  <c r="AU101" i="17" s="1"/>
  <c r="AS174" i="17"/>
  <c r="AU174" i="17" s="1"/>
  <c r="AS73" i="17"/>
  <c r="AU73" i="17" s="1"/>
  <c r="AS31" i="17"/>
  <c r="AU31" i="17" s="1"/>
  <c r="AS175" i="17"/>
  <c r="AU175" i="17" s="1"/>
  <c r="AS44" i="17"/>
  <c r="AU44" i="17" s="1"/>
  <c r="AS188" i="17"/>
  <c r="AU188" i="17" s="1"/>
  <c r="AS81" i="17"/>
  <c r="AU81" i="17" s="1"/>
  <c r="AS102" i="17"/>
  <c r="AU102" i="17" s="1"/>
  <c r="AS142" i="17"/>
  <c r="AU142" i="17" s="1"/>
  <c r="AS59" i="17"/>
  <c r="AU59" i="17" s="1"/>
  <c r="AS203" i="17"/>
  <c r="AU203" i="17" s="1"/>
  <c r="AS108" i="17"/>
  <c r="AU108" i="17" s="1"/>
  <c r="AS13" i="17"/>
  <c r="AU13" i="17" s="1"/>
  <c r="AS157" i="17"/>
  <c r="AU157" i="17" s="1"/>
  <c r="AS74" i="17"/>
  <c r="AU74" i="17" s="1"/>
  <c r="AS218" i="17"/>
  <c r="AU218" i="17" s="1"/>
  <c r="AS135" i="17"/>
  <c r="AU135" i="17" s="1"/>
  <c r="AS52" i="17"/>
  <c r="AU52" i="17" s="1"/>
  <c r="AS196" i="17"/>
  <c r="AU196" i="17" s="1"/>
  <c r="AS113" i="17"/>
  <c r="AU113" i="17" s="1"/>
  <c r="AS6" i="17"/>
  <c r="AU6" i="17" s="1"/>
  <c r="AS43" i="17"/>
  <c r="AU43" i="17" s="1"/>
  <c r="AS187" i="17"/>
  <c r="AU187" i="17" s="1"/>
  <c r="AS56" i="17"/>
  <c r="AU56" i="17" s="1"/>
  <c r="AS200" i="17"/>
  <c r="AU200" i="17" s="1"/>
  <c r="AS93" i="17"/>
  <c r="AU93" i="17" s="1"/>
  <c r="AS10" i="17"/>
  <c r="AU10" i="17" s="1"/>
  <c r="AS154" i="17"/>
  <c r="AU154" i="17" s="1"/>
  <c r="AS71" i="17"/>
  <c r="AU71" i="17" s="1"/>
  <c r="AS215" i="17"/>
  <c r="AU215" i="17" s="1"/>
  <c r="AS120" i="17"/>
  <c r="AU120" i="17" s="1"/>
  <c r="AS25" i="17"/>
  <c r="AU25" i="17" s="1"/>
  <c r="AS169" i="17"/>
  <c r="AU169" i="17" s="1"/>
  <c r="AS86" i="17"/>
  <c r="AU86" i="17" s="1"/>
  <c r="AS78" i="17"/>
  <c r="AU78" i="17" s="1"/>
  <c r="AS147" i="17"/>
  <c r="AU147" i="17" s="1"/>
  <c r="AS64" i="17"/>
  <c r="AU64" i="17" s="1"/>
  <c r="AS208" i="17"/>
  <c r="AU208" i="17" s="1"/>
  <c r="AS125" i="17"/>
  <c r="AU125" i="17" s="1"/>
  <c r="AS91" i="17"/>
  <c r="AU91" i="17" s="1"/>
  <c r="AS58" i="17"/>
  <c r="AU58" i="17" s="1"/>
  <c r="AS51" i="17"/>
  <c r="AU51" i="17" s="1"/>
  <c r="AS55" i="17"/>
  <c r="AU55" i="17" s="1"/>
  <c r="AS199" i="17"/>
  <c r="AU199" i="17" s="1"/>
  <c r="AS68" i="17"/>
  <c r="AU68" i="17" s="1"/>
  <c r="AS212" i="17"/>
  <c r="AU212" i="17" s="1"/>
  <c r="AS105" i="17"/>
  <c r="AU105" i="17" s="1"/>
  <c r="AS22" i="17"/>
  <c r="AU22" i="17" s="1"/>
  <c r="AS166" i="17"/>
  <c r="AU166" i="17" s="1"/>
  <c r="AS83" i="17"/>
  <c r="AU83" i="17" s="1"/>
  <c r="AS126" i="17"/>
  <c r="AU126" i="17" s="1"/>
  <c r="AS132" i="17"/>
  <c r="AU132" i="17" s="1"/>
  <c r="AS37" i="17"/>
  <c r="AU37" i="17" s="1"/>
  <c r="AS181" i="17"/>
  <c r="AU181" i="17" s="1"/>
  <c r="AS98" i="17"/>
  <c r="AU98" i="17" s="1"/>
  <c r="AS15" i="17"/>
  <c r="AU15" i="17" s="1"/>
  <c r="AS159" i="17"/>
  <c r="AU159" i="17" s="1"/>
  <c r="AS76" i="17"/>
  <c r="AU76" i="17" s="1"/>
  <c r="AS220" i="17"/>
  <c r="AU220" i="17" s="1"/>
  <c r="AS137" i="17"/>
  <c r="AU137" i="17" s="1"/>
  <c r="AS141" i="17"/>
  <c r="AU141" i="17" s="1"/>
  <c r="AS217" i="17"/>
  <c r="AU217" i="17" s="1"/>
  <c r="AS29" i="17"/>
  <c r="AU29" i="17" s="1"/>
  <c r="AS67" i="17"/>
  <c r="AU67" i="17" s="1"/>
  <c r="AS211" i="17"/>
  <c r="AU211" i="17" s="1"/>
  <c r="AS80" i="17"/>
  <c r="AU80" i="17" s="1"/>
  <c r="AS224" i="17"/>
  <c r="AU224" i="17" s="1"/>
  <c r="AS117" i="17"/>
  <c r="AU117" i="17" s="1"/>
  <c r="AS34" i="17"/>
  <c r="AU34" i="17" s="1"/>
  <c r="AS178" i="17"/>
  <c r="AU178" i="17" s="1"/>
  <c r="AS95" i="17"/>
  <c r="AU95" i="17" s="1"/>
  <c r="AS186" i="17"/>
  <c r="AU186" i="17" s="1"/>
  <c r="AS144" i="17"/>
  <c r="AU144" i="17" s="1"/>
  <c r="AS49" i="17"/>
  <c r="AU49" i="17" s="1"/>
  <c r="AS193" i="17"/>
  <c r="AU193" i="17" s="1"/>
  <c r="AS110" i="17"/>
  <c r="AU110" i="17" s="1"/>
  <c r="AS27" i="17"/>
  <c r="AU27" i="17" s="1"/>
  <c r="AS171" i="17"/>
  <c r="AU171" i="17" s="1"/>
  <c r="AS88" i="17"/>
  <c r="AU88" i="17" s="1"/>
  <c r="AS42" i="17"/>
  <c r="AU42" i="17" s="1"/>
  <c r="AS149" i="17"/>
  <c r="AU149" i="17" s="1"/>
  <c r="AS104" i="17"/>
  <c r="AU104" i="17" s="1"/>
  <c r="AS119" i="17"/>
  <c r="AU119" i="17" s="1"/>
  <c r="AS195" i="17"/>
  <c r="AU195" i="17" s="1"/>
  <c r="AS79" i="17"/>
  <c r="AU79" i="17" s="1"/>
  <c r="AS223" i="17"/>
  <c r="AU223" i="17" s="1"/>
  <c r="AS92" i="17"/>
  <c r="AU92" i="17" s="1"/>
  <c r="AS54" i="17"/>
  <c r="AU54" i="17" s="1"/>
  <c r="AS129" i="17"/>
  <c r="AU129" i="17" s="1"/>
  <c r="AS46" i="17"/>
  <c r="AU46" i="17" s="1"/>
  <c r="AS190" i="17"/>
  <c r="AU190" i="17" s="1"/>
  <c r="AS107" i="17"/>
  <c r="AU107" i="17" s="1"/>
  <c r="AS12" i="17"/>
  <c r="AU12" i="17" s="1"/>
  <c r="AS156" i="17"/>
  <c r="AU156" i="17" s="1"/>
  <c r="AS61" i="17"/>
  <c r="AU61" i="17" s="1"/>
  <c r="AS205" i="17"/>
  <c r="AU205" i="17" s="1"/>
  <c r="AS122" i="17"/>
  <c r="AU122" i="17" s="1"/>
  <c r="AS39" i="17"/>
  <c r="AU39" i="17" s="1"/>
  <c r="AS183" i="17"/>
  <c r="AU183" i="17" s="1"/>
  <c r="AS100" i="17"/>
  <c r="AU100" i="17" s="1"/>
  <c r="AS17" i="17"/>
  <c r="AU17" i="17" s="1"/>
  <c r="AS161" i="17"/>
  <c r="AU161" i="17" s="1"/>
  <c r="AS103" i="17"/>
  <c r="AU103" i="17" s="1"/>
  <c r="AS150" i="17"/>
  <c r="AU150" i="17" s="1"/>
  <c r="AS116" i="17"/>
  <c r="AU116" i="17" s="1"/>
  <c r="AS9" i="17"/>
  <c r="AU9" i="17" s="1"/>
  <c r="AS153" i="17"/>
  <c r="AU153" i="17" s="1"/>
  <c r="AS70" i="17"/>
  <c r="AU70" i="17" s="1"/>
  <c r="AS214" i="17"/>
  <c r="AU214" i="17" s="1"/>
  <c r="AS131" i="17"/>
  <c r="AU131" i="17" s="1"/>
  <c r="AS36" i="17"/>
  <c r="AU36" i="17" s="1"/>
  <c r="AS180" i="17"/>
  <c r="AU180" i="17" s="1"/>
  <c r="AS85" i="17"/>
  <c r="AU85" i="17" s="1"/>
  <c r="AS66" i="17"/>
  <c r="AU66" i="17" s="1"/>
  <c r="AS146" i="17"/>
  <c r="AU146" i="17" s="1"/>
  <c r="AS63" i="17"/>
  <c r="AU63" i="17" s="1"/>
  <c r="AS207" i="17"/>
  <c r="AU207" i="17" s="1"/>
  <c r="AS124" i="17"/>
  <c r="AU124" i="17" s="1"/>
  <c r="AS41" i="17"/>
  <c r="AU41" i="17" s="1"/>
  <c r="AS185" i="17"/>
  <c r="AU185" i="17" s="1"/>
  <c r="Y144" i="17"/>
  <c r="Y193" i="17"/>
  <c r="Y150" i="17"/>
  <c r="Y223" i="17"/>
  <c r="Y158" i="17"/>
  <c r="Y164" i="17"/>
  <c r="Y167" i="17"/>
  <c r="Y177" i="17"/>
  <c r="Y114" i="17"/>
  <c r="Y143" i="17"/>
  <c r="Y97" i="17"/>
  <c r="Y75" i="17"/>
  <c r="Y134" i="17"/>
  <c r="Y221" i="17"/>
  <c r="Y117" i="17"/>
  <c r="Y35" i="17"/>
  <c r="Y23" i="17"/>
  <c r="Y14" i="17"/>
  <c r="Y72" i="17"/>
  <c r="Y168" i="17"/>
  <c r="Y65" i="17"/>
  <c r="Y149" i="17"/>
  <c r="Y214" i="17"/>
  <c r="Y222" i="17"/>
  <c r="Y157" i="17"/>
  <c r="Y163" i="17"/>
  <c r="Y166" i="17"/>
  <c r="Y176" i="17"/>
  <c r="Y124" i="17"/>
  <c r="Y142" i="17"/>
  <c r="Y87" i="17"/>
  <c r="Y57" i="17"/>
  <c r="Y120" i="17"/>
  <c r="Y215" i="17"/>
  <c r="Y103" i="17"/>
  <c r="Y44" i="17"/>
  <c r="Y70" i="17"/>
  <c r="Y8" i="17"/>
  <c r="Y66" i="17"/>
  <c r="Y207" i="17"/>
  <c r="Y113" i="17"/>
  <c r="Y116" i="17"/>
  <c r="Y202" i="17"/>
  <c r="Y213" i="17"/>
  <c r="Y153" i="17"/>
  <c r="Y156" i="17"/>
  <c r="Y162" i="17"/>
  <c r="Y128" i="17"/>
  <c r="Y129" i="17"/>
  <c r="Y109" i="17"/>
  <c r="Y135" i="17"/>
  <c r="Y69" i="17"/>
  <c r="Y89" i="17"/>
  <c r="Y106" i="17"/>
  <c r="Y209" i="17"/>
  <c r="Y85" i="17"/>
  <c r="Y40" i="17"/>
  <c r="Y50" i="17"/>
  <c r="Y55" i="17"/>
  <c r="Y60" i="17"/>
  <c r="Y139" i="17"/>
  <c r="Y201" i="17"/>
  <c r="Y212" i="17"/>
  <c r="Y126" i="17"/>
  <c r="Y155" i="17"/>
  <c r="Y137" i="17"/>
  <c r="Y107" i="17"/>
  <c r="Y108" i="17"/>
  <c r="Y86" i="17"/>
  <c r="Y125" i="17"/>
  <c r="Y79" i="17"/>
  <c r="Y29" i="17"/>
  <c r="Y105" i="17"/>
  <c r="Y203" i="17"/>
  <c r="Y68" i="17"/>
  <c r="Y28" i="17"/>
  <c r="Y46" i="17"/>
  <c r="Y49" i="17"/>
  <c r="Y54" i="17"/>
  <c r="Y165" i="17"/>
  <c r="Y62" i="17"/>
  <c r="Y200" i="17"/>
  <c r="Y211" i="17"/>
  <c r="Y111" i="17"/>
  <c r="Y154" i="17"/>
  <c r="Y122" i="17"/>
  <c r="Y98" i="17"/>
  <c r="Y101" i="17"/>
  <c r="Y141" i="17"/>
  <c r="Y110" i="17"/>
  <c r="Y64" i="17"/>
  <c r="Y94" i="17"/>
  <c r="Y83" i="17"/>
  <c r="Y197" i="17"/>
  <c r="Y58" i="17"/>
  <c r="Y26" i="17"/>
  <c r="Y32" i="17"/>
  <c r="Y43" i="17"/>
  <c r="Y48" i="17"/>
  <c r="Y20" i="17"/>
  <c r="Y199" i="17"/>
  <c r="Y210" i="17"/>
  <c r="Y152" i="17"/>
  <c r="Y136" i="17"/>
  <c r="Y112" i="17"/>
  <c r="Y184" i="17"/>
  <c r="Y96" i="17"/>
  <c r="Y140" i="17"/>
  <c r="Y102" i="17"/>
  <c r="Y53" i="17"/>
  <c r="Y93" i="17"/>
  <c r="Y77" i="17"/>
  <c r="Y191" i="17"/>
  <c r="Y33" i="17"/>
  <c r="Y73" i="17"/>
  <c r="Y22" i="17"/>
  <c r="Y37" i="17"/>
  <c r="Y42" i="17"/>
  <c r="Y159" i="17"/>
  <c r="Y56" i="17"/>
  <c r="Y198" i="17"/>
  <c r="Y219" i="17"/>
  <c r="Y190" i="17"/>
  <c r="Y121" i="17"/>
  <c r="Y63" i="17"/>
  <c r="Y174" i="17"/>
  <c r="Y182" i="17"/>
  <c r="Y130" i="17"/>
  <c r="Y220" i="17"/>
  <c r="Y47" i="17"/>
  <c r="Y90" i="17"/>
  <c r="Y67" i="17"/>
  <c r="Y185" i="17"/>
  <c r="Y17" i="17"/>
  <c r="Y59" i="17"/>
  <c r="Y16" i="17"/>
  <c r="Y31" i="17"/>
  <c r="Y36" i="17"/>
  <c r="Y71" i="17"/>
  <c r="Y148" i="17"/>
  <c r="Y218" i="17"/>
  <c r="Y189" i="17"/>
  <c r="Y95" i="17"/>
  <c r="Y186" i="17"/>
  <c r="Y173" i="17"/>
  <c r="Y181" i="17"/>
  <c r="Y115" i="17"/>
  <c r="Y206" i="17"/>
  <c r="Y80" i="17"/>
  <c r="Y76" i="17"/>
  <c r="Y133" i="17"/>
  <c r="Y175" i="17"/>
  <c r="Y27" i="17"/>
  <c r="Y45" i="17"/>
  <c r="Y10" i="17"/>
  <c r="Y25" i="17"/>
  <c r="Y30" i="17"/>
  <c r="Y224" i="17"/>
  <c r="Y118" i="17"/>
  <c r="Y205" i="17"/>
  <c r="Y217" i="17"/>
  <c r="Y188" i="17"/>
  <c r="Y160" i="17"/>
  <c r="Y171" i="17"/>
  <c r="Y172" i="17"/>
  <c r="Y180" i="17"/>
  <c r="Y99" i="17"/>
  <c r="Y192" i="17"/>
  <c r="Y74" i="17"/>
  <c r="Y52" i="17"/>
  <c r="Y119" i="17"/>
  <c r="Y161" i="17"/>
  <c r="Y38" i="17"/>
  <c r="Y41" i="17"/>
  <c r="Y21" i="17"/>
  <c r="Y19" i="17"/>
  <c r="Y24" i="17"/>
  <c r="Y194" i="17"/>
  <c r="Y39" i="17"/>
  <c r="Y196" i="17"/>
  <c r="Y204" i="17"/>
  <c r="Y216" i="17"/>
  <c r="Y187" i="17"/>
  <c r="Y127" i="17"/>
  <c r="Y170" i="17"/>
  <c r="Y138" i="17"/>
  <c r="Y179" i="17"/>
  <c r="Y51" i="17"/>
  <c r="Y147" i="17"/>
  <c r="Y61" i="17"/>
  <c r="Y92" i="17"/>
  <c r="Y104" i="17"/>
  <c r="Y146" i="17"/>
  <c r="Y34" i="17"/>
  <c r="Y88" i="17"/>
  <c r="Y15" i="17"/>
  <c r="Y13" i="17"/>
  <c r="Y18" i="17"/>
  <c r="Y78" i="17"/>
  <c r="Y195" i="17"/>
  <c r="Y208" i="17"/>
  <c r="Y183" i="17"/>
  <c r="Y151" i="17"/>
  <c r="Y100" i="17"/>
  <c r="Y169" i="17"/>
  <c r="Y123" i="17"/>
  <c r="Y178" i="17"/>
  <c r="Y145" i="17"/>
  <c r="Y131" i="17"/>
  <c r="Y81" i="17"/>
  <c r="Y91" i="17"/>
  <c r="Y84" i="17"/>
  <c r="Y132" i="17"/>
  <c r="Y11" i="17"/>
  <c r="Y82" i="17"/>
  <c r="Y9" i="17"/>
  <c r="Y7" i="17"/>
  <c r="Y12" i="17"/>
  <c r="Y6" i="17"/>
  <c r="AO4" i="17"/>
  <c r="AO3" i="17"/>
  <c r="AO107" i="17" l="1"/>
  <c r="J66" i="4" s="1"/>
  <c r="AO199" i="17"/>
  <c r="AO102" i="17"/>
  <c r="J111" i="4" s="1"/>
  <c r="AO220" i="17"/>
  <c r="AO9" i="17"/>
  <c r="J7" i="4" s="1"/>
  <c r="AO207" i="17"/>
  <c r="AO116" i="17"/>
  <c r="J139" i="4" s="1"/>
  <c r="AO12" i="17"/>
  <c r="J6" i="4" s="1"/>
  <c r="AO149" i="17"/>
  <c r="J149" i="4" s="1"/>
  <c r="AO34" i="17"/>
  <c r="J45" i="4" s="1"/>
  <c r="AO159" i="17"/>
  <c r="J152" i="4" s="1"/>
  <c r="AO68" i="17"/>
  <c r="J83" i="4" s="1"/>
  <c r="AO169" i="17"/>
  <c r="AO142" i="17"/>
  <c r="J128" i="4" s="1"/>
  <c r="AO123" i="17"/>
  <c r="J101" i="4" s="1"/>
  <c r="AO32" i="17"/>
  <c r="J85" i="4" s="1"/>
  <c r="AO194" i="17"/>
  <c r="AO151" i="17"/>
  <c r="J147" i="4" s="1"/>
  <c r="AO72" i="17"/>
  <c r="J29" i="4" s="1"/>
  <c r="AO209" i="17"/>
  <c r="AO94" i="17"/>
  <c r="J77" i="4" s="1"/>
  <c r="AO14" i="17"/>
  <c r="J14" i="4" s="1"/>
  <c r="AO113" i="17"/>
  <c r="J103" i="4" s="1"/>
  <c r="AO146" i="17"/>
  <c r="J157" i="4" s="1"/>
  <c r="AO103" i="17"/>
  <c r="J102" i="4" s="1"/>
  <c r="AO190" i="17"/>
  <c r="AO88" i="17"/>
  <c r="J67" i="4" s="1"/>
  <c r="AO224" i="17"/>
  <c r="AO98" i="17"/>
  <c r="J57" i="4" s="1"/>
  <c r="AO55" i="17"/>
  <c r="J54" i="4" s="1"/>
  <c r="AO120" i="17"/>
  <c r="J135" i="4" s="1"/>
  <c r="AO196" i="17"/>
  <c r="AO81" i="17"/>
  <c r="J145" i="4" s="1"/>
  <c r="AO62" i="17"/>
  <c r="J62" i="4" s="1"/>
  <c r="AO19" i="17"/>
  <c r="J19" i="4" s="1"/>
  <c r="AO133" i="17"/>
  <c r="J129" i="4" s="1"/>
  <c r="AO168" i="17"/>
  <c r="AO23" i="17"/>
  <c r="J81" i="4" s="1"/>
  <c r="AO148" i="17"/>
  <c r="J158" i="4" s="1"/>
  <c r="AO33" i="17"/>
  <c r="J18" i="4" s="1"/>
  <c r="AO192" i="17"/>
  <c r="AO65" i="17"/>
  <c r="J20" i="4" s="1"/>
  <c r="AO66" i="17"/>
  <c r="J92" i="4" s="1"/>
  <c r="AO161" i="17"/>
  <c r="J123" i="4" s="1"/>
  <c r="AO46" i="17"/>
  <c r="J56" i="4" s="1"/>
  <c r="AO171" i="17"/>
  <c r="AO181" i="17"/>
  <c r="AO51" i="17"/>
  <c r="J12" i="4" s="1"/>
  <c r="AO215" i="17"/>
  <c r="AO52" i="17"/>
  <c r="J53" i="4" s="1"/>
  <c r="AO188" i="17"/>
  <c r="AO145" i="17"/>
  <c r="J93" i="4" s="1"/>
  <c r="AO173" i="17"/>
  <c r="AO114" i="17"/>
  <c r="J76" i="4" s="1"/>
  <c r="AO221" i="17"/>
  <c r="AO106" i="17"/>
  <c r="J120" i="4" s="1"/>
  <c r="AO30" i="17"/>
  <c r="J10" i="4" s="1"/>
  <c r="AO140" i="17"/>
  <c r="J109" i="4" s="1"/>
  <c r="AO48" i="17"/>
  <c r="J73" i="4" s="1"/>
  <c r="AO42" i="17"/>
  <c r="J41" i="4" s="1"/>
  <c r="AO7" i="17"/>
  <c r="J8" i="4" s="1"/>
  <c r="AO85" i="17"/>
  <c r="J130" i="4" s="1"/>
  <c r="AO129" i="17"/>
  <c r="J136" i="4" s="1"/>
  <c r="AO27" i="17"/>
  <c r="J24" i="4" s="1"/>
  <c r="AO211" i="17"/>
  <c r="AO37" i="17"/>
  <c r="J17" i="4" s="1"/>
  <c r="AO58" i="17"/>
  <c r="J30" i="4" s="1"/>
  <c r="AO71" i="17"/>
  <c r="J28" i="4" s="1"/>
  <c r="AO135" i="17"/>
  <c r="J117" i="4" s="1"/>
  <c r="AO44" i="17"/>
  <c r="J33" i="4" s="1"/>
  <c r="AO222" i="17"/>
  <c r="AO134" i="17"/>
  <c r="J143" i="4" s="1"/>
  <c r="AO84" i="17"/>
  <c r="J94" i="4" s="1"/>
  <c r="AO77" i="17"/>
  <c r="J87" i="4" s="1"/>
  <c r="AO189" i="17"/>
  <c r="AO87" i="17"/>
  <c r="J69" i="4" s="1"/>
  <c r="AO210" i="17"/>
  <c r="AO143" i="17"/>
  <c r="J124" i="4" s="1"/>
  <c r="AO150" i="17"/>
  <c r="J155" i="4" s="1"/>
  <c r="AO167" i="17"/>
  <c r="AO80" i="17"/>
  <c r="J156" i="4" s="1"/>
  <c r="AO17" i="17"/>
  <c r="J22" i="4" s="1"/>
  <c r="AO180" i="17"/>
  <c r="AO100" i="17"/>
  <c r="J86" i="4" s="1"/>
  <c r="AO54" i="17"/>
  <c r="J52" i="4" s="1"/>
  <c r="AO110" i="17"/>
  <c r="J125" i="4" s="1"/>
  <c r="AO67" i="17"/>
  <c r="J35" i="4" s="1"/>
  <c r="AO132" i="17"/>
  <c r="J146" i="4" s="1"/>
  <c r="AO91" i="17"/>
  <c r="J60" i="4" s="1"/>
  <c r="AO154" i="17"/>
  <c r="J151" i="4" s="1"/>
  <c r="AO218" i="17"/>
  <c r="AO175" i="17"/>
  <c r="AO96" i="17"/>
  <c r="J46" i="4" s="1"/>
  <c r="AO202" i="17"/>
  <c r="AO179" i="17"/>
  <c r="AO160" i="17"/>
  <c r="J137" i="4" s="1"/>
  <c r="AO45" i="17"/>
  <c r="J126" i="4" s="1"/>
  <c r="AO170" i="17"/>
  <c r="AO127" i="17"/>
  <c r="J159" i="4" s="1"/>
  <c r="AO90" i="17"/>
  <c r="J68" i="4" s="1"/>
  <c r="AO177" i="17"/>
  <c r="AO36" i="17"/>
  <c r="J27" i="4" s="1"/>
  <c r="AO183" i="17"/>
  <c r="AO92" i="17"/>
  <c r="J107" i="4" s="1"/>
  <c r="AO193" i="17"/>
  <c r="AO29" i="17"/>
  <c r="J59" i="4" s="1"/>
  <c r="AO126" i="17"/>
  <c r="J112" i="4" s="1"/>
  <c r="AO125" i="17"/>
  <c r="J82" i="4" s="1"/>
  <c r="AO10" i="17"/>
  <c r="J9" i="4" s="1"/>
  <c r="AO74" i="17"/>
  <c r="J89" i="4" s="1"/>
  <c r="AO31" i="17"/>
  <c r="J49" i="4" s="1"/>
  <c r="AO191" i="17"/>
  <c r="AO138" i="17"/>
  <c r="J142" i="4" s="1"/>
  <c r="AO35" i="17"/>
  <c r="J88" i="4" s="1"/>
  <c r="AO16" i="17"/>
  <c r="J32" i="4" s="1"/>
  <c r="AO26" i="17"/>
  <c r="J64" i="4" s="1"/>
  <c r="AO197" i="17"/>
  <c r="AO82" i="17"/>
  <c r="J72" i="4" s="1"/>
  <c r="AO50" i="17"/>
  <c r="J37" i="4" s="1"/>
  <c r="AO152" i="17"/>
  <c r="J140" i="4" s="1"/>
  <c r="AO131" i="17"/>
  <c r="J99" i="4" s="1"/>
  <c r="AO39" i="17"/>
  <c r="J48" i="4" s="1"/>
  <c r="AO223" i="17"/>
  <c r="AO49" i="17"/>
  <c r="J15" i="4" s="1"/>
  <c r="AO217" i="17"/>
  <c r="AO83" i="17"/>
  <c r="J78" i="4" s="1"/>
  <c r="AO208" i="17"/>
  <c r="AO93" i="17"/>
  <c r="J75" i="4" s="1"/>
  <c r="AO157" i="17"/>
  <c r="J148" i="4" s="1"/>
  <c r="AO73" i="17"/>
  <c r="J97" i="4" s="1"/>
  <c r="AO47" i="17"/>
  <c r="J47" i="4" s="1"/>
  <c r="AO18" i="17"/>
  <c r="J58" i="4" s="1"/>
  <c r="AO118" i="17"/>
  <c r="J106" i="4" s="1"/>
  <c r="AO99" i="17"/>
  <c r="J118" i="4" s="1"/>
  <c r="AO8" i="17"/>
  <c r="J5" i="4" s="1"/>
  <c r="AO109" i="17"/>
  <c r="J119" i="4" s="1"/>
  <c r="AO53" i="17"/>
  <c r="J44" i="4" s="1"/>
  <c r="AO165" i="17"/>
  <c r="AO97" i="17"/>
  <c r="J34" i="4" s="1"/>
  <c r="AO214" i="17"/>
  <c r="AO122" i="17"/>
  <c r="J150" i="4" s="1"/>
  <c r="AO79" i="17"/>
  <c r="J113" i="4" s="1"/>
  <c r="AO144" i="17"/>
  <c r="J98" i="4" s="1"/>
  <c r="AO141" i="17"/>
  <c r="J144" i="4" s="1"/>
  <c r="AO166" i="17"/>
  <c r="AO64" i="17"/>
  <c r="J114" i="4" s="1"/>
  <c r="AO200" i="17"/>
  <c r="AO13" i="17"/>
  <c r="J31" i="4" s="1"/>
  <c r="AO174" i="17"/>
  <c r="AO130" i="17"/>
  <c r="J122" i="4" s="1"/>
  <c r="AO89" i="17"/>
  <c r="J36" i="4" s="1"/>
  <c r="AO201" i="17"/>
  <c r="AO182" i="17"/>
  <c r="AO139" i="17"/>
  <c r="J121" i="4" s="1"/>
  <c r="AO204" i="17"/>
  <c r="AO136" i="17"/>
  <c r="J134" i="4" s="1"/>
  <c r="AO21" i="17"/>
  <c r="J25" i="4" s="1"/>
  <c r="AO25" i="17"/>
  <c r="J43" i="4" s="1"/>
  <c r="AO185" i="17"/>
  <c r="AO70" i="17"/>
  <c r="J63" i="4" s="1"/>
  <c r="AO205" i="17"/>
  <c r="AO195" i="17"/>
  <c r="AO186" i="17"/>
  <c r="AO137" i="17"/>
  <c r="J108" i="4" s="1"/>
  <c r="AO22" i="17"/>
  <c r="J38" i="4" s="1"/>
  <c r="AO147" i="17"/>
  <c r="J104" i="4" s="1"/>
  <c r="AO56" i="17"/>
  <c r="J74" i="4" s="1"/>
  <c r="AO108" i="17"/>
  <c r="J40" i="4" s="1"/>
  <c r="AO101" i="17"/>
  <c r="J115" i="4" s="1"/>
  <c r="AO213" i="17"/>
  <c r="AO172" i="17"/>
  <c r="AO57" i="17"/>
  <c r="J105" i="4" s="1"/>
  <c r="AO38" i="17"/>
  <c r="J26" i="4" s="1"/>
  <c r="AO112" i="17"/>
  <c r="J79" i="4" s="1"/>
  <c r="AO60" i="17"/>
  <c r="J16" i="4" s="1"/>
  <c r="AO219" i="17"/>
  <c r="AO128" i="17"/>
  <c r="J90" i="4" s="1"/>
  <c r="AO117" i="17"/>
  <c r="J51" i="4" s="1"/>
  <c r="AO163" i="17"/>
  <c r="AO153" i="17"/>
  <c r="J141" i="4" s="1"/>
  <c r="AO61" i="17"/>
  <c r="J91" i="4" s="1"/>
  <c r="AO119" i="17"/>
  <c r="J138" i="4" s="1"/>
  <c r="AO95" i="17"/>
  <c r="J84" i="4" s="1"/>
  <c r="AO105" i="17"/>
  <c r="J96" i="4" s="1"/>
  <c r="AO78" i="17"/>
  <c r="J95" i="4" s="1"/>
  <c r="AO187" i="17"/>
  <c r="AO203" i="17"/>
  <c r="AO184" i="17"/>
  <c r="AO69" i="17"/>
  <c r="J39" i="4" s="1"/>
  <c r="AO28" i="17"/>
  <c r="J61" i="4" s="1"/>
  <c r="AO164" i="17"/>
  <c r="AO121" i="17"/>
  <c r="J65" i="4" s="1"/>
  <c r="AO24" i="17"/>
  <c r="J23" i="4" s="1"/>
  <c r="AO155" i="17"/>
  <c r="J127" i="4" s="1"/>
  <c r="AO75" i="17"/>
  <c r="J42" i="4" s="1"/>
  <c r="AO162" i="17"/>
  <c r="AO63" i="17"/>
  <c r="J100" i="4" s="1"/>
  <c r="AO15" i="17"/>
  <c r="J13" i="4" s="1"/>
  <c r="AO206" i="17"/>
  <c r="AO41" i="17"/>
  <c r="J50" i="4" s="1"/>
  <c r="AO124" i="17"/>
  <c r="J132" i="4" s="1"/>
  <c r="AO156" i="17"/>
  <c r="J153" i="4" s="1"/>
  <c r="AO104" i="17"/>
  <c r="J133" i="4" s="1"/>
  <c r="AO178" i="17"/>
  <c r="AO76" i="17"/>
  <c r="J110" i="4" s="1"/>
  <c r="AO212" i="17"/>
  <c r="AO86" i="17"/>
  <c r="J131" i="4" s="1"/>
  <c r="AO43" i="17"/>
  <c r="J71" i="4" s="1"/>
  <c r="AO59" i="17"/>
  <c r="J116" i="4" s="1"/>
  <c r="AO40" i="17"/>
  <c r="J55" i="4" s="1"/>
  <c r="AO176" i="17"/>
  <c r="AO111" i="17"/>
  <c r="J80" i="4" s="1"/>
  <c r="AO20" i="17"/>
  <c r="J11" i="4" s="1"/>
  <c r="AO216" i="17"/>
  <c r="AO198" i="17"/>
  <c r="AO11" i="17"/>
  <c r="J21" i="4" s="1"/>
  <c r="AO158" i="17"/>
  <c r="J154" i="4" s="1"/>
  <c r="AO115" i="17"/>
  <c r="J70" i="4" s="1"/>
  <c r="AP3" i="17"/>
  <c r="AP6" i="17" l="1"/>
  <c r="K4" i="4" s="1"/>
  <c r="AP91" i="17"/>
  <c r="K60" i="4" s="1"/>
  <c r="AP11" i="17"/>
  <c r="K21" i="4" s="1"/>
  <c r="AP169" i="17"/>
  <c r="AP60" i="17"/>
  <c r="K16" i="4" s="1"/>
  <c r="AP215" i="17"/>
  <c r="AP146" i="17"/>
  <c r="K157" i="4" s="1"/>
  <c r="AP203" i="17"/>
  <c r="AP134" i="17"/>
  <c r="K143" i="4" s="1"/>
  <c r="AP23" i="17"/>
  <c r="K81" i="4" s="1"/>
  <c r="AP39" i="17"/>
  <c r="K48" i="4" s="1"/>
  <c r="AP154" i="17"/>
  <c r="K151" i="4" s="1"/>
  <c r="AP171" i="17"/>
  <c r="AP211" i="17"/>
  <c r="AP15" i="17"/>
  <c r="K13" i="4" s="1"/>
  <c r="AP106" i="17"/>
  <c r="K120" i="4" s="1"/>
  <c r="AP181" i="17"/>
  <c r="AP218" i="17"/>
  <c r="AP139" i="17"/>
  <c r="K121" i="4" s="1"/>
  <c r="AP209" i="17"/>
  <c r="AP94" i="17"/>
  <c r="K77" i="4" s="1"/>
  <c r="AP69" i="17"/>
  <c r="K39" i="4" s="1"/>
  <c r="AP143" i="17"/>
  <c r="K124" i="4" s="1"/>
  <c r="AP172" i="17"/>
  <c r="AP174" i="17"/>
  <c r="AP123" i="17"/>
  <c r="K101" i="4" s="1"/>
  <c r="AP85" i="17"/>
  <c r="K130" i="4" s="1"/>
  <c r="AP200" i="17"/>
  <c r="AP122" i="17"/>
  <c r="K150" i="4" s="1"/>
  <c r="AP103" i="17"/>
  <c r="K102" i="4" s="1"/>
  <c r="AP110" i="17"/>
  <c r="K125" i="4" s="1"/>
  <c r="AP182" i="17"/>
  <c r="AP98" i="17"/>
  <c r="K57" i="4" s="1"/>
  <c r="AP101" i="17"/>
  <c r="K115" i="4" s="1"/>
  <c r="AP37" i="17"/>
  <c r="K17" i="4" s="1"/>
  <c r="AP198" i="17"/>
  <c r="AP175" i="17"/>
  <c r="AP65" i="17"/>
  <c r="K20" i="4" s="1"/>
  <c r="AP189" i="17"/>
  <c r="AP79" i="17"/>
  <c r="K113" i="4" s="1"/>
  <c r="AP54" i="17"/>
  <c r="K52" i="4" s="1"/>
  <c r="AP108" i="17"/>
  <c r="K40" i="4" s="1"/>
  <c r="AP97" i="17"/>
  <c r="K34" i="4" s="1"/>
  <c r="AP96" i="17"/>
  <c r="K46" i="4" s="1"/>
  <c r="AP180" i="17"/>
  <c r="AP93" i="17"/>
  <c r="K75" i="4" s="1"/>
  <c r="AP217" i="17"/>
  <c r="AP77" i="17"/>
  <c r="K87" i="4" s="1"/>
  <c r="AP205" i="17"/>
  <c r="AP84" i="17"/>
  <c r="K94" i="4" s="1"/>
  <c r="AP193" i="17"/>
  <c r="AP68" i="17"/>
  <c r="K83" i="4" s="1"/>
  <c r="AP132" i="17"/>
  <c r="K146" i="4" s="1"/>
  <c r="AP56" i="17"/>
  <c r="K74" i="4" s="1"/>
  <c r="AP151" i="17"/>
  <c r="K147" i="4" s="1"/>
  <c r="AP27" i="17"/>
  <c r="K24" i="4" s="1"/>
  <c r="AP148" i="17"/>
  <c r="K158" i="4" s="1"/>
  <c r="AP45" i="17"/>
  <c r="K126" i="4" s="1"/>
  <c r="AP197" i="17"/>
  <c r="AP82" i="17"/>
  <c r="K72" i="4" s="1"/>
  <c r="AP113" i="17"/>
  <c r="K103" i="4" s="1"/>
  <c r="AP192" i="17"/>
  <c r="AP184" i="17"/>
  <c r="AP36" i="17"/>
  <c r="K27" i="4" s="1"/>
  <c r="AP25" i="17"/>
  <c r="K43" i="4" s="1"/>
  <c r="AP73" i="17"/>
  <c r="K97" i="4" s="1"/>
  <c r="AP57" i="17"/>
  <c r="K105" i="4" s="1"/>
  <c r="AP61" i="17"/>
  <c r="K91" i="4" s="1"/>
  <c r="AP135" i="17"/>
  <c r="K117" i="4" s="1"/>
  <c r="AP49" i="17"/>
  <c r="K15" i="4" s="1"/>
  <c r="AP18" i="17"/>
  <c r="K58" i="4" s="1"/>
  <c r="AP10" i="17"/>
  <c r="K9" i="4" s="1"/>
  <c r="AP20" i="17"/>
  <c r="K11" i="4" s="1"/>
  <c r="AP118" i="17"/>
  <c r="K106" i="4" s="1"/>
  <c r="AP80" i="17"/>
  <c r="K156" i="4" s="1"/>
  <c r="AP42" i="17"/>
  <c r="K41" i="4" s="1"/>
  <c r="AP152" i="17"/>
  <c r="K140" i="4" s="1"/>
  <c r="AP53" i="17"/>
  <c r="K44" i="4" s="1"/>
  <c r="AP177" i="17"/>
  <c r="AP13" i="17"/>
  <c r="K31" i="4" s="1"/>
  <c r="AP48" i="17"/>
  <c r="K73" i="4" s="1"/>
  <c r="AP186" i="17"/>
  <c r="AP202" i="17"/>
  <c r="AP88" i="17"/>
  <c r="K67" i="4" s="1"/>
  <c r="AP168" i="17"/>
  <c r="AP142" i="17"/>
  <c r="K128" i="4" s="1"/>
  <c r="AP156" i="17"/>
  <c r="K153" i="4" s="1"/>
  <c r="AP50" i="17"/>
  <c r="K37" i="4" s="1"/>
  <c r="AP144" i="17"/>
  <c r="K98" i="4" s="1"/>
  <c r="AP28" i="17"/>
  <c r="K61" i="4" s="1"/>
  <c r="AP187" i="17"/>
  <c r="AP224" i="17"/>
  <c r="AP32" i="17"/>
  <c r="K85" i="4" s="1"/>
  <c r="AP62" i="17"/>
  <c r="K62" i="4" s="1"/>
  <c r="AP87" i="17"/>
  <c r="K69" i="4" s="1"/>
  <c r="AP8" i="17"/>
  <c r="K5" i="4" s="1"/>
  <c r="AP136" i="17"/>
  <c r="K134" i="4" s="1"/>
  <c r="AP33" i="17"/>
  <c r="K18" i="4" s="1"/>
  <c r="AP102" i="17"/>
  <c r="K111" i="4" s="1"/>
  <c r="AP131" i="17"/>
  <c r="K99" i="4" s="1"/>
  <c r="AP212" i="17"/>
  <c r="AP58" i="17"/>
  <c r="K30" i="4" s="1"/>
  <c r="AP120" i="17"/>
  <c r="K135" i="4" s="1"/>
  <c r="AP24" i="17"/>
  <c r="K23" i="4" s="1"/>
  <c r="AP71" i="17"/>
  <c r="K28" i="4" s="1"/>
  <c r="AP12" i="17"/>
  <c r="K6" i="4" s="1"/>
  <c r="AP7" i="17"/>
  <c r="K8" i="4" s="1"/>
  <c r="AP126" i="17"/>
  <c r="K112" i="4" s="1"/>
  <c r="AP35" i="17"/>
  <c r="K88" i="4" s="1"/>
  <c r="AP21" i="17"/>
  <c r="K25" i="4" s="1"/>
  <c r="AP105" i="17"/>
  <c r="K96" i="4" s="1"/>
  <c r="AP90" i="17"/>
  <c r="K68" i="4" s="1"/>
  <c r="AP170" i="17"/>
  <c r="AP127" i="17"/>
  <c r="K159" i="4" s="1"/>
  <c r="AP219" i="17"/>
  <c r="AP140" i="17"/>
  <c r="K109" i="4" s="1"/>
  <c r="AP67" i="17"/>
  <c r="K35" i="4" s="1"/>
  <c r="AP214" i="17"/>
  <c r="AP55" i="17"/>
  <c r="K54" i="4" s="1"/>
  <c r="AP153" i="17"/>
  <c r="K141" i="4" s="1"/>
  <c r="AP188" i="17"/>
  <c r="AP107" i="17"/>
  <c r="K66" i="4" s="1"/>
  <c r="AP19" i="17"/>
  <c r="K19" i="4" s="1"/>
  <c r="AP95" i="17"/>
  <c r="K84" i="4" s="1"/>
  <c r="AP64" i="17"/>
  <c r="K114" i="4" s="1"/>
  <c r="AP83" i="17"/>
  <c r="K78" i="4" s="1"/>
  <c r="AP104" i="17"/>
  <c r="K133" i="4" s="1"/>
  <c r="AP213" i="17"/>
  <c r="AP89" i="17"/>
  <c r="K36" i="4" s="1"/>
  <c r="AP196" i="17"/>
  <c r="AP26" i="17"/>
  <c r="K64" i="4" s="1"/>
  <c r="AP210" i="17"/>
  <c r="AP75" i="17"/>
  <c r="K42" i="4" s="1"/>
  <c r="AP222" i="17"/>
  <c r="AP185" i="17"/>
  <c r="AP70" i="17"/>
  <c r="K63" i="4" s="1"/>
  <c r="AP173" i="17"/>
  <c r="AP9" i="17"/>
  <c r="K7" i="4" s="1"/>
  <c r="AP43" i="17"/>
  <c r="K71" i="4" s="1"/>
  <c r="AP190" i="17"/>
  <c r="AP76" i="17"/>
  <c r="K110" i="4" s="1"/>
  <c r="AP178" i="17"/>
  <c r="AP119" i="17"/>
  <c r="K138" i="4" s="1"/>
  <c r="AP166" i="17"/>
  <c r="AP125" i="17"/>
  <c r="K82" i="4" s="1"/>
  <c r="AP221" i="17"/>
  <c r="AP40" i="17"/>
  <c r="K55" i="4" s="1"/>
  <c r="AP157" i="17"/>
  <c r="K148" i="4" s="1"/>
  <c r="AP121" i="17"/>
  <c r="K65" i="4" s="1"/>
  <c r="AP133" i="17"/>
  <c r="K129" i="4" s="1"/>
  <c r="AP158" i="17"/>
  <c r="K154" i="4" s="1"/>
  <c r="AP115" i="17"/>
  <c r="K70" i="4" s="1"/>
  <c r="AP41" i="17"/>
  <c r="K50" i="4" s="1"/>
  <c r="AP165" i="17"/>
  <c r="AP29" i="17"/>
  <c r="K59" i="4" s="1"/>
  <c r="AP116" i="17"/>
  <c r="K139" i="4" s="1"/>
  <c r="AP161" i="17"/>
  <c r="K123" i="4" s="1"/>
  <c r="AP46" i="17"/>
  <c r="K56" i="4" s="1"/>
  <c r="AP179" i="17"/>
  <c r="AP34" i="17"/>
  <c r="K45" i="4" s="1"/>
  <c r="AP128" i="17"/>
  <c r="K90" i="4" s="1"/>
  <c r="AP22" i="17"/>
  <c r="K38" i="4" s="1"/>
  <c r="AP208" i="17"/>
  <c r="AP164" i="17"/>
  <c r="AP74" i="17"/>
  <c r="K89" i="4" s="1"/>
  <c r="AP59" i="17"/>
  <c r="K116" i="4" s="1"/>
  <c r="AP216" i="17"/>
  <c r="AP194" i="17"/>
  <c r="AP14" i="17"/>
  <c r="K14" i="4" s="1"/>
  <c r="AP31" i="17"/>
  <c r="K49" i="4" s="1"/>
  <c r="AP124" i="17"/>
  <c r="K132" i="4" s="1"/>
  <c r="AP162" i="17"/>
  <c r="AP112" i="17"/>
  <c r="K79" i="4" s="1"/>
  <c r="AP138" i="17"/>
  <c r="K142" i="4" s="1"/>
  <c r="AP17" i="17"/>
  <c r="K22" i="4" s="1"/>
  <c r="AP141" i="17"/>
  <c r="K144" i="4" s="1"/>
  <c r="AP176" i="17"/>
  <c r="AP129" i="17"/>
  <c r="K136" i="4" s="1"/>
  <c r="AP137" i="17"/>
  <c r="K108" i="4" s="1"/>
  <c r="AP117" i="17"/>
  <c r="K51" i="4" s="1"/>
  <c r="AP147" i="17"/>
  <c r="K104" i="4" s="1"/>
  <c r="AP145" i="17"/>
  <c r="K93" i="4" s="1"/>
  <c r="AP130" i="17"/>
  <c r="K122" i="4" s="1"/>
  <c r="AP78" i="17"/>
  <c r="K95" i="4" s="1"/>
  <c r="AP72" i="17"/>
  <c r="K29" i="4" s="1"/>
  <c r="AP163" i="17"/>
  <c r="AP109" i="17"/>
  <c r="K119" i="4" s="1"/>
  <c r="AP160" i="17"/>
  <c r="K137" i="4" s="1"/>
  <c r="AP207" i="17"/>
  <c r="AP38" i="17"/>
  <c r="K26" i="4" s="1"/>
  <c r="AP195" i="17"/>
  <c r="AP191" i="17"/>
  <c r="AP100" i="17"/>
  <c r="K86" i="4" s="1"/>
  <c r="AP150" i="17"/>
  <c r="K155" i="4" s="1"/>
  <c r="AP149" i="17"/>
  <c r="K149" i="4" s="1"/>
  <c r="AP114" i="17"/>
  <c r="K76" i="4" s="1"/>
  <c r="AP220" i="17"/>
  <c r="AP199" i="17"/>
  <c r="AP66" i="17"/>
  <c r="K92" i="4" s="1"/>
  <c r="AP111" i="17"/>
  <c r="K80" i="4" s="1"/>
  <c r="AP44" i="17"/>
  <c r="K33" i="4" s="1"/>
  <c r="AP81" i="17"/>
  <c r="K145" i="4" s="1"/>
  <c r="AP155" i="17"/>
  <c r="K127" i="4" s="1"/>
  <c r="AP47" i="17"/>
  <c r="K47" i="4" s="1"/>
  <c r="AP204" i="17"/>
  <c r="AP201" i="17"/>
  <c r="AP63" i="17"/>
  <c r="K100" i="4" s="1"/>
  <c r="AP167" i="17"/>
  <c r="AP51" i="17"/>
  <c r="K12" i="4" s="1"/>
  <c r="AP99" i="17"/>
  <c r="K118" i="4" s="1"/>
  <c r="AP183" i="17"/>
  <c r="AP223" i="17"/>
  <c r="AP30" i="17"/>
  <c r="K10" i="4" s="1"/>
  <c r="AP92" i="17"/>
  <c r="K107" i="4" s="1"/>
  <c r="AP159" i="17"/>
  <c r="K152" i="4" s="1"/>
  <c r="AP16" i="17"/>
  <c r="K32" i="4" s="1"/>
  <c r="AP86" i="17"/>
  <c r="K131" i="4" s="1"/>
  <c r="AP52" i="17"/>
  <c r="K53" i="4" s="1"/>
  <c r="AP206" i="17"/>
  <c r="J197" i="17"/>
  <c r="J181" i="17"/>
  <c r="J133" i="17"/>
  <c r="J83" i="17"/>
  <c r="J71" i="17"/>
  <c r="J69" i="17"/>
  <c r="J23" i="17"/>
  <c r="J194" i="17"/>
  <c r="J165" i="17"/>
  <c r="J151" i="17"/>
  <c r="J130" i="17"/>
  <c r="J127" i="17"/>
  <c r="J96" i="17"/>
  <c r="J13" i="17"/>
  <c r="J199" i="17"/>
  <c r="J186" i="17"/>
  <c r="J129" i="17"/>
  <c r="J124" i="17"/>
  <c r="J106" i="17"/>
  <c r="J78" i="17"/>
  <c r="J30" i="17"/>
  <c r="J26" i="17"/>
  <c r="J188" i="17"/>
  <c r="J173" i="17"/>
  <c r="J168" i="17"/>
  <c r="J107" i="17"/>
  <c r="J41" i="17"/>
  <c r="J33" i="17"/>
  <c r="J21" i="17"/>
  <c r="J150" i="17"/>
  <c r="J98" i="17"/>
  <c r="J95" i="17"/>
  <c r="J68" i="17"/>
  <c r="J56" i="17"/>
  <c r="J189" i="17"/>
  <c r="J110" i="17"/>
  <c r="J82" i="17"/>
  <c r="J58" i="17"/>
  <c r="J55" i="17"/>
  <c r="J45" i="17"/>
  <c r="J202" i="17"/>
  <c r="J112" i="17"/>
  <c r="J89" i="17"/>
  <c r="J87" i="17"/>
  <c r="J61" i="17"/>
  <c r="J44" i="17"/>
  <c r="J11" i="17"/>
  <c r="J192" i="17"/>
  <c r="J157" i="17"/>
  <c r="J115" i="17"/>
  <c r="J104" i="17"/>
  <c r="J97" i="17"/>
  <c r="J79" i="17"/>
  <c r="J53" i="17"/>
  <c r="J12" i="17"/>
  <c r="J184" i="17"/>
  <c r="J174" i="17"/>
  <c r="J164" i="17"/>
  <c r="J145" i="17"/>
  <c r="J140" i="17"/>
  <c r="J135" i="17"/>
  <c r="J99" i="17"/>
  <c r="J65" i="17"/>
  <c r="J172" i="17"/>
  <c r="J131" i="17"/>
  <c r="J121" i="17"/>
  <c r="J119" i="17"/>
  <c r="J28" i="17"/>
  <c r="J156" i="17"/>
  <c r="J117" i="17"/>
  <c r="J116" i="17"/>
  <c r="J108" i="17"/>
  <c r="J103" i="17"/>
  <c r="J73" i="17"/>
  <c r="J40" i="17"/>
  <c r="J203" i="17"/>
  <c r="J136" i="17"/>
  <c r="J128" i="17"/>
  <c r="J59" i="17"/>
  <c r="J52" i="17"/>
  <c r="J9" i="17"/>
  <c r="J161" i="17"/>
  <c r="J152" i="17"/>
  <c r="J114" i="17"/>
  <c r="J46" i="17"/>
  <c r="J39" i="17"/>
  <c r="J16" i="17"/>
  <c r="J167" i="17"/>
  <c r="J142" i="17"/>
  <c r="J141" i="17"/>
  <c r="J66" i="17"/>
  <c r="J24" i="17"/>
  <c r="J19" i="17"/>
  <c r="J193" i="17"/>
  <c r="J191" i="17"/>
  <c r="J180" i="17"/>
  <c r="J143" i="17"/>
  <c r="J138" i="17"/>
  <c r="J88" i="17"/>
  <c r="J80" i="17"/>
  <c r="J37" i="17"/>
  <c r="J196" i="17"/>
  <c r="J195" i="17"/>
  <c r="J179" i="17"/>
  <c r="J57" i="17"/>
  <c r="J35" i="17"/>
  <c r="J20" i="17"/>
  <c r="J204" i="17"/>
  <c r="J185" i="17"/>
  <c r="J171" i="17"/>
  <c r="J170" i="17"/>
  <c r="J147" i="17"/>
  <c r="J146" i="17"/>
  <c r="J132" i="17"/>
  <c r="J70" i="17"/>
  <c r="J17" i="17"/>
  <c r="J200" i="17"/>
  <c r="J178" i="17"/>
  <c r="J158" i="17"/>
  <c r="J94" i="17"/>
  <c r="J86" i="17"/>
  <c r="J76" i="17"/>
  <c r="J60" i="17"/>
  <c r="J31" i="17"/>
  <c r="J190" i="17"/>
  <c r="J139" i="17"/>
  <c r="J100" i="17"/>
  <c r="J92" i="17"/>
  <c r="J81" i="17"/>
  <c r="J50" i="17"/>
  <c r="J175" i="17"/>
  <c r="J134" i="17"/>
  <c r="J109" i="17"/>
  <c r="J102" i="17"/>
  <c r="J47" i="17"/>
  <c r="J8" i="17"/>
  <c r="J154" i="17"/>
  <c r="J118" i="17"/>
  <c r="J101" i="17"/>
  <c r="J90" i="17"/>
  <c r="J72" i="17"/>
  <c r="J62" i="17"/>
  <c r="J176" i="17"/>
  <c r="J169" i="17"/>
  <c r="J159" i="17"/>
  <c r="J120" i="17"/>
  <c r="J77" i="17"/>
  <c r="J36" i="17"/>
  <c r="J6" i="17"/>
  <c r="J149" i="17"/>
  <c r="J137" i="17"/>
  <c r="J125" i="17"/>
  <c r="J38" i="17"/>
  <c r="J18" i="17"/>
  <c r="J201" i="17"/>
  <c r="J162" i="17"/>
  <c r="J155" i="17"/>
  <c r="J123" i="17"/>
  <c r="J111" i="17"/>
  <c r="J85" i="17"/>
  <c r="J64" i="17"/>
  <c r="J144" i="17"/>
  <c r="J63" i="17"/>
  <c r="J42" i="17"/>
  <c r="J27" i="17"/>
  <c r="J22" i="17"/>
  <c r="J160" i="17"/>
  <c r="J126" i="17"/>
  <c r="J93" i="17"/>
  <c r="J91" i="17"/>
  <c r="J74" i="17"/>
  <c r="J54" i="17"/>
  <c r="J25" i="17"/>
  <c r="J166" i="17"/>
  <c r="J153" i="17"/>
  <c r="J15" i="17"/>
  <c r="J10" i="17"/>
  <c r="J7" i="17"/>
  <c r="J183" i="17"/>
  <c r="J148" i="17"/>
  <c r="J113" i="17"/>
  <c r="J84" i="17"/>
  <c r="J51" i="17"/>
  <c r="J34" i="17"/>
  <c r="J14" i="17"/>
  <c r="AF16" i="17" l="1"/>
  <c r="AF47" i="17"/>
  <c r="AF191" i="17"/>
  <c r="AF117" i="17"/>
  <c r="AF194" i="17"/>
  <c r="AF116" i="17"/>
  <c r="AF166" i="17"/>
  <c r="AF210" i="17"/>
  <c r="AF153" i="17"/>
  <c r="AF35" i="17"/>
  <c r="AF136" i="17"/>
  <c r="AF168" i="17"/>
  <c r="AF20" i="17"/>
  <c r="AF113" i="17"/>
  <c r="AF205" i="17"/>
  <c r="AF175" i="17"/>
  <c r="AF174" i="17"/>
  <c r="AF171" i="17"/>
  <c r="AF159" i="17"/>
  <c r="AF155" i="17"/>
  <c r="AF195" i="17"/>
  <c r="AF137" i="17"/>
  <c r="AF216" i="17"/>
  <c r="AF29" i="17"/>
  <c r="AF119" i="17"/>
  <c r="AF26" i="17"/>
  <c r="AF55" i="17"/>
  <c r="AF126" i="17"/>
  <c r="AF8" i="17"/>
  <c r="AF88" i="17"/>
  <c r="AF10" i="17"/>
  <c r="AF82" i="17"/>
  <c r="AF77" i="17"/>
  <c r="AF198" i="17"/>
  <c r="AF172" i="17"/>
  <c r="AF154" i="17"/>
  <c r="AF92" i="17"/>
  <c r="AF81" i="17"/>
  <c r="AF38" i="17"/>
  <c r="AF129" i="17"/>
  <c r="AF59" i="17"/>
  <c r="AF165" i="17"/>
  <c r="AF178" i="17"/>
  <c r="AF196" i="17"/>
  <c r="AF214" i="17"/>
  <c r="AF7" i="17"/>
  <c r="AF87" i="17"/>
  <c r="AF202" i="17"/>
  <c r="AF18" i="17"/>
  <c r="AF197" i="17"/>
  <c r="AF217" i="17"/>
  <c r="AF37" i="17"/>
  <c r="AF143" i="17"/>
  <c r="AF39" i="17"/>
  <c r="AF30" i="17"/>
  <c r="AF44" i="17"/>
  <c r="AF207" i="17"/>
  <c r="AF176" i="17"/>
  <c r="AF74" i="17"/>
  <c r="AF41" i="17"/>
  <c r="AF76" i="17"/>
  <c r="AF89" i="17"/>
  <c r="AF67" i="17"/>
  <c r="AF12" i="17"/>
  <c r="AF62" i="17"/>
  <c r="AF186" i="17"/>
  <c r="AF49" i="17"/>
  <c r="AF45" i="17"/>
  <c r="AF93" i="17"/>
  <c r="AF101" i="17"/>
  <c r="AF69" i="17"/>
  <c r="AF23" i="17"/>
  <c r="AF223" i="17"/>
  <c r="AF111" i="17"/>
  <c r="AF160" i="17"/>
  <c r="AF141" i="17"/>
  <c r="AF164" i="17"/>
  <c r="AF115" i="17"/>
  <c r="AF190" i="17"/>
  <c r="AF213" i="17"/>
  <c r="AF140" i="17"/>
  <c r="AF71" i="17"/>
  <c r="AF32" i="17"/>
  <c r="AF48" i="17"/>
  <c r="AF135" i="17"/>
  <c r="AF148" i="17"/>
  <c r="AF180" i="17"/>
  <c r="AF98" i="17"/>
  <c r="AF94" i="17"/>
  <c r="AF134" i="17"/>
  <c r="AF183" i="17"/>
  <c r="AF66" i="17"/>
  <c r="AF109" i="17"/>
  <c r="AF17" i="17"/>
  <c r="AF208" i="17"/>
  <c r="AF158" i="17"/>
  <c r="AF43" i="17"/>
  <c r="AF104" i="17"/>
  <c r="AF219" i="17"/>
  <c r="AF24" i="17"/>
  <c r="AF224" i="17"/>
  <c r="AF13" i="17"/>
  <c r="AF61" i="17"/>
  <c r="AF27" i="17"/>
  <c r="AF96" i="17"/>
  <c r="AF182" i="17"/>
  <c r="AF209" i="17"/>
  <c r="AF203" i="17"/>
  <c r="AF99" i="17"/>
  <c r="AF199" i="17"/>
  <c r="AF163" i="17"/>
  <c r="AF138" i="17"/>
  <c r="AF22" i="17"/>
  <c r="AF133" i="17"/>
  <c r="AF9" i="17"/>
  <c r="AF83" i="17"/>
  <c r="AF127" i="17"/>
  <c r="AF120" i="17"/>
  <c r="AF187" i="17"/>
  <c r="AF177" i="17"/>
  <c r="AF57" i="17"/>
  <c r="AF151" i="17"/>
  <c r="AF97" i="17"/>
  <c r="AF110" i="17"/>
  <c r="AF139" i="17"/>
  <c r="AF146" i="17"/>
  <c r="AF51" i="17"/>
  <c r="AF220" i="17"/>
  <c r="AF72" i="17"/>
  <c r="AF112" i="17"/>
  <c r="AF128" i="17"/>
  <c r="AF121" i="17"/>
  <c r="AF173" i="17"/>
  <c r="AF64" i="17"/>
  <c r="AF170" i="17"/>
  <c r="AF58" i="17"/>
  <c r="AF28" i="17"/>
  <c r="AF53" i="17"/>
  <c r="AF73" i="17"/>
  <c r="AF56" i="17"/>
  <c r="AF108" i="17"/>
  <c r="AF103" i="17"/>
  <c r="AF218" i="17"/>
  <c r="AF215" i="17"/>
  <c r="AF167" i="17"/>
  <c r="AF114" i="17"/>
  <c r="AF78" i="17"/>
  <c r="AF162" i="17"/>
  <c r="AF34" i="17"/>
  <c r="AF157" i="17"/>
  <c r="AF70" i="17"/>
  <c r="AF95" i="17"/>
  <c r="AF90" i="17"/>
  <c r="AF212" i="17"/>
  <c r="AF144" i="17"/>
  <c r="AF152" i="17"/>
  <c r="AF25" i="17"/>
  <c r="AF132" i="17"/>
  <c r="AF54" i="17"/>
  <c r="AF122" i="17"/>
  <c r="AF181" i="17"/>
  <c r="AF60" i="17"/>
  <c r="AF206" i="17"/>
  <c r="AF63" i="17"/>
  <c r="AF149" i="17"/>
  <c r="AF130" i="17"/>
  <c r="AF124" i="17"/>
  <c r="AF179" i="17"/>
  <c r="AF40" i="17"/>
  <c r="AF185" i="17"/>
  <c r="AF19" i="17"/>
  <c r="AF6" i="17"/>
  <c r="AF131" i="17"/>
  <c r="AF50" i="17"/>
  <c r="AF42" i="17"/>
  <c r="AF36" i="17"/>
  <c r="AF68" i="17"/>
  <c r="AF79" i="17"/>
  <c r="AF200" i="17"/>
  <c r="AF106" i="17"/>
  <c r="AF169" i="17"/>
  <c r="AF52" i="17"/>
  <c r="AF201" i="17"/>
  <c r="AF150" i="17"/>
  <c r="AF145" i="17"/>
  <c r="AF31" i="17"/>
  <c r="AF46" i="17"/>
  <c r="AF221" i="17"/>
  <c r="AF222" i="17"/>
  <c r="AF107" i="17"/>
  <c r="AF105" i="17"/>
  <c r="AF102" i="17"/>
  <c r="AF156" i="17"/>
  <c r="AF80" i="17"/>
  <c r="AF184" i="17"/>
  <c r="AF193" i="17"/>
  <c r="AF189" i="17"/>
  <c r="AF85" i="17"/>
  <c r="AF15" i="17"/>
  <c r="AF11" i="17"/>
  <c r="AF86" i="17"/>
  <c r="AF204" i="17"/>
  <c r="AF100" i="17"/>
  <c r="AF147" i="17"/>
  <c r="AF14" i="17"/>
  <c r="AF161" i="17"/>
  <c r="AF125" i="17"/>
  <c r="AF75" i="17"/>
  <c r="AF188" i="17"/>
  <c r="AF21" i="17"/>
  <c r="AF33" i="17"/>
  <c r="AF142" i="17"/>
  <c r="AF118" i="17"/>
  <c r="AF192" i="17"/>
  <c r="AF84" i="17"/>
  <c r="AF65" i="17"/>
  <c r="AF123" i="17"/>
  <c r="AF211" i="17"/>
  <c r="AF91" i="17"/>
  <c r="AK16" i="17"/>
  <c r="AK212" i="17"/>
  <c r="AK97" i="17"/>
  <c r="AK222" i="17"/>
  <c r="AK146" i="17"/>
  <c r="AK122" i="17"/>
  <c r="AK223" i="17"/>
  <c r="AK30" i="17"/>
  <c r="AK137" i="17"/>
  <c r="AK89" i="17"/>
  <c r="AK78" i="17"/>
  <c r="AK66" i="17"/>
  <c r="AK40" i="17"/>
  <c r="AK99" i="17"/>
  <c r="AK172" i="17"/>
  <c r="AK42" i="17"/>
  <c r="AK190" i="17"/>
  <c r="AK93" i="17"/>
  <c r="AK90" i="17"/>
  <c r="AK84" i="17"/>
  <c r="AK92" i="17"/>
  <c r="AK44" i="17"/>
  <c r="AK181" i="17"/>
  <c r="AK189" i="17"/>
  <c r="AK219" i="17"/>
  <c r="AK170" i="17"/>
  <c r="AK215" i="17"/>
  <c r="AK163" i="17"/>
  <c r="AK82" i="17"/>
  <c r="AK103" i="17"/>
  <c r="AK117" i="17"/>
  <c r="AK198" i="17"/>
  <c r="AK132" i="17"/>
  <c r="AK158" i="17"/>
  <c r="AK105" i="17"/>
  <c r="AK26" i="17"/>
  <c r="AK94" i="17"/>
  <c r="AK151" i="17"/>
  <c r="AK38" i="17"/>
  <c r="AK200" i="17"/>
  <c r="AK164" i="17"/>
  <c r="AK194" i="17"/>
  <c r="AK70" i="17"/>
  <c r="AK183" i="17"/>
  <c r="AK73" i="17"/>
  <c r="AK29" i="17"/>
  <c r="AK104" i="17"/>
  <c r="AK159" i="17"/>
  <c r="AK110" i="17"/>
  <c r="AK165" i="17"/>
  <c r="AK46" i="17"/>
  <c r="AK53" i="17"/>
  <c r="AK43" i="17"/>
  <c r="AK57" i="17"/>
  <c r="AK196" i="17"/>
  <c r="AK148" i="17"/>
  <c r="AK56" i="17"/>
  <c r="AK20" i="17"/>
  <c r="AK191" i="17"/>
  <c r="AK174" i="17"/>
  <c r="AK69" i="17"/>
  <c r="AK27" i="17"/>
  <c r="AK74" i="17"/>
  <c r="AK187" i="17"/>
  <c r="AK9" i="17"/>
  <c r="AK37" i="17"/>
  <c r="AK213" i="17"/>
  <c r="AK114" i="17"/>
  <c r="AK147" i="17"/>
  <c r="AK62" i="17"/>
  <c r="AK31" i="17"/>
  <c r="AK49" i="17"/>
  <c r="AK58" i="17"/>
  <c r="AK205" i="17"/>
  <c r="AK22" i="17"/>
  <c r="AK204" i="17"/>
  <c r="AK126" i="17"/>
  <c r="AK24" i="17"/>
  <c r="AK155" i="17"/>
  <c r="AK64" i="17"/>
  <c r="AK12" i="17"/>
  <c r="AK8" i="17"/>
  <c r="AK123" i="17"/>
  <c r="AK128" i="17"/>
  <c r="AK7" i="17"/>
  <c r="AK118" i="17"/>
  <c r="AK201" i="17"/>
  <c r="AK124" i="17"/>
  <c r="AK209" i="17"/>
  <c r="AK100" i="17"/>
  <c r="AK138" i="17"/>
  <c r="AK112" i="17"/>
  <c r="AK171" i="17"/>
  <c r="AK144" i="17"/>
  <c r="AK193" i="17"/>
  <c r="AK55" i="17"/>
  <c r="AK63" i="17"/>
  <c r="AK203" i="17"/>
  <c r="AK18" i="17"/>
  <c r="AK96" i="17"/>
  <c r="AK109" i="17"/>
  <c r="AK81" i="17"/>
  <c r="AK79" i="17"/>
  <c r="AK153" i="17"/>
  <c r="AK134" i="17"/>
  <c r="AK36" i="17"/>
  <c r="AK179" i="17"/>
  <c r="AK17" i="17"/>
  <c r="AK180" i="17"/>
  <c r="AK14" i="17"/>
  <c r="AK67" i="17"/>
  <c r="AK28" i="17"/>
  <c r="AK143" i="17"/>
  <c r="AK192" i="17"/>
  <c r="AK61" i="17"/>
  <c r="AK11" i="17"/>
  <c r="AK177" i="17"/>
  <c r="AK184" i="17"/>
  <c r="AK59" i="17"/>
  <c r="AK111" i="17"/>
  <c r="AK199" i="17"/>
  <c r="AK211" i="17"/>
  <c r="AK86" i="17"/>
  <c r="AK51" i="17"/>
  <c r="AK48" i="17"/>
  <c r="AK15" i="17"/>
  <c r="AK129" i="17"/>
  <c r="AK125" i="17"/>
  <c r="AK75" i="17"/>
  <c r="AK41" i="17"/>
  <c r="AK115" i="17"/>
  <c r="AK156" i="17"/>
  <c r="AK95" i="17"/>
  <c r="AK135" i="17"/>
  <c r="AK139" i="17"/>
  <c r="AK154" i="17"/>
  <c r="AK210" i="17"/>
  <c r="AK182" i="17"/>
  <c r="AK80" i="17"/>
  <c r="AK108" i="17"/>
  <c r="AK23" i="17"/>
  <c r="AK186" i="17"/>
  <c r="AK83" i="17"/>
  <c r="AK195" i="17"/>
  <c r="AK60" i="17"/>
  <c r="AK220" i="17"/>
  <c r="AK65" i="17"/>
  <c r="AK218" i="17"/>
  <c r="AK101" i="17"/>
  <c r="AK145" i="17"/>
  <c r="AK76" i="17"/>
  <c r="AK168" i="17"/>
  <c r="AK157" i="17"/>
  <c r="AK149" i="17"/>
  <c r="AK175" i="17"/>
  <c r="AK68" i="17"/>
  <c r="AK173" i="17"/>
  <c r="AK202" i="17"/>
  <c r="AK221" i="17"/>
  <c r="AK88" i="17"/>
  <c r="AK161" i="17"/>
  <c r="AK214" i="17"/>
  <c r="AK130" i="17"/>
  <c r="AK34" i="17"/>
  <c r="AK39" i="17"/>
  <c r="AK85" i="17"/>
  <c r="AK121" i="17"/>
  <c r="AK217" i="17"/>
  <c r="AK116" i="17"/>
  <c r="AK166" i="17"/>
  <c r="AK160" i="17"/>
  <c r="AK178" i="17"/>
  <c r="AK47" i="17"/>
  <c r="AK45" i="17"/>
  <c r="AK13" i="17"/>
  <c r="AK208" i="17"/>
  <c r="AK87" i="17"/>
  <c r="AK131" i="17"/>
  <c r="AK127" i="17"/>
  <c r="AK33" i="17"/>
  <c r="AK106" i="17"/>
  <c r="AK19" i="17"/>
  <c r="AK98" i="17"/>
  <c r="AK207" i="17"/>
  <c r="AK185" i="17"/>
  <c r="AK197" i="17"/>
  <c r="AK113" i="17"/>
  <c r="AK150" i="17"/>
  <c r="AK136" i="17"/>
  <c r="AK224" i="17"/>
  <c r="AK10" i="17"/>
  <c r="AK141" i="17"/>
  <c r="AK50" i="17"/>
  <c r="AK119" i="17"/>
  <c r="AK162" i="17"/>
  <c r="AK54" i="17"/>
  <c r="AK169" i="17"/>
  <c r="AK188" i="17"/>
  <c r="AK32" i="17"/>
  <c r="AK21" i="17"/>
  <c r="AK152" i="17"/>
  <c r="AK35" i="17"/>
  <c r="AK102" i="17"/>
  <c r="AK206" i="17"/>
  <c r="AK176" i="17"/>
  <c r="AK140" i="17"/>
  <c r="AK71" i="17"/>
  <c r="AK120" i="17"/>
  <c r="AK25" i="17"/>
  <c r="AK133" i="17"/>
  <c r="AK77" i="17"/>
  <c r="AK142" i="17"/>
  <c r="AK72" i="17"/>
  <c r="AK216" i="17"/>
  <c r="AK107" i="17"/>
  <c r="AK167" i="17"/>
  <c r="AK91" i="17"/>
  <c r="AK52" i="17"/>
  <c r="F77" i="4" l="1"/>
  <c r="L77" i="4" s="1"/>
  <c r="F18" i="4"/>
  <c r="L18" i="4" s="1"/>
  <c r="F83" i="4"/>
  <c r="L83" i="4" s="1"/>
  <c r="F153" i="4"/>
  <c r="L153" i="4" s="1"/>
  <c r="F90" i="4"/>
  <c r="L90" i="4" s="1"/>
  <c r="F29" i="4"/>
  <c r="L29" i="4" s="1"/>
  <c r="F140" i="4"/>
  <c r="L140" i="4" s="1"/>
  <c r="F134" i="4"/>
  <c r="L134" i="4" s="1"/>
  <c r="F69" i="4"/>
  <c r="L69" i="4" s="1"/>
  <c r="F48" i="4"/>
  <c r="L48" i="4" s="1"/>
  <c r="F148" i="4"/>
  <c r="L148" i="4" s="1"/>
  <c r="F81" i="4"/>
  <c r="L81" i="4" s="1"/>
  <c r="F42" i="4"/>
  <c r="L42" i="4" s="1"/>
  <c r="F143" i="4"/>
  <c r="L143" i="4" s="1"/>
  <c r="F6" i="4"/>
  <c r="L6" i="4" s="1"/>
  <c r="F104" i="4"/>
  <c r="L104" i="4" s="1"/>
  <c r="F74" i="4"/>
  <c r="L74" i="4" s="1"/>
  <c r="F97" i="4"/>
  <c r="L97" i="4" s="1"/>
  <c r="F146" i="4"/>
  <c r="L146" i="4" s="1"/>
  <c r="F107" i="4"/>
  <c r="L107" i="4" s="1"/>
  <c r="F108" i="4"/>
  <c r="L108" i="4" s="1"/>
  <c r="F128" i="4"/>
  <c r="L128" i="4" s="1"/>
  <c r="F25" i="4"/>
  <c r="L25" i="4" s="1"/>
  <c r="F155" i="4"/>
  <c r="L155" i="4" s="1"/>
  <c r="F45" i="4"/>
  <c r="L45" i="4" s="1"/>
  <c r="F40" i="4"/>
  <c r="L40" i="4" s="1"/>
  <c r="F82" i="4"/>
  <c r="L82" i="4" s="1"/>
  <c r="F21" i="4"/>
  <c r="L21" i="4" s="1"/>
  <c r="F141" i="4"/>
  <c r="L141" i="4" s="1"/>
  <c r="F79" i="4"/>
  <c r="L79" i="4" s="1"/>
  <c r="F114" i="4"/>
  <c r="L114" i="4" s="1"/>
  <c r="F76" i="4"/>
  <c r="L76" i="4" s="1"/>
  <c r="F158" i="4"/>
  <c r="L158" i="4" s="1"/>
  <c r="F94" i="4"/>
  <c r="L94" i="4" s="1"/>
  <c r="F10" i="4"/>
  <c r="L10" i="4" s="1"/>
  <c r="F37" i="4"/>
  <c r="L37" i="4" s="1"/>
  <c r="F84" i="4"/>
  <c r="L84" i="4" s="1"/>
  <c r="F39" i="4"/>
  <c r="L39" i="4" s="1"/>
  <c r="F55" i="4"/>
  <c r="L55" i="4" s="1"/>
  <c r="F87" i="4"/>
  <c r="L87" i="4" s="1"/>
  <c r="F103" i="4"/>
  <c r="L103" i="4" s="1"/>
  <c r="F122" i="4"/>
  <c r="L122" i="4" s="1"/>
  <c r="F156" i="4"/>
  <c r="L156" i="4" s="1"/>
  <c r="F91" i="4"/>
  <c r="L91" i="4" s="1"/>
  <c r="F142" i="4"/>
  <c r="L142" i="4" s="1"/>
  <c r="F68" i="4"/>
  <c r="L68" i="4" s="1"/>
  <c r="F129" i="4"/>
  <c r="L129" i="4" s="1"/>
  <c r="F86" i="4"/>
  <c r="L86" i="4" s="1"/>
  <c r="F17" i="4"/>
  <c r="L17" i="4" s="1"/>
  <c r="F75" i="4"/>
  <c r="L75" i="4" s="1"/>
  <c r="F119" i="4"/>
  <c r="L119" i="4" s="1"/>
  <c r="F7" i="4"/>
  <c r="L7" i="4" s="1"/>
  <c r="F157" i="4"/>
  <c r="L157" i="4" s="1"/>
  <c r="F60" i="4"/>
  <c r="L60" i="4" s="1"/>
  <c r="F139" i="4"/>
  <c r="L139" i="4" s="1"/>
  <c r="F30" i="4"/>
  <c r="L30" i="4" s="1"/>
  <c r="F85" i="4"/>
  <c r="L85" i="4" s="1"/>
  <c r="F110" i="4"/>
  <c r="L110" i="4" s="1"/>
  <c r="F136" i="4"/>
  <c r="L136" i="4" s="1"/>
  <c r="F113" i="4"/>
  <c r="L113" i="4" s="1"/>
  <c r="F127" i="4"/>
  <c r="L127" i="4" s="1"/>
  <c r="F63" i="4"/>
  <c r="L63" i="4" s="1"/>
  <c r="F51" i="4"/>
  <c r="L51" i="4" s="1"/>
  <c r="F126" i="4"/>
  <c r="L126" i="4" s="1"/>
  <c r="F93" i="4"/>
  <c r="L93" i="4" s="1"/>
  <c r="F13" i="4"/>
  <c r="L13" i="4" s="1"/>
  <c r="F145" i="4"/>
  <c r="L145" i="4" s="1"/>
  <c r="F23" i="4"/>
  <c r="L23" i="4" s="1"/>
  <c r="F105" i="4"/>
  <c r="L105" i="4" s="1"/>
  <c r="F102" i="4"/>
  <c r="L102" i="4" s="1"/>
  <c r="F150" i="4"/>
  <c r="L150" i="4" s="1"/>
  <c r="F43" i="4"/>
  <c r="L43" i="4" s="1"/>
  <c r="F47" i="4"/>
  <c r="L47" i="4" s="1"/>
  <c r="F123" i="4"/>
  <c r="L123" i="4" s="1"/>
  <c r="F115" i="4"/>
  <c r="L115" i="4" s="1"/>
  <c r="F73" i="4"/>
  <c r="L73" i="4" s="1"/>
  <c r="F124" i="4"/>
  <c r="L124" i="4" s="1"/>
  <c r="F112" i="4"/>
  <c r="L112" i="4" s="1"/>
  <c r="F71" i="4"/>
  <c r="L71" i="4" s="1"/>
  <c r="F72" i="4"/>
  <c r="L72" i="4" s="1"/>
  <c r="F135" i="4"/>
  <c r="L135" i="4" s="1"/>
  <c r="F52" i="4"/>
  <c r="L52" i="4" s="1"/>
  <c r="F67" i="4"/>
  <c r="L67" i="4" s="1"/>
  <c r="F151" i="4"/>
  <c r="L151" i="4" s="1"/>
  <c r="F12" i="4"/>
  <c r="L12" i="4" s="1"/>
  <c r="F61" i="4"/>
  <c r="L61" i="4" s="1"/>
  <c r="F46" i="4"/>
  <c r="L46" i="4" s="1"/>
  <c r="F132" i="4"/>
  <c r="L132" i="4" s="1"/>
  <c r="F44" i="4"/>
  <c r="L44" i="4" s="1"/>
  <c r="F41" i="4"/>
  <c r="L41" i="4" s="1"/>
  <c r="F8" i="4"/>
  <c r="L8" i="4" s="1"/>
  <c r="F28" i="4"/>
  <c r="L28" i="4" s="1"/>
  <c r="F57" i="4"/>
  <c r="L57" i="4" s="1"/>
  <c r="F137" i="4"/>
  <c r="L137" i="4" s="1"/>
  <c r="F20" i="4"/>
  <c r="L20" i="4" s="1"/>
  <c r="F121" i="4"/>
  <c r="L121" i="4" s="1"/>
  <c r="F131" i="4"/>
  <c r="L131" i="4" s="1"/>
  <c r="F35" i="4"/>
  <c r="L35" i="4" s="1"/>
  <c r="F58" i="4"/>
  <c r="L58" i="4" s="1"/>
  <c r="F38" i="4"/>
  <c r="L38" i="4" s="1"/>
  <c r="F89" i="4"/>
  <c r="L89" i="4" s="1"/>
  <c r="F56" i="4"/>
  <c r="L56" i="4" s="1"/>
  <c r="F26" i="4"/>
  <c r="L26" i="4" s="1"/>
  <c r="F34" i="4"/>
  <c r="L34" i="4" s="1"/>
  <c r="F53" i="4"/>
  <c r="L53" i="4" s="1"/>
  <c r="F109" i="4"/>
  <c r="L109" i="4" s="1"/>
  <c r="F138" i="4"/>
  <c r="L138" i="4" s="1"/>
  <c r="F19" i="4"/>
  <c r="L19" i="4" s="1"/>
  <c r="F117" i="4"/>
  <c r="L117" i="4" s="1"/>
  <c r="F14" i="4"/>
  <c r="L14" i="4" s="1"/>
  <c r="F106" i="4"/>
  <c r="L106" i="4" s="1"/>
  <c r="F24" i="4"/>
  <c r="L24" i="4" s="1"/>
  <c r="F147" i="4"/>
  <c r="L147" i="4" s="1"/>
  <c r="F118" i="4"/>
  <c r="L118" i="4" s="1"/>
  <c r="F120" i="4"/>
  <c r="L120" i="4" s="1"/>
  <c r="F16" i="4"/>
  <c r="L16" i="4" s="1"/>
  <c r="F100" i="4"/>
  <c r="L100" i="4" s="1"/>
  <c r="F125" i="4"/>
  <c r="L125" i="4" s="1"/>
  <c r="F32" i="4"/>
  <c r="L32" i="4" s="1"/>
  <c r="F144" i="4"/>
  <c r="L144" i="4" s="1"/>
  <c r="F80" i="4"/>
  <c r="L80" i="4" s="1"/>
  <c r="F22" i="4"/>
  <c r="L22" i="4" s="1"/>
  <c r="F54" i="4"/>
  <c r="L54" i="4" s="1"/>
  <c r="F15" i="4"/>
  <c r="L15" i="4" s="1"/>
  <c r="F152" i="4"/>
  <c r="L152" i="4" s="1"/>
  <c r="F64" i="4"/>
  <c r="L64" i="4" s="1"/>
  <c r="F92" i="4"/>
  <c r="L92" i="4" s="1"/>
  <c r="F66" i="4"/>
  <c r="L66" i="4" s="1"/>
  <c r="F111" i="4"/>
  <c r="L111" i="4" s="1"/>
  <c r="F9" i="4"/>
  <c r="L9" i="4" s="1"/>
  <c r="F159" i="4"/>
  <c r="L159" i="4" s="1"/>
  <c r="F65" i="4"/>
  <c r="L65" i="4" s="1"/>
  <c r="F78" i="4"/>
  <c r="L78" i="4" s="1"/>
  <c r="F70" i="4"/>
  <c r="L70" i="4" s="1"/>
  <c r="F116" i="4"/>
  <c r="L116" i="4" s="1"/>
  <c r="F101" i="4"/>
  <c r="L101" i="4" s="1"/>
  <c r="F49" i="4"/>
  <c r="L49" i="4" s="1"/>
  <c r="F133" i="4"/>
  <c r="L133" i="4" s="1"/>
  <c r="F96" i="4"/>
  <c r="L96" i="4" s="1"/>
  <c r="F95" i="4"/>
  <c r="L95" i="4" s="1"/>
  <c r="F88" i="4"/>
  <c r="L88" i="4" s="1"/>
  <c r="F99" i="4"/>
  <c r="L99" i="4" s="1"/>
  <c r="F130" i="4"/>
  <c r="L130" i="4" s="1"/>
  <c r="F149" i="4"/>
  <c r="L149" i="4" s="1"/>
  <c r="F50" i="4"/>
  <c r="L50" i="4" s="1"/>
  <c r="F27" i="4"/>
  <c r="L27" i="4" s="1"/>
  <c r="F98" i="4"/>
  <c r="L98" i="4" s="1"/>
  <c r="F5" i="4"/>
  <c r="L5" i="4" s="1"/>
  <c r="F62" i="4"/>
  <c r="L62" i="4" s="1"/>
  <c r="F11" i="4"/>
  <c r="L11" i="4" s="1"/>
  <c r="F59" i="4"/>
  <c r="L59" i="4" s="1"/>
  <c r="F154" i="4"/>
  <c r="L154" i="4" s="1"/>
  <c r="F33" i="4"/>
  <c r="L33" i="4" s="1"/>
  <c r="F36" i="4"/>
  <c r="L36" i="4" s="1"/>
  <c r="F31" i="4"/>
  <c r="L31" i="4" s="1"/>
  <c r="AA114" i="17"/>
  <c r="AA148" i="17"/>
  <c r="AA73" i="17"/>
  <c r="AA32" i="17"/>
  <c r="AA80" i="17"/>
  <c r="AA138" i="17"/>
  <c r="AA155" i="17"/>
  <c r="AA196" i="17"/>
  <c r="AA183" i="17"/>
  <c r="AA84" i="17"/>
  <c r="AA10" i="17"/>
  <c r="AA145" i="17"/>
  <c r="AA185" i="17"/>
  <c r="AA48" i="17"/>
  <c r="AA126" i="17"/>
  <c r="AA103" i="17"/>
  <c r="AA207" i="17"/>
  <c r="AA154" i="17"/>
  <c r="AA51" i="17"/>
  <c r="AA164" i="17"/>
  <c r="AA190" i="17"/>
  <c r="AA146" i="17"/>
  <c r="AA209" i="17"/>
  <c r="AA194" i="17"/>
  <c r="AA93" i="17"/>
  <c r="AA218" i="17"/>
  <c r="AA162" i="17"/>
  <c r="AA65" i="17"/>
  <c r="AA86" i="17"/>
  <c r="AA201" i="17"/>
  <c r="AA150" i="17"/>
  <c r="AA90" i="17"/>
  <c r="AA119" i="17"/>
  <c r="AA38" i="17"/>
  <c r="AA70" i="17"/>
  <c r="AA169" i="17"/>
  <c r="AA211" i="17"/>
  <c r="AA118" i="17"/>
  <c r="AA27" i="17"/>
  <c r="AA206" i="17"/>
  <c r="AA50" i="17"/>
  <c r="AA199" i="17"/>
  <c r="AA180" i="17"/>
  <c r="AA7" i="17"/>
  <c r="AA69" i="17"/>
  <c r="AA212" i="17"/>
  <c r="AA188" i="17"/>
  <c r="AA197" i="17"/>
  <c r="AA141" i="17"/>
  <c r="AA111" i="17"/>
  <c r="AA128" i="17"/>
  <c r="AA110" i="17"/>
  <c r="AA40" i="17"/>
  <c r="AA59" i="17"/>
  <c r="AA66" i="17"/>
  <c r="AA83" i="17"/>
  <c r="AA123" i="17"/>
  <c r="AA26" i="17"/>
  <c r="AA224" i="17"/>
  <c r="AA186" i="17"/>
  <c r="AA8" i="17"/>
  <c r="AA104" i="17"/>
  <c r="AA78" i="17"/>
  <c r="AA136" i="17"/>
  <c r="AA177" i="17"/>
  <c r="AA12" i="17"/>
  <c r="AA29" i="17"/>
  <c r="AA9" i="17"/>
  <c r="AA193" i="17"/>
  <c r="AA49" i="17"/>
  <c r="AA149" i="17"/>
  <c r="AA159" i="17"/>
  <c r="AA181" i="17"/>
  <c r="AA67" i="17"/>
  <c r="AA25" i="17"/>
  <c r="AA85" i="17"/>
  <c r="AA135" i="17"/>
  <c r="AA81" i="17"/>
  <c r="AA62" i="17"/>
  <c r="AA200" i="17"/>
  <c r="AA151" i="17"/>
  <c r="AA133" i="17"/>
  <c r="AA152" i="17"/>
  <c r="AA127" i="17"/>
  <c r="AA139" i="17"/>
  <c r="AA192" i="17"/>
  <c r="AA198" i="17"/>
  <c r="AA184" i="17"/>
  <c r="AA142" i="17"/>
  <c r="AA143" i="17"/>
  <c r="AA106" i="17"/>
  <c r="AA115" i="17"/>
  <c r="AA116" i="17"/>
  <c r="AA20" i="17"/>
  <c r="AA54" i="17"/>
  <c r="AA56" i="17"/>
  <c r="AA137" i="17"/>
  <c r="AA125" i="17"/>
  <c r="AA170" i="17"/>
  <c r="AA44" i="17"/>
  <c r="AA178" i="17"/>
  <c r="AA14" i="17"/>
  <c r="AA112" i="17"/>
  <c r="AA220" i="17"/>
  <c r="AA97" i="17"/>
  <c r="AA131" i="17"/>
  <c r="AA88" i="17"/>
  <c r="AA203" i="17"/>
  <c r="AA105" i="17"/>
  <c r="AA77" i="17"/>
  <c r="AA134" i="17"/>
  <c r="AA91" i="17"/>
  <c r="AA87" i="17"/>
  <c r="AA179" i="17"/>
  <c r="AA46" i="17"/>
  <c r="AA64" i="17"/>
  <c r="AA100" i="17"/>
  <c r="AA30" i="17"/>
  <c r="AA120" i="17"/>
  <c r="AA21" i="17"/>
  <c r="AA157" i="17"/>
  <c r="AA109" i="17"/>
  <c r="AA144" i="17"/>
  <c r="AA132" i="17"/>
  <c r="AA16" i="17"/>
  <c r="AA45" i="17"/>
  <c r="AA182" i="17"/>
  <c r="AA36" i="17"/>
  <c r="AA31" i="17"/>
  <c r="AA219" i="17"/>
  <c r="AA173" i="17"/>
  <c r="AA76" i="17"/>
  <c r="AA11" i="17"/>
  <c r="AA22" i="17"/>
  <c r="AA52" i="17"/>
  <c r="AA130" i="17"/>
  <c r="AA68" i="17"/>
  <c r="AA75" i="17"/>
  <c r="AA153" i="17"/>
  <c r="AA63" i="17"/>
  <c r="AA43" i="17"/>
  <c r="AA42" i="17"/>
  <c r="AA102" i="17"/>
  <c r="AA19" i="17"/>
  <c r="AA23" i="17"/>
  <c r="AA17" i="17"/>
  <c r="AA205" i="17"/>
  <c r="AA195" i="17"/>
  <c r="AA94" i="17"/>
  <c r="AA216" i="17"/>
  <c r="AA71" i="17"/>
  <c r="AA47" i="17"/>
  <c r="AA34" i="17"/>
  <c r="AA202" i="17"/>
  <c r="AA74" i="17"/>
  <c r="AA33" i="17"/>
  <c r="AA187" i="17"/>
  <c r="AA140" i="17"/>
  <c r="AA168" i="17"/>
  <c r="AA124" i="17"/>
  <c r="AA72" i="17"/>
  <c r="AA35" i="17"/>
  <c r="AA217" i="17"/>
  <c r="AA214" i="17"/>
  <c r="AA174" i="17"/>
  <c r="AA213" i="17"/>
  <c r="AA98" i="17"/>
  <c r="AA208" i="17"/>
  <c r="AA18" i="17"/>
  <c r="AA167" i="17"/>
  <c r="AA176" i="17"/>
  <c r="AA160" i="17"/>
  <c r="AA121" i="17"/>
  <c r="AA161" i="17"/>
  <c r="AA24" i="17"/>
  <c r="AA13" i="17"/>
  <c r="AA37" i="17"/>
  <c r="AA113" i="17"/>
  <c r="AA175" i="17"/>
  <c r="AA107" i="17"/>
  <c r="AA166" i="17"/>
  <c r="AA101" i="17"/>
  <c r="AA95" i="17"/>
  <c r="AA15" i="17"/>
  <c r="AA60" i="17"/>
  <c r="AA39" i="17"/>
  <c r="AA221" i="17"/>
  <c r="AA82" i="17"/>
  <c r="AA41" i="17"/>
  <c r="AA61" i="17"/>
  <c r="AA55" i="17"/>
  <c r="AA172" i="17"/>
  <c r="AA89" i="17"/>
  <c r="AA108" i="17"/>
  <c r="AA210" i="17"/>
  <c r="AA129" i="17"/>
  <c r="AA79" i="17"/>
  <c r="AA96" i="17"/>
  <c r="AA171" i="17"/>
  <c r="AA58" i="17"/>
  <c r="AA53" i="17"/>
  <c r="AA165" i="17"/>
  <c r="AA92" i="17"/>
  <c r="AA122" i="17"/>
  <c r="AA191" i="17"/>
  <c r="AA156" i="17"/>
  <c r="AA57" i="17"/>
  <c r="AA215" i="17"/>
  <c r="AA158" i="17"/>
  <c r="AA28" i="17"/>
  <c r="AA204" i="17"/>
  <c r="AA147" i="17"/>
  <c r="AA189" i="17"/>
  <c r="AA222" i="17"/>
  <c r="AA117" i="17"/>
  <c r="AA99" i="17"/>
  <c r="AA163" i="17"/>
  <c r="AA223" i="17"/>
  <c r="AK6" i="17"/>
  <c r="F4" i="4" s="1"/>
  <c r="AA6" i="17" l="1"/>
  <c r="F16" i="17"/>
  <c r="F212" i="17"/>
  <c r="AE212" i="17"/>
  <c r="G212" i="17" s="1"/>
  <c r="F62" i="17"/>
  <c r="F219" i="17"/>
  <c r="F66" i="17"/>
  <c r="F71" i="17"/>
  <c r="AE71" i="17"/>
  <c r="AG71" i="17" s="1"/>
  <c r="F211" i="17"/>
  <c r="AE211" i="17"/>
  <c r="AG211" i="17" s="1"/>
  <c r="F165" i="17"/>
  <c r="AE122" i="17"/>
  <c r="AE213" i="17"/>
  <c r="AE101" i="17"/>
  <c r="G101" i="17" s="1"/>
  <c r="AE160" i="17"/>
  <c r="AG160" i="17" s="1"/>
  <c r="F115" i="17"/>
  <c r="AE115" i="17"/>
  <c r="AG115" i="17" s="1"/>
  <c r="AE203" i="17"/>
  <c r="AE103" i="17"/>
  <c r="AE16" i="17"/>
  <c r="F69" i="17"/>
  <c r="G71" i="17" l="1"/>
  <c r="G115" i="17"/>
  <c r="AG212" i="17"/>
  <c r="G160" i="17"/>
  <c r="AE62" i="17"/>
  <c r="G122" i="17"/>
  <c r="AG122" i="17"/>
  <c r="AG101" i="17"/>
  <c r="F151" i="17"/>
  <c r="AE151" i="17"/>
  <c r="G213" i="17"/>
  <c r="AG213" i="17"/>
  <c r="F122" i="17"/>
  <c r="G211" i="17"/>
  <c r="AG103" i="17"/>
  <c r="G103" i="17"/>
  <c r="G16" i="17"/>
  <c r="AG16" i="17"/>
  <c r="F133" i="17"/>
  <c r="AE133" i="17"/>
  <c r="F57" i="17"/>
  <c r="AE57" i="17"/>
  <c r="AG203" i="17"/>
  <c r="G203" i="17"/>
  <c r="AE219" i="17"/>
  <c r="F160" i="17"/>
  <c r="AE69" i="17"/>
  <c r="F103" i="17"/>
  <c r="AE66" i="17"/>
  <c r="F101" i="17"/>
  <c r="F213" i="17"/>
  <c r="F203" i="17"/>
  <c r="AE165" i="17"/>
  <c r="F35" i="17"/>
  <c r="F93" i="17"/>
  <c r="F91" i="17"/>
  <c r="F196" i="17"/>
  <c r="AE196" i="17"/>
  <c r="G196" i="17" s="1"/>
  <c r="F47" i="17"/>
  <c r="F143" i="17"/>
  <c r="F209" i="17"/>
  <c r="F159" i="17"/>
  <c r="F125" i="17"/>
  <c r="F50" i="17"/>
  <c r="AE50" i="17"/>
  <c r="G50" i="17" s="1"/>
  <c r="F109" i="17"/>
  <c r="F19" i="17"/>
  <c r="AE19" i="17"/>
  <c r="AG19" i="17" s="1"/>
  <c r="F153" i="17"/>
  <c r="F155" i="17"/>
  <c r="F178" i="17"/>
  <c r="F39" i="17"/>
  <c r="AE39" i="17"/>
  <c r="F142" i="17"/>
  <c r="F171" i="17"/>
  <c r="F194" i="17"/>
  <c r="F34" i="17"/>
  <c r="AE34" i="17"/>
  <c r="AG34" i="17" s="1"/>
  <c r="F24" i="17"/>
  <c r="AE24" i="17"/>
  <c r="AG24" i="17" s="1"/>
  <c r="F134" i="17"/>
  <c r="AE134" i="17"/>
  <c r="AG134" i="17" s="1"/>
  <c r="F156" i="17"/>
  <c r="AE156" i="17"/>
  <c r="AG156" i="17" s="1"/>
  <c r="F147" i="17"/>
  <c r="F180" i="17"/>
  <c r="AE180" i="17"/>
  <c r="AG180" i="17" s="1"/>
  <c r="F53" i="17"/>
  <c r="F210" i="17"/>
  <c r="AE210" i="17"/>
  <c r="AG210" i="17" s="1"/>
  <c r="F108" i="17"/>
  <c r="F31" i="17"/>
  <c r="AE31" i="17"/>
  <c r="G31" i="17" s="1"/>
  <c r="F25" i="17"/>
  <c r="AE25" i="17"/>
  <c r="AG25" i="17" s="1"/>
  <c r="F145" i="17"/>
  <c r="F64" i="17"/>
  <c r="F114" i="17"/>
  <c r="AE114" i="17"/>
  <c r="F79" i="17"/>
  <c r="AE79" i="17"/>
  <c r="F200" i="17"/>
  <c r="F164" i="17"/>
  <c r="F152" i="17"/>
  <c r="F126" i="17"/>
  <c r="F221" i="17"/>
  <c r="AE221" i="17"/>
  <c r="AG221" i="17" s="1"/>
  <c r="F51" i="17"/>
  <c r="F81" i="17"/>
  <c r="F208" i="17"/>
  <c r="F17" i="17"/>
  <c r="F163" i="17"/>
  <c r="AE163" i="17"/>
  <c r="AG163" i="17" s="1"/>
  <c r="F82" i="17"/>
  <c r="F166" i="17"/>
  <c r="F105" i="17"/>
  <c r="F40" i="17"/>
  <c r="F119" i="17"/>
  <c r="F78" i="17"/>
  <c r="AE78" i="17"/>
  <c r="AG78" i="17" s="1"/>
  <c r="F176" i="17"/>
  <c r="F137" i="17"/>
  <c r="AE137" i="17"/>
  <c r="AG137" i="17" s="1"/>
  <c r="F157" i="17"/>
  <c r="AE157" i="17"/>
  <c r="F217" i="17"/>
  <c r="AE217" i="17"/>
  <c r="AG217" i="17" s="1"/>
  <c r="F218" i="17"/>
  <c r="AE218" i="17"/>
  <c r="F195" i="17"/>
  <c r="F128" i="17"/>
  <c r="AE128" i="17"/>
  <c r="AG128" i="17" s="1"/>
  <c r="F135" i="17"/>
  <c r="AE135" i="17"/>
  <c r="F42" i="17"/>
  <c r="F131" i="17"/>
  <c r="AE131" i="17"/>
  <c r="F177" i="17"/>
  <c r="AE177" i="17"/>
  <c r="G177" i="17" s="1"/>
  <c r="F65" i="17"/>
  <c r="F136" i="17"/>
  <c r="AE136" i="17"/>
  <c r="AG136" i="17" s="1"/>
  <c r="F168" i="17"/>
  <c r="AE168" i="17"/>
  <c r="G168" i="17" s="1"/>
  <c r="F182" i="17"/>
  <c r="AE182" i="17"/>
  <c r="F72" i="17"/>
  <c r="F191" i="17"/>
  <c r="AE191" i="17"/>
  <c r="AG191" i="17" s="1"/>
  <c r="F18" i="17"/>
  <c r="AE18" i="17"/>
  <c r="F97" i="17"/>
  <c r="AE97" i="17"/>
  <c r="AG97" i="17" s="1"/>
  <c r="F45" i="17"/>
  <c r="AE45" i="17"/>
  <c r="F111" i="17"/>
  <c r="F140" i="17"/>
  <c r="F86" i="17"/>
  <c r="F149" i="17"/>
  <c r="F26" i="17"/>
  <c r="AE26" i="17"/>
  <c r="F175" i="17"/>
  <c r="F94" i="17"/>
  <c r="AE94" i="17"/>
  <c r="AG94" i="17" s="1"/>
  <c r="F32" i="17"/>
  <c r="F170" i="17"/>
  <c r="AE170" i="17"/>
  <c r="F124" i="17"/>
  <c r="AE124" i="17"/>
  <c r="AG124" i="17" s="1"/>
  <c r="F14" i="17"/>
  <c r="AE14" i="17"/>
  <c r="F48" i="17"/>
  <c r="F52" i="17"/>
  <c r="F205" i="17"/>
  <c r="AE205" i="17"/>
  <c r="F43" i="17"/>
  <c r="F80" i="17"/>
  <c r="AE80" i="17"/>
  <c r="AG80" i="17" s="1"/>
  <c r="F98" i="17"/>
  <c r="F181" i="17"/>
  <c r="F8" i="17"/>
  <c r="AE8" i="17"/>
  <c r="AG8" i="17" s="1"/>
  <c r="F130" i="17"/>
  <c r="AE130" i="17"/>
  <c r="F173" i="17"/>
  <c r="F112" i="17"/>
  <c r="F185" i="17"/>
  <c r="F186" i="17"/>
  <c r="F10" i="17"/>
  <c r="AE10" i="17"/>
  <c r="AG10" i="17" s="1"/>
  <c r="F95" i="17"/>
  <c r="F11" i="17"/>
  <c r="AE11" i="17"/>
  <c r="G11" i="17" s="1"/>
  <c r="F21" i="17"/>
  <c r="F100" i="17"/>
  <c r="F88" i="17"/>
  <c r="F36" i="17"/>
  <c r="AE36" i="17"/>
  <c r="G36" i="17" s="1"/>
  <c r="F70" i="17"/>
  <c r="F46" i="17"/>
  <c r="AE46" i="17"/>
  <c r="AG46" i="17" s="1"/>
  <c r="F223" i="17"/>
  <c r="F73" i="17"/>
  <c r="F22" i="17"/>
  <c r="F54" i="17"/>
  <c r="AE54" i="17"/>
  <c r="AG54" i="17" s="1"/>
  <c r="F107" i="17"/>
  <c r="F60" i="17"/>
  <c r="F92" i="17"/>
  <c r="AE92" i="17"/>
  <c r="AG92" i="17" s="1"/>
  <c r="F141" i="17"/>
  <c r="AE141" i="17"/>
  <c r="F150" i="17"/>
  <c r="F214" i="17"/>
  <c r="F33" i="17"/>
  <c r="F117" i="17"/>
  <c r="F96" i="17"/>
  <c r="AE96" i="17"/>
  <c r="G96" i="17" s="1"/>
  <c r="F87" i="17"/>
  <c r="F148" i="17"/>
  <c r="F190" i="17"/>
  <c r="F63" i="17"/>
  <c r="AE63" i="17"/>
  <c r="G63" i="17" s="1"/>
  <c r="F13" i="17"/>
  <c r="AE13" i="17"/>
  <c r="AG13" i="17" s="1"/>
  <c r="F174" i="17"/>
  <c r="F187" i="17"/>
  <c r="F138" i="17"/>
  <c r="AE138" i="17"/>
  <c r="G138" i="17" s="1"/>
  <c r="F202" i="17"/>
  <c r="F132" i="17"/>
  <c r="F193" i="17"/>
  <c r="F167" i="17"/>
  <c r="AE167" i="17"/>
  <c r="G167" i="17" s="1"/>
  <c r="F224" i="17"/>
  <c r="F30" i="17"/>
  <c r="F41" i="17"/>
  <c r="F189" i="17"/>
  <c r="AE189" i="17"/>
  <c r="G189" i="17" s="1"/>
  <c r="F9" i="17"/>
  <c r="F129" i="17"/>
  <c r="AE129" i="17"/>
  <c r="F85" i="17"/>
  <c r="F127" i="17"/>
  <c r="F121" i="17"/>
  <c r="AE121" i="17"/>
  <c r="G121" i="17" s="1"/>
  <c r="F76" i="17"/>
  <c r="AE76" i="17"/>
  <c r="AG76" i="17" s="1"/>
  <c r="F90" i="17"/>
  <c r="AE90" i="17"/>
  <c r="G90" i="17" s="1"/>
  <c r="F20" i="17"/>
  <c r="AE20" i="17"/>
  <c r="G20" i="17" s="1"/>
  <c r="F192" i="17"/>
  <c r="AE192" i="17"/>
  <c r="G192" i="17" s="1"/>
  <c r="F220" i="17"/>
  <c r="AE220" i="17"/>
  <c r="F83" i="17"/>
  <c r="F110" i="17"/>
  <c r="AE110" i="17"/>
  <c r="AG110" i="17" s="1"/>
  <c r="F44" i="17"/>
  <c r="AE44" i="17"/>
  <c r="F179" i="17"/>
  <c r="F120" i="17"/>
  <c r="AE120" i="17"/>
  <c r="AG120" i="17" s="1"/>
  <c r="F113" i="17"/>
  <c r="F154" i="17"/>
  <c r="F68" i="17"/>
  <c r="AE68" i="17"/>
  <c r="AG68" i="17" s="1"/>
  <c r="F204" i="17"/>
  <c r="F116" i="17"/>
  <c r="F106" i="17"/>
  <c r="AE106" i="17"/>
  <c r="AG106" i="17" s="1"/>
  <c r="F169" i="17"/>
  <c r="F99" i="17"/>
  <c r="AE99" i="17"/>
  <c r="AG99" i="17" s="1"/>
  <c r="F197" i="17"/>
  <c r="AE197" i="17"/>
  <c r="AG197" i="17" s="1"/>
  <c r="F55" i="17"/>
  <c r="F206" i="17"/>
  <c r="F123" i="17"/>
  <c r="F104" i="17"/>
  <c r="F27" i="17"/>
  <c r="F102" i="17"/>
  <c r="F201" i="17"/>
  <c r="AE201" i="17"/>
  <c r="G201" i="17" s="1"/>
  <c r="F207" i="17"/>
  <c r="AE207" i="17"/>
  <c r="AG207" i="17" s="1"/>
  <c r="F75" i="17"/>
  <c r="AE75" i="17"/>
  <c r="F49" i="17"/>
  <c r="F161" i="17"/>
  <c r="AE161" i="17"/>
  <c r="AG161" i="17" s="1"/>
  <c r="F23" i="17"/>
  <c r="F59" i="17"/>
  <c r="F146" i="17"/>
  <c r="F38" i="17"/>
  <c r="F58" i="17"/>
  <c r="F198" i="17"/>
  <c r="AE198" i="17"/>
  <c r="AG198" i="17" s="1"/>
  <c r="F67" i="17"/>
  <c r="F162" i="17"/>
  <c r="AE162" i="17"/>
  <c r="AG162" i="17" s="1"/>
  <c r="F215" i="17"/>
  <c r="AO6" i="17"/>
  <c r="F15" i="17"/>
  <c r="AE15" i="17"/>
  <c r="AG15" i="17" s="1"/>
  <c r="J4" i="4" l="1"/>
  <c r="L4" i="4" s="1"/>
  <c r="G110" i="17"/>
  <c r="AG11" i="17"/>
  <c r="AG121" i="17"/>
  <c r="G156" i="17"/>
  <c r="AG63" i="17"/>
  <c r="AG50" i="17"/>
  <c r="AG189" i="17"/>
  <c r="G128" i="17"/>
  <c r="AE23" i="17"/>
  <c r="AE169" i="17"/>
  <c r="AG169" i="17" s="1"/>
  <c r="G120" i="17"/>
  <c r="AE202" i="17"/>
  <c r="AE214" i="17"/>
  <c r="G214" i="17" s="1"/>
  <c r="AE107" i="17"/>
  <c r="AE100" i="17"/>
  <c r="AG100" i="17" s="1"/>
  <c r="AE185" i="17"/>
  <c r="AE181" i="17"/>
  <c r="AG181" i="17" s="1"/>
  <c r="AG168" i="17"/>
  <c r="AE17" i="17"/>
  <c r="G17" i="17" s="1"/>
  <c r="AE152" i="17"/>
  <c r="G25" i="17"/>
  <c r="G34" i="17"/>
  <c r="AE153" i="17"/>
  <c r="AG36" i="17"/>
  <c r="AE91" i="17"/>
  <c r="AG91" i="17" s="1"/>
  <c r="G161" i="17"/>
  <c r="G106" i="17"/>
  <c r="AE127" i="17"/>
  <c r="AG138" i="17"/>
  <c r="AE148" i="17"/>
  <c r="AE150" i="17"/>
  <c r="G54" i="17"/>
  <c r="AE112" i="17"/>
  <c r="AG112" i="17" s="1"/>
  <c r="AE98" i="17"/>
  <c r="AG98" i="17" s="1"/>
  <c r="AE40" i="17"/>
  <c r="AG40" i="17" s="1"/>
  <c r="AE208" i="17"/>
  <c r="AG208" i="17" s="1"/>
  <c r="AE164" i="17"/>
  <c r="G164" i="17" s="1"/>
  <c r="G19" i="17"/>
  <c r="AE159" i="17"/>
  <c r="AG159" i="17" s="1"/>
  <c r="AE93" i="17"/>
  <c r="G93" i="17" s="1"/>
  <c r="G136" i="17"/>
  <c r="AE55" i="17"/>
  <c r="G55" i="17" s="1"/>
  <c r="AE116" i="17"/>
  <c r="AG116" i="17" s="1"/>
  <c r="AG90" i="17"/>
  <c r="AE85" i="17"/>
  <c r="AG167" i="17"/>
  <c r="AE187" i="17"/>
  <c r="G187" i="17" s="1"/>
  <c r="AE87" i="17"/>
  <c r="AE22" i="17"/>
  <c r="AG22" i="17" s="1"/>
  <c r="AE173" i="17"/>
  <c r="G137" i="17"/>
  <c r="AE166" i="17"/>
  <c r="AG166" i="17" s="1"/>
  <c r="AE81" i="17"/>
  <c r="AG81" i="17" s="1"/>
  <c r="AE108" i="17"/>
  <c r="AG108" i="17" s="1"/>
  <c r="AE142" i="17"/>
  <c r="AG142" i="17" s="1"/>
  <c r="AE209" i="17"/>
  <c r="AE35" i="17"/>
  <c r="AE82" i="17"/>
  <c r="G82" i="17" s="1"/>
  <c r="AE215" i="17"/>
  <c r="G215" i="17" s="1"/>
  <c r="AE59" i="17"/>
  <c r="G99" i="17"/>
  <c r="AE83" i="17"/>
  <c r="AG83" i="17" s="1"/>
  <c r="AE132" i="17"/>
  <c r="AG132" i="17" s="1"/>
  <c r="AE117" i="17"/>
  <c r="AG117" i="17" s="1"/>
  <c r="AE60" i="17"/>
  <c r="AE223" i="17"/>
  <c r="AE88" i="17"/>
  <c r="G8" i="17"/>
  <c r="AE52" i="17"/>
  <c r="AG52" i="17" s="1"/>
  <c r="AE32" i="17"/>
  <c r="AE111" i="17"/>
  <c r="AG111" i="17" s="1"/>
  <c r="AG177" i="17"/>
  <c r="AE195" i="17"/>
  <c r="G195" i="17" s="1"/>
  <c r="AE53" i="17"/>
  <c r="G53" i="17" s="1"/>
  <c r="G24" i="17"/>
  <c r="AE178" i="17"/>
  <c r="G178" i="17" s="1"/>
  <c r="AG196" i="17"/>
  <c r="G62" i="17"/>
  <c r="AG62" i="17"/>
  <c r="F158" i="17"/>
  <c r="AE158" i="17"/>
  <c r="AG75" i="17"/>
  <c r="G75" i="17"/>
  <c r="F199" i="17"/>
  <c r="AE199" i="17"/>
  <c r="AG44" i="17"/>
  <c r="G44" i="17"/>
  <c r="F29" i="17"/>
  <c r="AE29" i="17"/>
  <c r="G182" i="17"/>
  <c r="AG182" i="17"/>
  <c r="F188" i="17"/>
  <c r="AE188" i="17"/>
  <c r="AG79" i="17"/>
  <c r="G79" i="17"/>
  <c r="AE38" i="17"/>
  <c r="AE206" i="17"/>
  <c r="AE113" i="17"/>
  <c r="AE9" i="17"/>
  <c r="AE193" i="17"/>
  <c r="AG170" i="17"/>
  <c r="G170" i="17"/>
  <c r="AG218" i="17"/>
  <c r="G218" i="17"/>
  <c r="F37" i="17"/>
  <c r="AE37" i="17"/>
  <c r="G141" i="17"/>
  <c r="AG141" i="17"/>
  <c r="F89" i="17"/>
  <c r="AE89" i="17"/>
  <c r="F12" i="17"/>
  <c r="AE12" i="17"/>
  <c r="G162" i="17"/>
  <c r="G207" i="17"/>
  <c r="AE27" i="17"/>
  <c r="AE204" i="17"/>
  <c r="AG192" i="17"/>
  <c r="AE30" i="17"/>
  <c r="AE33" i="17"/>
  <c r="G92" i="17"/>
  <c r="F84" i="17"/>
  <c r="AE84" i="17"/>
  <c r="AE95" i="17"/>
  <c r="AE48" i="17"/>
  <c r="G191" i="17"/>
  <c r="AE42" i="17"/>
  <c r="F28" i="17"/>
  <c r="AE28" i="17"/>
  <c r="G114" i="17"/>
  <c r="AG114" i="17"/>
  <c r="AE47" i="17"/>
  <c r="AG26" i="17"/>
  <c r="G26" i="17"/>
  <c r="F216" i="17"/>
  <c r="AE216" i="17"/>
  <c r="G15" i="17"/>
  <c r="G198" i="17"/>
  <c r="AE146" i="17"/>
  <c r="AE104" i="17"/>
  <c r="G68" i="17"/>
  <c r="AE224" i="17"/>
  <c r="F118" i="17"/>
  <c r="AE118" i="17"/>
  <c r="AE21" i="17"/>
  <c r="AG135" i="17"/>
  <c r="G135" i="17"/>
  <c r="G163" i="17"/>
  <c r="G76" i="17"/>
  <c r="F7" i="17"/>
  <c r="AE7" i="17"/>
  <c r="AG205" i="17"/>
  <c r="G205" i="17"/>
  <c r="F77" i="17"/>
  <c r="AE77" i="17"/>
  <c r="F222" i="17"/>
  <c r="AE222" i="17"/>
  <c r="F184" i="17"/>
  <c r="AE184" i="17"/>
  <c r="F183" i="17"/>
  <c r="AE183" i="17"/>
  <c r="F139" i="17"/>
  <c r="AE139" i="17"/>
  <c r="G220" i="17"/>
  <c r="AG220" i="17"/>
  <c r="AG39" i="17"/>
  <c r="G39" i="17"/>
  <c r="F61" i="17"/>
  <c r="AE61" i="17"/>
  <c r="AG14" i="17"/>
  <c r="G14" i="17"/>
  <c r="AG45" i="17"/>
  <c r="G45" i="17"/>
  <c r="AG31" i="17"/>
  <c r="AG57" i="17"/>
  <c r="G57" i="17"/>
  <c r="AE67" i="17"/>
  <c r="AE49" i="17"/>
  <c r="G197" i="17"/>
  <c r="AG20" i="17"/>
  <c r="AG96" i="17"/>
  <c r="F144" i="17"/>
  <c r="AE144" i="17"/>
  <c r="AE70" i="17"/>
  <c r="F74" i="17"/>
  <c r="AE74" i="17"/>
  <c r="G97" i="17"/>
  <c r="AE51" i="17"/>
  <c r="G210" i="17"/>
  <c r="AE155" i="17"/>
  <c r="AG131" i="17"/>
  <c r="G131" i="17"/>
  <c r="F6" i="17"/>
  <c r="AE6" i="17"/>
  <c r="G129" i="17"/>
  <c r="AG129" i="17"/>
  <c r="F56" i="17"/>
  <c r="AE56" i="17"/>
  <c r="F172" i="17"/>
  <c r="AE172" i="17"/>
  <c r="AG66" i="17"/>
  <c r="G66" i="17"/>
  <c r="AE58" i="17"/>
  <c r="AE123" i="17"/>
  <c r="AE179" i="17"/>
  <c r="AE41" i="17"/>
  <c r="AE190" i="17"/>
  <c r="G13" i="17"/>
  <c r="AE186" i="17"/>
  <c r="G94" i="17"/>
  <c r="AG157" i="17"/>
  <c r="G157" i="17"/>
  <c r="G130" i="17"/>
  <c r="AG130" i="17"/>
  <c r="AE102" i="17"/>
  <c r="AE154" i="17"/>
  <c r="AG201" i="17"/>
  <c r="AE174" i="17"/>
  <c r="AE73" i="17"/>
  <c r="AE140" i="17"/>
  <c r="AG18" i="17"/>
  <c r="G18" i="17"/>
  <c r="AE65" i="17"/>
  <c r="AE200" i="17"/>
  <c r="AE171" i="17"/>
  <c r="G151" i="17"/>
  <c r="AG151" i="17"/>
  <c r="G46" i="17"/>
  <c r="G10" i="17"/>
  <c r="G80" i="17"/>
  <c r="G124" i="17"/>
  <c r="AE149" i="17"/>
  <c r="G217" i="17"/>
  <c r="G78" i="17"/>
  <c r="G221" i="17"/>
  <c r="AE64" i="17"/>
  <c r="AE147" i="17"/>
  <c r="G134" i="17"/>
  <c r="AE109" i="17"/>
  <c r="AG69" i="17"/>
  <c r="G69" i="17"/>
  <c r="G133" i="17"/>
  <c r="AG133" i="17"/>
  <c r="G219" i="17"/>
  <c r="AG219" i="17"/>
  <c r="AE43" i="17"/>
  <c r="AE175" i="17"/>
  <c r="AE86" i="17"/>
  <c r="AE72" i="17"/>
  <c r="AE176" i="17"/>
  <c r="AE119" i="17"/>
  <c r="AE105" i="17"/>
  <c r="AE126" i="17"/>
  <c r="AE145" i="17"/>
  <c r="G180" i="17"/>
  <c r="AE194" i="17"/>
  <c r="AE125" i="17"/>
  <c r="AE143" i="17"/>
  <c r="G165" i="17"/>
  <c r="AG165" i="17"/>
  <c r="G100" i="17" l="1"/>
  <c r="G159" i="17"/>
  <c r="G117" i="17"/>
  <c r="AG178" i="17"/>
  <c r="G112" i="17"/>
  <c r="G169" i="17"/>
  <c r="G83" i="17"/>
  <c r="AG55" i="17"/>
  <c r="AG164" i="17"/>
  <c r="AG53" i="17"/>
  <c r="G81" i="17"/>
  <c r="G40" i="17"/>
  <c r="G111" i="17"/>
  <c r="G208" i="17"/>
  <c r="G166" i="17"/>
  <c r="G108" i="17"/>
  <c r="G181" i="17"/>
  <c r="AG214" i="17"/>
  <c r="AG187" i="17"/>
  <c r="AG215" i="17"/>
  <c r="AG93" i="17"/>
  <c r="AG17" i="17"/>
  <c r="AG209" i="17"/>
  <c r="G209" i="17"/>
  <c r="AG152" i="17"/>
  <c r="G152" i="17"/>
  <c r="G116" i="17"/>
  <c r="G98" i="17"/>
  <c r="G22" i="17"/>
  <c r="G223" i="17"/>
  <c r="AG223" i="17"/>
  <c r="AG148" i="17"/>
  <c r="G148" i="17"/>
  <c r="AG150" i="17"/>
  <c r="G150" i="17"/>
  <c r="G52" i="17"/>
  <c r="AG60" i="17"/>
  <c r="G60" i="17"/>
  <c r="AG88" i="17"/>
  <c r="G88" i="17"/>
  <c r="G142" i="17"/>
  <c r="G91" i="17"/>
  <c r="G127" i="17"/>
  <c r="AG127" i="17"/>
  <c r="AG185" i="17"/>
  <c r="G185" i="17"/>
  <c r="AG195" i="17"/>
  <c r="AG173" i="17"/>
  <c r="G173" i="17"/>
  <c r="AG107" i="17"/>
  <c r="G107" i="17"/>
  <c r="AG82" i="17"/>
  <c r="G59" i="17"/>
  <c r="AG59" i="17"/>
  <c r="G87" i="17"/>
  <c r="AG87" i="17"/>
  <c r="G202" i="17"/>
  <c r="AG202" i="17"/>
  <c r="G132" i="17"/>
  <c r="G153" i="17"/>
  <c r="AG153" i="17"/>
  <c r="AG32" i="17"/>
  <c r="G32" i="17"/>
  <c r="G35" i="17"/>
  <c r="AG35" i="17"/>
  <c r="G85" i="17"/>
  <c r="AG85" i="17"/>
  <c r="AG23" i="17"/>
  <c r="G23" i="17"/>
  <c r="AG176" i="17"/>
  <c r="G176" i="17"/>
  <c r="G174" i="17"/>
  <c r="AG174" i="17"/>
  <c r="G186" i="17"/>
  <c r="AG186" i="17"/>
  <c r="G119" i="17"/>
  <c r="AG119" i="17"/>
  <c r="AG72" i="17"/>
  <c r="G72" i="17"/>
  <c r="AG86" i="17"/>
  <c r="G86" i="17"/>
  <c r="AG143" i="17"/>
  <c r="G143" i="17"/>
  <c r="AG140" i="17"/>
  <c r="G140" i="17"/>
  <c r="G125" i="17"/>
  <c r="AG125" i="17"/>
  <c r="AG74" i="17"/>
  <c r="G74" i="17"/>
  <c r="G193" i="17"/>
  <c r="AG193" i="17"/>
  <c r="AG175" i="17"/>
  <c r="G175" i="17"/>
  <c r="G190" i="17"/>
  <c r="AG190" i="17"/>
  <c r="AG146" i="17"/>
  <c r="G146" i="17"/>
  <c r="AG28" i="17"/>
  <c r="G28" i="17"/>
  <c r="G12" i="17"/>
  <c r="AG12" i="17"/>
  <c r="AG199" i="17"/>
  <c r="G199" i="17"/>
  <c r="AG194" i="17"/>
  <c r="G194" i="17"/>
  <c r="G43" i="17"/>
  <c r="AG43" i="17"/>
  <c r="AG49" i="17"/>
  <c r="G49" i="17"/>
  <c r="AG41" i="17"/>
  <c r="G41" i="17"/>
  <c r="AG172" i="17"/>
  <c r="G172" i="17"/>
  <c r="G184" i="17"/>
  <c r="AG184" i="17"/>
  <c r="G42" i="17"/>
  <c r="AG42" i="17"/>
  <c r="G30" i="17"/>
  <c r="AG30" i="17"/>
  <c r="AG89" i="17"/>
  <c r="G89" i="17"/>
  <c r="G188" i="17"/>
  <c r="AG188" i="17"/>
  <c r="AG7" i="17"/>
  <c r="G7" i="17"/>
  <c r="AG224" i="17"/>
  <c r="G224" i="17"/>
  <c r="AG95" i="17"/>
  <c r="G95" i="17"/>
  <c r="AG206" i="17"/>
  <c r="G206" i="17"/>
  <c r="AG102" i="17"/>
  <c r="G102" i="17"/>
  <c r="AG70" i="17"/>
  <c r="G70" i="17"/>
  <c r="AG147" i="17"/>
  <c r="G147" i="17"/>
  <c r="AG171" i="17"/>
  <c r="G171" i="17"/>
  <c r="G56" i="17"/>
  <c r="AG56" i="17"/>
  <c r="AG145" i="17"/>
  <c r="G145" i="17"/>
  <c r="AG155" i="17"/>
  <c r="G155" i="17"/>
  <c r="AG77" i="17"/>
  <c r="G77" i="17"/>
  <c r="G204" i="17"/>
  <c r="AG204" i="17"/>
  <c r="AG29" i="17"/>
  <c r="G29" i="17"/>
  <c r="AG67" i="17"/>
  <c r="G67" i="17"/>
  <c r="AG113" i="17"/>
  <c r="G113" i="17"/>
  <c r="AG144" i="17"/>
  <c r="G144" i="17"/>
  <c r="AG222" i="17"/>
  <c r="G222" i="17"/>
  <c r="AG48" i="17"/>
  <c r="G48" i="17"/>
  <c r="AG126" i="17"/>
  <c r="G126" i="17"/>
  <c r="AG64" i="17"/>
  <c r="G64" i="17"/>
  <c r="AG73" i="17"/>
  <c r="G73" i="17"/>
  <c r="AG179" i="17"/>
  <c r="G179" i="17"/>
  <c r="G6" i="17"/>
  <c r="AG6" i="17"/>
  <c r="AG105" i="17"/>
  <c r="G105" i="17"/>
  <c r="AG149" i="17"/>
  <c r="G149" i="17"/>
  <c r="AG200" i="17"/>
  <c r="G200" i="17"/>
  <c r="D3" i="17"/>
  <c r="D4" i="17" s="1"/>
  <c r="D172" i="17" s="1"/>
  <c r="AG47" i="17"/>
  <c r="G47" i="17"/>
  <c r="AG84" i="17"/>
  <c r="G84" i="17"/>
  <c r="AG38" i="17"/>
  <c r="G38" i="17"/>
  <c r="AG123" i="17"/>
  <c r="G123" i="17"/>
  <c r="AG51" i="17"/>
  <c r="G51" i="17"/>
  <c r="AG27" i="17"/>
  <c r="G27" i="17"/>
  <c r="AG139" i="17"/>
  <c r="G139" i="17"/>
  <c r="AG58" i="17"/>
  <c r="G58" i="17"/>
  <c r="AG61" i="17"/>
  <c r="G61" i="17"/>
  <c r="AG104" i="17"/>
  <c r="G104" i="17"/>
  <c r="AG216" i="17"/>
  <c r="G216" i="17"/>
  <c r="AG33" i="17"/>
  <c r="G33" i="17"/>
  <c r="AG21" i="17"/>
  <c r="G21" i="17"/>
  <c r="AG109" i="17"/>
  <c r="G109" i="17"/>
  <c r="G65" i="17"/>
  <c r="AG65" i="17"/>
  <c r="AG154" i="17"/>
  <c r="G154" i="17"/>
  <c r="G183" i="17"/>
  <c r="AG183" i="17"/>
  <c r="AG118" i="17"/>
  <c r="G118" i="17"/>
  <c r="AG37" i="17"/>
  <c r="G37" i="17"/>
  <c r="AG9" i="17"/>
  <c r="G9" i="17"/>
  <c r="G158" i="17"/>
  <c r="AG158" i="17"/>
  <c r="AG3" i="17"/>
  <c r="AG4" i="17"/>
  <c r="D84" i="17" l="1"/>
  <c r="D77" i="17"/>
  <c r="D183" i="17"/>
  <c r="D29" i="17"/>
  <c r="AH211" i="17"/>
  <c r="AH62" i="17"/>
  <c r="AH212" i="17"/>
  <c r="AH115" i="17"/>
  <c r="AH71" i="17"/>
  <c r="AH160" i="17"/>
  <c r="AH196" i="17"/>
  <c r="AH106" i="17"/>
  <c r="AH159" i="17"/>
  <c r="AH189" i="17"/>
  <c r="AH202" i="17"/>
  <c r="AH63" i="17"/>
  <c r="AH132" i="17"/>
  <c r="AH127" i="17"/>
  <c r="AH87" i="17"/>
  <c r="AH13" i="17"/>
  <c r="AH138" i="17"/>
  <c r="AH24" i="17"/>
  <c r="AH148" i="17"/>
  <c r="AH35" i="17"/>
  <c r="AH197" i="17"/>
  <c r="AH198" i="17"/>
  <c r="AH161" i="17"/>
  <c r="AH203" i="17"/>
  <c r="AH19" i="17"/>
  <c r="AH207" i="17"/>
  <c r="AH168" i="17"/>
  <c r="AH25" i="17"/>
  <c r="AH153" i="17"/>
  <c r="AH85" i="17"/>
  <c r="AH36" i="17"/>
  <c r="AH50" i="17"/>
  <c r="AH173" i="17"/>
  <c r="AH97" i="17"/>
  <c r="AH59" i="17"/>
  <c r="AH191" i="17"/>
  <c r="AH162" i="17"/>
  <c r="AH185" i="17"/>
  <c r="AH23" i="17"/>
  <c r="AH163" i="17"/>
  <c r="AH8" i="17"/>
  <c r="AH99" i="17"/>
  <c r="AH92" i="17"/>
  <c r="AH120" i="17"/>
  <c r="AH128" i="17"/>
  <c r="AH134" i="17"/>
  <c r="AH16" i="17"/>
  <c r="AH46" i="17"/>
  <c r="AH54" i="17"/>
  <c r="AH94" i="17"/>
  <c r="AH10" i="17"/>
  <c r="AH177" i="17"/>
  <c r="AH32" i="17"/>
  <c r="AH152" i="17"/>
  <c r="AH150" i="17"/>
  <c r="AH90" i="17"/>
  <c r="AH88" i="17"/>
  <c r="AH60" i="17"/>
  <c r="AH156" i="17"/>
  <c r="AH167" i="17"/>
  <c r="AH83" i="17"/>
  <c r="AH223" i="17"/>
  <c r="AH40" i="17"/>
  <c r="AH210" i="17"/>
  <c r="AH142" i="17"/>
  <c r="AH76" i="17"/>
  <c r="AH213" i="17"/>
  <c r="AH116" i="17"/>
  <c r="AH107" i="17"/>
  <c r="AH137" i="17"/>
  <c r="AH81" i="17"/>
  <c r="AH52" i="17"/>
  <c r="AH110" i="17"/>
  <c r="AH124" i="17"/>
  <c r="AH121" i="17"/>
  <c r="AH34" i="17"/>
  <c r="AH108" i="17"/>
  <c r="AH15" i="17"/>
  <c r="AH217" i="17"/>
  <c r="AH100" i="17"/>
  <c r="AH11" i="17"/>
  <c r="AH221" i="17"/>
  <c r="AH103" i="17"/>
  <c r="AH136" i="17"/>
  <c r="AH209" i="17"/>
  <c r="AH180" i="17"/>
  <c r="AH101" i="17"/>
  <c r="AH80" i="17"/>
  <c r="AH122" i="17"/>
  <c r="AH166" i="17"/>
  <c r="AH111" i="17"/>
  <c r="AH68" i="17"/>
  <c r="AH78" i="17"/>
  <c r="AH220" i="17"/>
  <c r="AH57" i="17"/>
  <c r="AH208" i="17"/>
  <c r="AH129" i="17"/>
  <c r="AH96" i="17"/>
  <c r="AH20" i="17"/>
  <c r="AH214" i="17"/>
  <c r="AH26" i="17"/>
  <c r="AH91" i="17"/>
  <c r="AH79" i="17"/>
  <c r="AH187" i="17"/>
  <c r="AH192" i="17"/>
  <c r="AH195" i="17"/>
  <c r="AH130" i="17"/>
  <c r="AH18" i="17"/>
  <c r="AH218" i="17"/>
  <c r="AH112" i="17"/>
  <c r="AH135" i="17"/>
  <c r="AH117" i="17"/>
  <c r="AH17" i="17"/>
  <c r="AH22" i="17"/>
  <c r="AH69" i="17"/>
  <c r="AH93" i="17"/>
  <c r="AH98" i="17"/>
  <c r="AH178" i="17"/>
  <c r="AH114" i="17"/>
  <c r="AH201" i="17"/>
  <c r="AH141" i="17"/>
  <c r="AH55" i="17"/>
  <c r="AH75" i="17"/>
  <c r="AH165" i="17"/>
  <c r="AH182" i="17"/>
  <c r="AH53" i="17"/>
  <c r="AH219" i="17"/>
  <c r="AH31" i="17"/>
  <c r="AH164" i="17"/>
  <c r="AH157" i="17"/>
  <c r="AH205" i="17"/>
  <c r="AH181" i="17"/>
  <c r="AH133" i="17"/>
  <c r="AH169" i="17"/>
  <c r="AH44" i="17"/>
  <c r="AH66" i="17"/>
  <c r="AH151" i="17"/>
  <c r="AH215" i="17"/>
  <c r="AH170" i="17"/>
  <c r="AH45" i="17"/>
  <c r="AH39" i="17"/>
  <c r="AH131" i="17"/>
  <c r="AH14" i="17"/>
  <c r="AH82" i="17"/>
  <c r="AH216" i="17"/>
  <c r="AH49" i="17"/>
  <c r="AH158" i="17"/>
  <c r="D74" i="17"/>
  <c r="D61" i="17"/>
  <c r="AH104" i="17"/>
  <c r="AH64" i="17"/>
  <c r="AH56" i="17"/>
  <c r="D158" i="17"/>
  <c r="AH28" i="17"/>
  <c r="AH193" i="17"/>
  <c r="AH105" i="17"/>
  <c r="D199" i="17"/>
  <c r="AH84" i="17"/>
  <c r="D6" i="17"/>
  <c r="AH29" i="17"/>
  <c r="AH43" i="17"/>
  <c r="AH146" i="17"/>
  <c r="AH118" i="17"/>
  <c r="AH183" i="17"/>
  <c r="AH21" i="17"/>
  <c r="AH58" i="17"/>
  <c r="D139" i="17"/>
  <c r="AH186" i="17"/>
  <c r="D12" i="17"/>
  <c r="AH47" i="17"/>
  <c r="AH89" i="17"/>
  <c r="D28" i="17"/>
  <c r="AH200" i="17"/>
  <c r="E3" i="17"/>
  <c r="E4" i="17" s="1"/>
  <c r="E184" i="17" s="1"/>
  <c r="AH113" i="17"/>
  <c r="AH147" i="17"/>
  <c r="AH30" i="17"/>
  <c r="AH194" i="17"/>
  <c r="AH74" i="17"/>
  <c r="AH38" i="17"/>
  <c r="D37" i="17"/>
  <c r="AH51" i="17"/>
  <c r="AH126" i="17"/>
  <c r="AH143" i="17"/>
  <c r="AH65" i="17"/>
  <c r="AH139" i="17"/>
  <c r="AH123" i="17"/>
  <c r="D89" i="17"/>
  <c r="AH145" i="17"/>
  <c r="D188" i="17"/>
  <c r="AH41" i="17"/>
  <c r="AH86" i="17"/>
  <c r="AH154" i="17"/>
  <c r="AH171" i="17"/>
  <c r="D56" i="17"/>
  <c r="D216" i="17"/>
  <c r="AH9" i="17"/>
  <c r="AH6" i="17"/>
  <c r="AH204" i="17"/>
  <c r="AH206" i="17"/>
  <c r="AH172" i="17"/>
  <c r="AH61" i="17"/>
  <c r="AH37" i="17"/>
  <c r="D118" i="17"/>
  <c r="AH109" i="17"/>
  <c r="AH33" i="17"/>
  <c r="AH27" i="17"/>
  <c r="AH179" i="17"/>
  <c r="AH48" i="17"/>
  <c r="AH95" i="17"/>
  <c r="AH42" i="17"/>
  <c r="AH199" i="17"/>
  <c r="AH190" i="17"/>
  <c r="AH149" i="17"/>
  <c r="AH119" i="17"/>
  <c r="AH73" i="17"/>
  <c r="D184" i="17"/>
  <c r="AH224" i="17"/>
  <c r="AH12" i="17"/>
  <c r="AH72" i="17"/>
  <c r="AH174" i="17"/>
  <c r="AH222" i="17"/>
  <c r="AH67" i="17"/>
  <c r="AH77" i="17"/>
  <c r="D7" i="17"/>
  <c r="D222" i="17"/>
  <c r="AH7" i="17"/>
  <c r="AH125" i="17"/>
  <c r="AH70" i="17"/>
  <c r="AH184" i="17"/>
  <c r="AH175" i="17"/>
  <c r="D69" i="17"/>
  <c r="D212" i="17"/>
  <c r="D66" i="17"/>
  <c r="D115" i="17"/>
  <c r="D16" i="17"/>
  <c r="D211" i="17"/>
  <c r="D71" i="17"/>
  <c r="D219" i="17"/>
  <c r="D165" i="17"/>
  <c r="D62" i="17"/>
  <c r="D75" i="17"/>
  <c r="D166" i="17"/>
  <c r="D90" i="17"/>
  <c r="D193" i="17"/>
  <c r="D47" i="17"/>
  <c r="D65" i="17"/>
  <c r="D73" i="17"/>
  <c r="D18" i="17"/>
  <c r="D116" i="17"/>
  <c r="D27" i="17"/>
  <c r="D21" i="17"/>
  <c r="D82" i="17"/>
  <c r="D173" i="17"/>
  <c r="D100" i="17"/>
  <c r="D131" i="17"/>
  <c r="D50" i="17"/>
  <c r="D13" i="17"/>
  <c r="D161" i="17"/>
  <c r="D96" i="17"/>
  <c r="D128" i="17"/>
  <c r="D106" i="17"/>
  <c r="D148" i="17"/>
  <c r="D38" i="17"/>
  <c r="D200" i="17"/>
  <c r="D104" i="17"/>
  <c r="D33" i="17"/>
  <c r="D102" i="17"/>
  <c r="D117" i="17"/>
  <c r="D91" i="17"/>
  <c r="D141" i="17"/>
  <c r="D215" i="17"/>
  <c r="D55" i="17"/>
  <c r="D8" i="17"/>
  <c r="D130" i="17"/>
  <c r="D162" i="17"/>
  <c r="D32" i="17"/>
  <c r="D224" i="17"/>
  <c r="D187" i="17"/>
  <c r="D206" i="17"/>
  <c r="D197" i="17"/>
  <c r="D67" i="17"/>
  <c r="D190" i="17"/>
  <c r="D98" i="17"/>
  <c r="D60" i="17"/>
  <c r="D147" i="17"/>
  <c r="D127" i="17"/>
  <c r="D124" i="17"/>
  <c r="D79" i="17"/>
  <c r="D86" i="17"/>
  <c r="D108" i="17"/>
  <c r="D196" i="17"/>
  <c r="D54" i="17"/>
  <c r="D167" i="17"/>
  <c r="D31" i="17"/>
  <c r="D72" i="17"/>
  <c r="D202" i="17"/>
  <c r="D217" i="17"/>
  <c r="D53" i="17"/>
  <c r="D176" i="17"/>
  <c r="D26" i="17"/>
  <c r="D15" i="17"/>
  <c r="D20" i="17"/>
  <c r="D182" i="17"/>
  <c r="D191" i="17"/>
  <c r="D122" i="17"/>
  <c r="D23" i="17"/>
  <c r="D220" i="17"/>
  <c r="D30" i="17"/>
  <c r="D42" i="17"/>
  <c r="D85" i="17"/>
  <c r="D204" i="17"/>
  <c r="D22" i="17"/>
  <c r="D51" i="17"/>
  <c r="D170" i="17"/>
  <c r="D111" i="17"/>
  <c r="D99" i="17"/>
  <c r="D132" i="17"/>
  <c r="D58" i="17"/>
  <c r="D88" i="17"/>
  <c r="D63" i="17"/>
  <c r="D119" i="17"/>
  <c r="D9" i="17"/>
  <c r="D39" i="17"/>
  <c r="D129" i="17"/>
  <c r="D113" i="17"/>
  <c r="D95" i="17"/>
  <c r="D76" i="17"/>
  <c r="D151" i="17"/>
  <c r="D48" i="17"/>
  <c r="D49" i="17"/>
  <c r="D83" i="17"/>
  <c r="D186" i="17"/>
  <c r="D45" i="17"/>
  <c r="D35" i="17"/>
  <c r="D97" i="17"/>
  <c r="D25" i="17"/>
  <c r="D154" i="17"/>
  <c r="D101" i="17"/>
  <c r="D210" i="17"/>
  <c r="D213" i="17"/>
  <c r="D78" i="17"/>
  <c r="D109" i="17"/>
  <c r="D171" i="17"/>
  <c r="D44" i="17"/>
  <c r="D174" i="17"/>
  <c r="D152" i="17"/>
  <c r="D169" i="17"/>
  <c r="D198" i="17"/>
  <c r="D181" i="17"/>
  <c r="D140" i="17"/>
  <c r="D123" i="17"/>
  <c r="D121" i="17"/>
  <c r="D218" i="17"/>
  <c r="D177" i="17"/>
  <c r="D34" i="17"/>
  <c r="D160" i="17"/>
  <c r="D223" i="17"/>
  <c r="D81" i="17"/>
  <c r="D14" i="17"/>
  <c r="D153" i="17"/>
  <c r="D156" i="17"/>
  <c r="D126" i="17"/>
  <c r="D180" i="17"/>
  <c r="D205" i="17"/>
  <c r="D70" i="17"/>
  <c r="D155" i="17"/>
  <c r="D189" i="17"/>
  <c r="D157" i="17"/>
  <c r="D185" i="17"/>
  <c r="D133" i="17"/>
  <c r="D46" i="17"/>
  <c r="D221" i="17"/>
  <c r="D145" i="17"/>
  <c r="D201" i="17"/>
  <c r="D138" i="17"/>
  <c r="D137" i="17"/>
  <c r="D149" i="17"/>
  <c r="D134" i="17"/>
  <c r="D146" i="17"/>
  <c r="D94" i="17"/>
  <c r="D40" i="17"/>
  <c r="D203" i="17"/>
  <c r="D214" i="17"/>
  <c r="D64" i="17"/>
  <c r="D142" i="17"/>
  <c r="D59" i="17"/>
  <c r="D92" i="17"/>
  <c r="D159" i="17"/>
  <c r="D43" i="17"/>
  <c r="D112" i="17"/>
  <c r="D107" i="17"/>
  <c r="D103" i="17"/>
  <c r="D168" i="17"/>
  <c r="D209" i="17"/>
  <c r="D68" i="17"/>
  <c r="D93" i="17"/>
  <c r="D175" i="17"/>
  <c r="D120" i="17"/>
  <c r="D150" i="17"/>
  <c r="D208" i="17"/>
  <c r="D192" i="17"/>
  <c r="D194" i="17"/>
  <c r="D114" i="17"/>
  <c r="D163" i="17"/>
  <c r="D87" i="17"/>
  <c r="D125" i="17"/>
  <c r="D179" i="17"/>
  <c r="D24" i="17"/>
  <c r="D195" i="17"/>
  <c r="D19" i="17"/>
  <c r="D17" i="17"/>
  <c r="D52" i="17"/>
  <c r="D135" i="17"/>
  <c r="D11" i="17"/>
  <c r="D10" i="17"/>
  <c r="D178" i="17"/>
  <c r="D207" i="17"/>
  <c r="D143" i="17"/>
  <c r="D36" i="17"/>
  <c r="D105" i="17"/>
  <c r="D41" i="17"/>
  <c r="D80" i="17"/>
  <c r="D164" i="17"/>
  <c r="D57" i="17"/>
  <c r="D136" i="17"/>
  <c r="D110" i="17"/>
  <c r="AH144" i="17"/>
  <c r="AH155" i="17"/>
  <c r="AH102" i="17"/>
  <c r="D144" i="17"/>
  <c r="AH188" i="17"/>
  <c r="AH140" i="17"/>
  <c r="AH176" i="17"/>
  <c r="C134" i="4" l="1"/>
  <c r="C117" i="4"/>
  <c r="C71" i="4"/>
  <c r="C149" i="4"/>
  <c r="C63" i="4"/>
  <c r="C95" i="4"/>
  <c r="C73" i="4"/>
  <c r="C146" i="4"/>
  <c r="C150" i="4"/>
  <c r="C35" i="4"/>
  <c r="C60" i="4"/>
  <c r="C31" i="4"/>
  <c r="C47" i="4"/>
  <c r="C66" i="4"/>
  <c r="C105" i="4"/>
  <c r="C147" i="4"/>
  <c r="C91" i="4"/>
  <c r="C22" i="4"/>
  <c r="C155" i="4"/>
  <c r="C107" i="4"/>
  <c r="C142" i="4"/>
  <c r="C68" i="4"/>
  <c r="C61" i="4"/>
  <c r="C116" i="4"/>
  <c r="C112" i="4"/>
  <c r="C115" i="4"/>
  <c r="C40" i="4"/>
  <c r="C18" i="4"/>
  <c r="C50" i="4"/>
  <c r="C128" i="4"/>
  <c r="C45" i="4"/>
  <c r="C125" i="4"/>
  <c r="C143" i="4"/>
  <c r="C119" i="4"/>
  <c r="C144" i="4"/>
  <c r="C48" i="4"/>
  <c r="C26" i="4"/>
  <c r="C9" i="4"/>
  <c r="C21" i="4"/>
  <c r="C127" i="4"/>
  <c r="C30" i="4"/>
  <c r="C108" i="4"/>
  <c r="C65" i="4"/>
  <c r="C52" i="4"/>
  <c r="C37" i="4"/>
  <c r="C156" i="4"/>
  <c r="C96" i="4"/>
  <c r="C38" i="4"/>
  <c r="C14" i="4"/>
  <c r="C124" i="4"/>
  <c r="C82" i="4"/>
  <c r="C129" i="4"/>
  <c r="C145" i="4"/>
  <c r="C140" i="4"/>
  <c r="C88" i="4"/>
  <c r="C7" i="4"/>
  <c r="C130" i="4"/>
  <c r="C44" i="4"/>
  <c r="C122" i="4"/>
  <c r="C158" i="4"/>
  <c r="C78" i="4"/>
  <c r="C81" i="4"/>
  <c r="C75" i="4"/>
  <c r="C141" i="4"/>
  <c r="C98" i="4"/>
  <c r="C69" i="4"/>
  <c r="C55" i="4"/>
  <c r="C126" i="4"/>
  <c r="C138" i="4"/>
  <c r="C41" i="4"/>
  <c r="C104" i="4"/>
  <c r="C5" i="4"/>
  <c r="C120" i="4"/>
  <c r="C76" i="4"/>
  <c r="C23" i="4"/>
  <c r="C136" i="4"/>
  <c r="C102" i="4"/>
  <c r="C77" i="4"/>
  <c r="C148" i="4"/>
  <c r="C137" i="4"/>
  <c r="C33" i="4"/>
  <c r="C100" i="4"/>
  <c r="C54" i="4"/>
  <c r="C8" i="4"/>
  <c r="C157" i="4"/>
  <c r="C67" i="4"/>
  <c r="C29" i="4"/>
  <c r="C57" i="4"/>
  <c r="C46" i="4"/>
  <c r="C97" i="4"/>
  <c r="C32" i="4"/>
  <c r="C36" i="4"/>
  <c r="C79" i="4"/>
  <c r="C15" i="4"/>
  <c r="C49" i="4"/>
  <c r="C123" i="4"/>
  <c r="C20" i="4"/>
  <c r="C70" i="4"/>
  <c r="C92" i="4"/>
  <c r="C118" i="4"/>
  <c r="C51" i="4"/>
  <c r="C53" i="4"/>
  <c r="C101" i="4"/>
  <c r="C110" i="4"/>
  <c r="C80" i="4"/>
  <c r="C111" i="4"/>
  <c r="C99" i="4"/>
  <c r="C39" i="4"/>
  <c r="C89" i="4"/>
  <c r="C19" i="4"/>
  <c r="C109" i="4"/>
  <c r="C84" i="4"/>
  <c r="C11" i="4"/>
  <c r="C86" i="4"/>
  <c r="C74" i="4"/>
  <c r="C93" i="4"/>
  <c r="C153" i="4"/>
  <c r="C151" i="4"/>
  <c r="C103" i="4"/>
  <c r="C12" i="4"/>
  <c r="C13" i="4"/>
  <c r="C131" i="4"/>
  <c r="C133" i="4"/>
  <c r="C42" i="4"/>
  <c r="C152" i="4"/>
  <c r="C135" i="4"/>
  <c r="C114" i="4"/>
  <c r="C43" i="4"/>
  <c r="C64" i="4"/>
  <c r="C113" i="4"/>
  <c r="C85" i="4"/>
  <c r="C72" i="4"/>
  <c r="C62" i="4"/>
  <c r="C17" i="4"/>
  <c r="C6" i="4"/>
  <c r="C27" i="4"/>
  <c r="C83" i="4"/>
  <c r="C56" i="4"/>
  <c r="C34" i="4"/>
  <c r="C132" i="4"/>
  <c r="C25" i="4"/>
  <c r="C106" i="4"/>
  <c r="C59" i="4"/>
  <c r="C159" i="4"/>
  <c r="C24" i="4"/>
  <c r="C121" i="4"/>
  <c r="C139" i="4"/>
  <c r="C28" i="4"/>
  <c r="C87" i="4"/>
  <c r="C10" i="4"/>
  <c r="C16" i="4"/>
  <c r="C90" i="4"/>
  <c r="C58" i="4"/>
  <c r="C154" i="4"/>
  <c r="C94" i="4"/>
  <c r="C4" i="4"/>
  <c r="E193" i="17"/>
  <c r="E104" i="17"/>
  <c r="E51" i="17"/>
  <c r="E146" i="17"/>
  <c r="E48" i="17"/>
  <c r="E199" i="17"/>
  <c r="E102" i="17"/>
  <c r="E125" i="17"/>
  <c r="E77" i="17"/>
  <c r="E27" i="17"/>
  <c r="E38" i="17"/>
  <c r="E67" i="17"/>
  <c r="E33" i="17"/>
  <c r="E30" i="17"/>
  <c r="E113" i="17"/>
  <c r="E86" i="17"/>
  <c r="E143" i="17"/>
  <c r="E29" i="17"/>
  <c r="E155" i="17"/>
  <c r="E28" i="17"/>
  <c r="E43" i="17"/>
  <c r="E144" i="17"/>
  <c r="E41" i="17"/>
  <c r="E188" i="17"/>
  <c r="E158" i="17"/>
  <c r="E105" i="17"/>
  <c r="E222" i="17"/>
  <c r="E95" i="17"/>
  <c r="E84" i="17"/>
  <c r="E72" i="17"/>
  <c r="E47" i="17"/>
  <c r="E176" i="17"/>
  <c r="E200" i="17"/>
  <c r="E56" i="17"/>
  <c r="E123" i="17"/>
  <c r="E174" i="17"/>
  <c r="E149" i="17"/>
  <c r="E37" i="17"/>
  <c r="E171" i="17"/>
  <c r="E119" i="17"/>
  <c r="E190" i="17"/>
  <c r="E74" i="17"/>
  <c r="E139" i="17"/>
  <c r="E179" i="17"/>
  <c r="E172" i="17"/>
  <c r="E89" i="17"/>
  <c r="E140" i="17"/>
  <c r="E175" i="17"/>
  <c r="E42" i="17"/>
  <c r="E206" i="17"/>
  <c r="E145" i="17"/>
  <c r="E126" i="17"/>
  <c r="E12" i="17"/>
  <c r="E224" i="17"/>
  <c r="E183" i="17"/>
  <c r="E109" i="17"/>
  <c r="E204" i="17"/>
  <c r="E9" i="17"/>
  <c r="E49" i="17"/>
  <c r="E7" i="17"/>
  <c r="E73" i="17"/>
  <c r="E118" i="17"/>
  <c r="E58" i="17"/>
  <c r="E65" i="17"/>
  <c r="E101" i="17"/>
  <c r="E160" i="17"/>
  <c r="E62" i="17"/>
  <c r="E212" i="17"/>
  <c r="E63" i="17"/>
  <c r="E121" i="17"/>
  <c r="E120" i="17"/>
  <c r="E185" i="17"/>
  <c r="E25" i="17"/>
  <c r="E137" i="17"/>
  <c r="E34" i="17"/>
  <c r="E202" i="17"/>
  <c r="E115" i="17"/>
  <c r="E71" i="17"/>
  <c r="E50" i="17"/>
  <c r="E136" i="17"/>
  <c r="E88" i="17"/>
  <c r="E223" i="17"/>
  <c r="E23" i="17"/>
  <c r="E96" i="17"/>
  <c r="E138" i="17"/>
  <c r="E87" i="17"/>
  <c r="E35" i="17"/>
  <c r="E107" i="17"/>
  <c r="E177" i="17"/>
  <c r="E161" i="17"/>
  <c r="E110" i="17"/>
  <c r="E24" i="17"/>
  <c r="E11" i="17"/>
  <c r="E127" i="17"/>
  <c r="E36" i="17"/>
  <c r="E31" i="17"/>
  <c r="E189" i="17"/>
  <c r="E211" i="17"/>
  <c r="E19" i="17"/>
  <c r="E32" i="17"/>
  <c r="E148" i="17"/>
  <c r="E201" i="17"/>
  <c r="E164" i="17"/>
  <c r="E214" i="17"/>
  <c r="E20" i="17"/>
  <c r="E192" i="17"/>
  <c r="E106" i="17"/>
  <c r="E153" i="17"/>
  <c r="E99" i="17"/>
  <c r="E103" i="17"/>
  <c r="E187" i="17"/>
  <c r="E173" i="17"/>
  <c r="E54" i="17"/>
  <c r="E59" i="17"/>
  <c r="E85" i="17"/>
  <c r="E152" i="17"/>
  <c r="E16" i="17"/>
  <c r="E60" i="17"/>
  <c r="E90" i="17"/>
  <c r="E168" i="17"/>
  <c r="E150" i="17"/>
  <c r="E209" i="17"/>
  <c r="E156" i="17"/>
  <c r="E167" i="17"/>
  <c r="E196" i="17"/>
  <c r="E93" i="17"/>
  <c r="E213" i="17"/>
  <c r="E122" i="17"/>
  <c r="E128" i="17"/>
  <c r="E8" i="17"/>
  <c r="E203" i="17"/>
  <c r="E219" i="17"/>
  <c r="E69" i="17"/>
  <c r="E217" i="17"/>
  <c r="E169" i="17"/>
  <c r="E221" i="17"/>
  <c r="E205" i="17"/>
  <c r="E124" i="17"/>
  <c r="E39" i="17"/>
  <c r="E13" i="17"/>
  <c r="E207" i="17"/>
  <c r="E134" i="17"/>
  <c r="E130" i="17"/>
  <c r="E10" i="17"/>
  <c r="E15" i="17"/>
  <c r="E180" i="17"/>
  <c r="E66" i="17"/>
  <c r="E151" i="17"/>
  <c r="E26" i="17"/>
  <c r="E112" i="17"/>
  <c r="E220" i="17"/>
  <c r="E163" i="17"/>
  <c r="E215" i="17"/>
  <c r="E79" i="17"/>
  <c r="E52" i="17"/>
  <c r="E166" i="17"/>
  <c r="E218" i="17"/>
  <c r="E191" i="17"/>
  <c r="E135" i="17"/>
  <c r="E76" i="17"/>
  <c r="E75" i="17"/>
  <c r="E97" i="17"/>
  <c r="E55" i="17"/>
  <c r="E159" i="17"/>
  <c r="E83" i="17"/>
  <c r="E198" i="17"/>
  <c r="E81" i="17"/>
  <c r="E100" i="17"/>
  <c r="E108" i="17"/>
  <c r="E92" i="17"/>
  <c r="E57" i="17"/>
  <c r="E133" i="17"/>
  <c r="E98" i="17"/>
  <c r="E46" i="17"/>
  <c r="E157" i="17"/>
  <c r="E111" i="17"/>
  <c r="E178" i="17"/>
  <c r="E117" i="17"/>
  <c r="E94" i="17"/>
  <c r="E131" i="17"/>
  <c r="E53" i="17"/>
  <c r="E141" i="17"/>
  <c r="E44" i="17"/>
  <c r="E195" i="17"/>
  <c r="E197" i="17"/>
  <c r="E170" i="17"/>
  <c r="E17" i="17"/>
  <c r="E181" i="17"/>
  <c r="E78" i="17"/>
  <c r="E208" i="17"/>
  <c r="E162" i="17"/>
  <c r="E182" i="17"/>
  <c r="E129" i="17"/>
  <c r="E165" i="17"/>
  <c r="E82" i="17"/>
  <c r="E142" i="17"/>
  <c r="E91" i="17"/>
  <c r="E132" i="17"/>
  <c r="E80" i="17"/>
  <c r="E40" i="17"/>
  <c r="E116" i="17"/>
  <c r="E22" i="17"/>
  <c r="E210" i="17"/>
  <c r="E114" i="17"/>
  <c r="E18" i="17"/>
  <c r="E45" i="17"/>
  <c r="E14" i="17"/>
  <c r="E68" i="17"/>
  <c r="E64" i="17"/>
  <c r="E186" i="17"/>
  <c r="E216" i="17"/>
  <c r="E61" i="17"/>
  <c r="E194" i="17"/>
  <c r="E6" i="17"/>
  <c r="E154" i="17"/>
  <c r="E70" i="17"/>
  <c r="E147" i="17"/>
  <c r="E21" i="17"/>
</calcChain>
</file>

<file path=xl/sharedStrings.xml><?xml version="1.0" encoding="utf-8"?>
<sst xmlns="http://schemas.openxmlformats.org/spreadsheetml/2006/main" count="2289" uniqueCount="468">
  <si>
    <t>BBM $</t>
  </si>
  <si>
    <t>#</t>
  </si>
  <si>
    <t>NAME</t>
  </si>
  <si>
    <t>POS</t>
  </si>
  <si>
    <t>TEAM</t>
  </si>
  <si>
    <t>PTS</t>
  </si>
  <si>
    <t>3P</t>
  </si>
  <si>
    <t>REB</t>
  </si>
  <si>
    <t>AST</t>
  </si>
  <si>
    <t>STL</t>
  </si>
  <si>
    <t>BLK</t>
  </si>
  <si>
    <t>FG%</t>
  </si>
  <si>
    <t>FGA</t>
  </si>
  <si>
    <t>FT%</t>
  </si>
  <si>
    <t>FTA</t>
  </si>
  <si>
    <t>12t round</t>
  </si>
  <si>
    <t>$ Projection</t>
  </si>
  <si>
    <t>Ranking</t>
  </si>
  <si>
    <t>Name</t>
  </si>
  <si>
    <t>Pos</t>
  </si>
  <si>
    <t>Team</t>
  </si>
  <si>
    <t>Nikola Jokic</t>
  </si>
  <si>
    <t>C</t>
  </si>
  <si>
    <t>DEN</t>
  </si>
  <si>
    <t>James Harden</t>
  </si>
  <si>
    <t>PG/SG</t>
  </si>
  <si>
    <t>BKN</t>
  </si>
  <si>
    <t>Stephen Curry</t>
  </si>
  <si>
    <t>PG</t>
  </si>
  <si>
    <t>GSW</t>
  </si>
  <si>
    <t>Karl-Anthony Towns</t>
  </si>
  <si>
    <t>MIN</t>
  </si>
  <si>
    <t>Kevin Durant</t>
  </si>
  <si>
    <t>SF/PF</t>
  </si>
  <si>
    <t>Damian Lillard</t>
  </si>
  <si>
    <t>POR</t>
  </si>
  <si>
    <t>Joel Embiid</t>
  </si>
  <si>
    <t>PHI</t>
  </si>
  <si>
    <t>Bradley Beal</t>
  </si>
  <si>
    <t>SG</t>
  </si>
  <si>
    <t>WAS</t>
  </si>
  <si>
    <t>Jayson Tatum</t>
  </si>
  <si>
    <t>BOS</t>
  </si>
  <si>
    <t>Kyrie Irving</t>
  </si>
  <si>
    <t>Giannis Antetokounmpo</t>
  </si>
  <si>
    <t>PF</t>
  </si>
  <si>
    <t>MIL</t>
  </si>
  <si>
    <t>Paul George</t>
  </si>
  <si>
    <t>SG/SF</t>
  </si>
  <si>
    <t>LAC</t>
  </si>
  <si>
    <t>Luka Doncic</t>
  </si>
  <si>
    <t>DAL</t>
  </si>
  <si>
    <t>Jimmy Butler</t>
  </si>
  <si>
    <t>MIA</t>
  </si>
  <si>
    <t>Anthony Davis</t>
  </si>
  <si>
    <t>LAL</t>
  </si>
  <si>
    <t>Fred VanVleet</t>
  </si>
  <si>
    <t>TOR</t>
  </si>
  <si>
    <t>Zach LaVine</t>
  </si>
  <si>
    <t>CHI</t>
  </si>
  <si>
    <t>Trae Young</t>
  </si>
  <si>
    <t>ATL</t>
  </si>
  <si>
    <t>Bam Adebayo</t>
  </si>
  <si>
    <t>PF/C</t>
  </si>
  <si>
    <t>LaMelo Ball</t>
  </si>
  <si>
    <t>CHA</t>
  </si>
  <si>
    <t>Donovan Mitchell</t>
  </si>
  <si>
    <t>UTA</t>
  </si>
  <si>
    <t>Nikola Vucevic</t>
  </si>
  <si>
    <t>Shai Gilgeous-Alexander</t>
  </si>
  <si>
    <t>OKC</t>
  </si>
  <si>
    <t>Chris Paul</t>
  </si>
  <si>
    <t>PHO</t>
  </si>
  <si>
    <t>Rudy Gobert</t>
  </si>
  <si>
    <t>Domantas Sabonis</t>
  </si>
  <si>
    <t>IND</t>
  </si>
  <si>
    <t>Zion Williamson</t>
  </si>
  <si>
    <t>NOR</t>
  </si>
  <si>
    <t>O.G. Anunoby</t>
  </si>
  <si>
    <t>Jaylen Brown</t>
  </si>
  <si>
    <t>LeBron James</t>
  </si>
  <si>
    <t>PG/SF/PF</t>
  </si>
  <si>
    <t>Michael Porter Jr.</t>
  </si>
  <si>
    <t>Jaren Jackson Jr.</t>
  </si>
  <si>
    <t>MEM</t>
  </si>
  <si>
    <t>Kristaps Porzingis</t>
  </si>
  <si>
    <t>Jrue Holiday</t>
  </si>
  <si>
    <t>Julius Randle</t>
  </si>
  <si>
    <t>NYK</t>
  </si>
  <si>
    <t>Pascal Siakam</t>
  </si>
  <si>
    <t>Lonzo Ball</t>
  </si>
  <si>
    <t>Devin Booker</t>
  </si>
  <si>
    <t>Jusuf Nurkic</t>
  </si>
  <si>
    <t>De'Aaron Fox</t>
  </si>
  <si>
    <t>SAC</t>
  </si>
  <si>
    <t>Khris Middleton</t>
  </si>
  <si>
    <t>Draymond Green</t>
  </si>
  <si>
    <t>Brandon Ingram</t>
  </si>
  <si>
    <t>Deandre Ayton</t>
  </si>
  <si>
    <t>Christian Wood</t>
  </si>
  <si>
    <t>HOU</t>
  </si>
  <si>
    <t>Robert Williams</t>
  </si>
  <si>
    <t>Anthony Edwards</t>
  </si>
  <si>
    <t>Tobias Harris</t>
  </si>
  <si>
    <t>Gordon Hayward</t>
  </si>
  <si>
    <t>SF</t>
  </si>
  <si>
    <t>Tyrese Haliburton</t>
  </si>
  <si>
    <t>Derrick White</t>
  </si>
  <si>
    <t>SAS</t>
  </si>
  <si>
    <t>Russell Westbrook</t>
  </si>
  <si>
    <t>Richaun Holmes</t>
  </si>
  <si>
    <t>D'Angelo Russell</t>
  </si>
  <si>
    <t>Myles Turner</t>
  </si>
  <si>
    <t>C.J. McCollum</t>
  </si>
  <si>
    <t>Cade Cunningham</t>
  </si>
  <si>
    <t>DET</t>
  </si>
  <si>
    <t>DeMar DeRozan</t>
  </si>
  <si>
    <t>Darius Garland</t>
  </si>
  <si>
    <t>CLE</t>
  </si>
  <si>
    <t>Jonathan Isaac</t>
  </si>
  <si>
    <t>ORL</t>
  </si>
  <si>
    <t>Kyle Lowry</t>
  </si>
  <si>
    <t>Jonas Valanciunas</t>
  </si>
  <si>
    <t>Dejounte Murray</t>
  </si>
  <si>
    <t>John Collins</t>
  </si>
  <si>
    <t>Kawhi Leonard</t>
  </si>
  <si>
    <t>Clint Capela</t>
  </si>
  <si>
    <t>Isaiah Stewart</t>
  </si>
  <si>
    <t>Kemba Walker</t>
  </si>
  <si>
    <t>Terry Rozier</t>
  </si>
  <si>
    <t>Mikal Bridges</t>
  </si>
  <si>
    <t>Caris LeVert</t>
  </si>
  <si>
    <t>Jamal Murray</t>
  </si>
  <si>
    <t>Mike Conley</t>
  </si>
  <si>
    <t>Ben Simmons</t>
  </si>
  <si>
    <t>Ja Morant</t>
  </si>
  <si>
    <t>Kevin Porter</t>
  </si>
  <si>
    <t>Buddy Hield</t>
  </si>
  <si>
    <t>Bogdan Bogdanovic</t>
  </si>
  <si>
    <t>Marcus Smart</t>
  </si>
  <si>
    <t>Collin Sexton</t>
  </si>
  <si>
    <t>Malcolm Brogdon</t>
  </si>
  <si>
    <t>Norman Powell</t>
  </si>
  <si>
    <t>Kyle Anderson</t>
  </si>
  <si>
    <t>Robert Covington</t>
  </si>
  <si>
    <t>Kelly Olynyk</t>
  </si>
  <si>
    <t>PJ Washington</t>
  </si>
  <si>
    <t>Jalen Green</t>
  </si>
  <si>
    <t>Miles Bridges</t>
  </si>
  <si>
    <t>T.J. Warren</t>
  </si>
  <si>
    <t>Thaddeus Young</t>
  </si>
  <si>
    <t>SF/PF/C</t>
  </si>
  <si>
    <t>Daniel Gafford</t>
  </si>
  <si>
    <t>Matisse Thybulle</t>
  </si>
  <si>
    <t>Jakob Poeltl</t>
  </si>
  <si>
    <t>Jalen Suggs</t>
  </si>
  <si>
    <t>Jae'Sean Tate</t>
  </si>
  <si>
    <t>Jerami Grant</t>
  </si>
  <si>
    <t>Andrew Wiggins</t>
  </si>
  <si>
    <t>Evan Fournier</t>
  </si>
  <si>
    <t>Tyrese Maxey</t>
  </si>
  <si>
    <t>Nickeil Alexander-Walker</t>
  </si>
  <si>
    <t>Bojan Bogdanovic</t>
  </si>
  <si>
    <t>Chris Boucher</t>
  </si>
  <si>
    <t>Nerlens Noel</t>
  </si>
  <si>
    <t>Klay Thompson</t>
  </si>
  <si>
    <t>Harrison Barnes</t>
  </si>
  <si>
    <t>Jarrett Allen</t>
  </si>
  <si>
    <t>Larry Nance Jr.</t>
  </si>
  <si>
    <t>Al Horford</t>
  </si>
  <si>
    <t>Brook Lopez</t>
  </si>
  <si>
    <t>Danny Green</t>
  </si>
  <si>
    <t>R.J. Barrett</t>
  </si>
  <si>
    <t>Mitchell Robinson</t>
  </si>
  <si>
    <t>Saddiq Bey</t>
  </si>
  <si>
    <t>Josh Giddey</t>
  </si>
  <si>
    <t>Will Barton</t>
  </si>
  <si>
    <t>Derrick Favors</t>
  </si>
  <si>
    <t>Devonte' Graham</t>
  </si>
  <si>
    <t>Evan Mobley</t>
  </si>
  <si>
    <t>Joe Ingles</t>
  </si>
  <si>
    <t>SG/SF/PF</t>
  </si>
  <si>
    <t>Dwight Powell</t>
  </si>
  <si>
    <t>Mason Plumlee</t>
  </si>
  <si>
    <t>Spencer Dinwiddie</t>
  </si>
  <si>
    <t>Jaden McDaniels</t>
  </si>
  <si>
    <t>Jordan Clarkson</t>
  </si>
  <si>
    <t>Montrezl Harrell</t>
  </si>
  <si>
    <t>Isaiah Roby</t>
  </si>
  <si>
    <t>Reggie Jackson</t>
  </si>
  <si>
    <t>De'Andre Hunter</t>
  </si>
  <si>
    <t>Jordan Poole</t>
  </si>
  <si>
    <t>Wendell Carter Jr.</t>
  </si>
  <si>
    <t>Malik Beasley</t>
  </si>
  <si>
    <t>Dorian Finney-Smith</t>
  </si>
  <si>
    <t>Dillon Brooks</t>
  </si>
  <si>
    <t>Alperen Sengun</t>
  </si>
  <si>
    <t>Chuma Okeke</t>
  </si>
  <si>
    <t>Tyler Herro</t>
  </si>
  <si>
    <t>Duncan Robinson</t>
  </si>
  <si>
    <t>De'Anthony Melton</t>
  </si>
  <si>
    <t>Patrick Williams</t>
  </si>
  <si>
    <t>Mo Bamba</t>
  </si>
  <si>
    <t>Eric Bledsoe</t>
  </si>
  <si>
    <t>Ivica Zubac</t>
  </si>
  <si>
    <t>Dennis Schroder</t>
  </si>
  <si>
    <t>Tim Hardaway Jr.</t>
  </si>
  <si>
    <t>Keldon Johnson</t>
  </si>
  <si>
    <t>Kyle Kuzma</t>
  </si>
  <si>
    <t>Donte DiVincenzo</t>
  </si>
  <si>
    <t>Joe Harris</t>
  </si>
  <si>
    <t>Killian Hayes</t>
  </si>
  <si>
    <t>Lauri Markkanen</t>
  </si>
  <si>
    <t>Derrick Rose</t>
  </si>
  <si>
    <t>Seth Curry</t>
  </si>
  <si>
    <t>T.J. McConnell</t>
  </si>
  <si>
    <t>Aaron Gordon</t>
  </si>
  <si>
    <t>Kelly Oubre Jr.</t>
  </si>
  <si>
    <t>Bobby Portis</t>
  </si>
  <si>
    <t>Ricky Rubio</t>
  </si>
  <si>
    <t>Jae Crowder</t>
  </si>
  <si>
    <t>Cole Anthony</t>
  </si>
  <si>
    <t>Rui Hachimura</t>
  </si>
  <si>
    <t>LaMarcus Aldridge</t>
  </si>
  <si>
    <t>Victor Oladipo</t>
  </si>
  <si>
    <t>Gary Trent Jr.</t>
  </si>
  <si>
    <t>Monte Morris</t>
  </si>
  <si>
    <t>Serge Ibaka</t>
  </si>
  <si>
    <t>Marcus Morris</t>
  </si>
  <si>
    <t>Luguentz Dort</t>
  </si>
  <si>
    <t>Goran Dragic</t>
  </si>
  <si>
    <t>Markelle Fultz</t>
  </si>
  <si>
    <t>Otto Porter</t>
  </si>
  <si>
    <t>Facundo Campazzo</t>
  </si>
  <si>
    <t>Cameron Payne</t>
  </si>
  <si>
    <t>Chris Duarte</t>
  </si>
  <si>
    <t>Trevor Ariza</t>
  </si>
  <si>
    <t>Desmond Bane</t>
  </si>
  <si>
    <t>Danilo Gallinari</t>
  </si>
  <si>
    <t>Cameron Johnson</t>
  </si>
  <si>
    <t>Josh Richardson</t>
  </si>
  <si>
    <t>Terrence Ross</t>
  </si>
  <si>
    <t>Nicolas Batum</t>
  </si>
  <si>
    <t>Royce O'Neale</t>
  </si>
  <si>
    <t>Josh Hart</t>
  </si>
  <si>
    <t>Scottie Barnes</t>
  </si>
  <si>
    <t>Marvin Bagley III</t>
  </si>
  <si>
    <t>Daniel Theis</t>
  </si>
  <si>
    <t>Brandon Clarke</t>
  </si>
  <si>
    <t>Andre Drummond</t>
  </si>
  <si>
    <t>Steven Adams</t>
  </si>
  <si>
    <t>Thomas Bryant</t>
  </si>
  <si>
    <t>Dwight Howard</t>
  </si>
  <si>
    <t>Talen Horton-Tucker</t>
  </si>
  <si>
    <t>Kevin Huerter</t>
  </si>
  <si>
    <t>JaVale McGee</t>
  </si>
  <si>
    <t>Rudy Gay</t>
  </si>
  <si>
    <t>Justin Holiday</t>
  </si>
  <si>
    <t>Isaac Okoro</t>
  </si>
  <si>
    <t>Cody Zeller</t>
  </si>
  <si>
    <t>Jarred Vanderbilt</t>
  </si>
  <si>
    <t>Terance Mann</t>
  </si>
  <si>
    <t>Xavier Tillman</t>
  </si>
  <si>
    <t>Torrey Craig</t>
  </si>
  <si>
    <t>Aleksej Pokusevski</t>
  </si>
  <si>
    <t>Patrick Beverley</t>
  </si>
  <si>
    <t>Grayson Allen</t>
  </si>
  <si>
    <t>Kenyon Martin Jr.</t>
  </si>
  <si>
    <t>Kentavious Caldwell-Pope</t>
  </si>
  <si>
    <t>Doug McDermott</t>
  </si>
  <si>
    <t>Kent Bazemore</t>
  </si>
  <si>
    <t>Kendrick Nunn</t>
  </si>
  <si>
    <t>Delon Wright</t>
  </si>
  <si>
    <t>Maxi Kleber</t>
  </si>
  <si>
    <t>Coby White</t>
  </si>
  <si>
    <t>Davis Bertans</t>
  </si>
  <si>
    <t>Reggie Bullock</t>
  </si>
  <si>
    <t>Jeremy Lamb</t>
  </si>
  <si>
    <t>Bruce Brown</t>
  </si>
  <si>
    <t>Shake Milton</t>
  </si>
  <si>
    <t>Jalen Brunson</t>
  </si>
  <si>
    <t>Khem Birch</t>
  </si>
  <si>
    <t>Player</t>
  </si>
  <si>
    <t>Positions</t>
  </si>
  <si>
    <t>3PM</t>
  </si>
  <si>
    <t>GP</t>
  </si>
  <si>
    <t>TO</t>
  </si>
  <si>
    <t>SG,SF</t>
  </si>
  <si>
    <t>PG,SG</t>
  </si>
  <si>
    <t>PF OUT</t>
  </si>
  <si>
    <t>PF,C</t>
  </si>
  <si>
    <t>SF,PF</t>
  </si>
  <si>
    <t>UTH</t>
  </si>
  <si>
    <t>SG,SF,PG</t>
  </si>
  <si>
    <t>SF,PF,SG</t>
  </si>
  <si>
    <t>SG,SF OUT</t>
  </si>
  <si>
    <t>PG,SG,SF,PF</t>
  </si>
  <si>
    <t>CJ McCollum</t>
  </si>
  <si>
    <t>SG,SF,PF</t>
  </si>
  <si>
    <t>PF,C OUT</t>
  </si>
  <si>
    <t>Russell Westbrook III</t>
  </si>
  <si>
    <t>PG,SG OUT</t>
  </si>
  <si>
    <t>RJ Barrett</t>
  </si>
  <si>
    <t>SF,PF OUT</t>
  </si>
  <si>
    <t>PF,C DTD</t>
  </si>
  <si>
    <t>PG,SG,SF</t>
  </si>
  <si>
    <t>PG,SG DTD</t>
  </si>
  <si>
    <t>Kevin Porter Jr.</t>
  </si>
  <si>
    <t>OG Anunoby</t>
  </si>
  <si>
    <t>John Wall</t>
  </si>
  <si>
    <t>C DTD</t>
  </si>
  <si>
    <t>Marcus Morris Sr.</t>
  </si>
  <si>
    <t>PF,C,SF</t>
  </si>
  <si>
    <t>Blake Griffin</t>
  </si>
  <si>
    <t>P.J. Washington</t>
  </si>
  <si>
    <t>Eric Gordon</t>
  </si>
  <si>
    <t>C OUT</t>
  </si>
  <si>
    <t>Bobby Portis Jr.</t>
  </si>
  <si>
    <t>James Wiseman</t>
  </si>
  <si>
    <t>Kevin Love</t>
  </si>
  <si>
    <t>FA</t>
  </si>
  <si>
    <t>PF,C FA</t>
  </si>
  <si>
    <t>Alec Burks</t>
  </si>
  <si>
    <t>Otto Porter Jr.</t>
  </si>
  <si>
    <t>Gary Harris</t>
  </si>
  <si>
    <t>Carmelo Anthony</t>
  </si>
  <si>
    <t>SF,SG</t>
  </si>
  <si>
    <t>C,PF</t>
  </si>
  <si>
    <t>Luke Kennard</t>
  </si>
  <si>
    <t>Jeff Green</t>
  </si>
  <si>
    <t>Patty Mills</t>
  </si>
  <si>
    <t>Robert Williams III</t>
  </si>
  <si>
    <t>Cam Reddish</t>
  </si>
  <si>
    <t>Naz Reid</t>
  </si>
  <si>
    <t>SF,PF,C</t>
  </si>
  <si>
    <t>PF,SF</t>
  </si>
  <si>
    <t>Markieff Morris</t>
  </si>
  <si>
    <t>SG,SF,PF OUT</t>
  </si>
  <si>
    <t>Tristan Thompson</t>
  </si>
  <si>
    <t>Hassan Whiteside</t>
  </si>
  <si>
    <t>Bruce Brown Jr.</t>
  </si>
  <si>
    <t>SG,SF FA</t>
  </si>
  <si>
    <t>Jaxson Hayes</t>
  </si>
  <si>
    <t>Paul Millsap</t>
  </si>
  <si>
    <t>Enes Kanter</t>
  </si>
  <si>
    <t>JaMychal Green</t>
  </si>
  <si>
    <t>Tomas Satoransky</t>
  </si>
  <si>
    <t>Dewayne Dedmon</t>
  </si>
  <si>
    <t>Nicolas Claxton</t>
  </si>
  <si>
    <t>Frank Kaminsky III</t>
  </si>
  <si>
    <t>Mike Muscala</t>
  </si>
  <si>
    <t>Moses Brown</t>
  </si>
  <si>
    <t>Kenrich Williams</t>
  </si>
  <si>
    <t>Robin Lopez</t>
  </si>
  <si>
    <t>Alex Len</t>
  </si>
  <si>
    <t>Tony Bradley</t>
  </si>
  <si>
    <t>P.J. Tucker</t>
  </si>
  <si>
    <t>Onyeka Okongwu</t>
  </si>
  <si>
    <t>Willie Cauley-Stein</t>
  </si>
  <si>
    <t>DeAndre Jordan</t>
  </si>
  <si>
    <t>Goga Bitadze</t>
  </si>
  <si>
    <t>Gorgui Dieng</t>
  </si>
  <si>
    <t>Taj Gibson</t>
  </si>
  <si>
    <t>Teams</t>
  </si>
  <si>
    <t>ALL</t>
  </si>
  <si>
    <t>for build</t>
  </si>
  <si>
    <t>SIMILAR PLAYERS</t>
  </si>
  <si>
    <t>https://www.reddit.com/r/fantasybball/comments/71bdq0/how_to_calculate_weighted_zscore_for_fg/</t>
  </si>
  <si>
    <t>Players per roster</t>
  </si>
  <si>
    <t>https://www.fb-ninja.com/SimilarPlayers/</t>
  </si>
  <si>
    <t>Budget</t>
  </si>
  <si>
    <t>Avg</t>
  </si>
  <si>
    <t>zcorr</t>
  </si>
  <si>
    <t>Std</t>
  </si>
  <si>
    <t>BBM Val</t>
  </si>
  <si>
    <t>Calc val</t>
  </si>
  <si>
    <t>$ for build</t>
  </si>
  <si>
    <t>Z bumped</t>
  </si>
  <si>
    <t>Zbuild</t>
  </si>
  <si>
    <t>Available?</t>
  </si>
  <si>
    <t>Mine</t>
  </si>
  <si>
    <t>Playoff sched</t>
  </si>
  <si>
    <t>RNK</t>
  </si>
  <si>
    <t>vPTS</t>
  </si>
  <si>
    <t>v3P</t>
  </si>
  <si>
    <t>vREB</t>
  </si>
  <si>
    <t>vAST</t>
  </si>
  <si>
    <t>vSTL</t>
  </si>
  <si>
    <t>vBLK</t>
  </si>
  <si>
    <t>w FG v</t>
  </si>
  <si>
    <t>w FT v</t>
  </si>
  <si>
    <t>Build value</t>
  </si>
  <si>
    <t>BuildZVal</t>
  </si>
  <si>
    <t>dFG%</t>
  </si>
  <si>
    <t>dFT%</t>
  </si>
  <si>
    <t>Made FG</t>
  </si>
  <si>
    <t>Made FT</t>
  </si>
  <si>
    <t>mFG</t>
  </si>
  <si>
    <t>weighted FG v</t>
  </si>
  <si>
    <t>mFT</t>
  </si>
  <si>
    <t>vWeighted FTv</t>
  </si>
  <si>
    <t>AVERAGE</t>
  </si>
  <si>
    <t>Average auctioned value</t>
  </si>
  <si>
    <t>Expected cost</t>
  </si>
  <si>
    <t>Sacramento Kings</t>
  </si>
  <si>
    <t>Cleveland Cavaliers</t>
  </si>
  <si>
    <t>Denver Nuggets</t>
  </si>
  <si>
    <t>Detroit Pistons</t>
  </si>
  <si>
    <t>Houston Rockets</t>
  </si>
  <si>
    <t>Los Angeles Lakers</t>
  </si>
  <si>
    <t>Utah Jazz</t>
  </si>
  <si>
    <t>Washington Wizards</t>
  </si>
  <si>
    <t>Boston Celtics</t>
  </si>
  <si>
    <t>Charlotte Hornets</t>
  </si>
  <si>
    <t>Dallas Mavericks</t>
  </si>
  <si>
    <t>Golden State Warriors</t>
  </si>
  <si>
    <t>Indiana Pacers</t>
  </si>
  <si>
    <t>Los Angeles Clippers</t>
  </si>
  <si>
    <t>Miami Heat</t>
  </si>
  <si>
    <t>Milwaukee Bucks</t>
  </si>
  <si>
    <t>Oklahoma City Thunder</t>
  </si>
  <si>
    <t>Portland Trail Blazers</t>
  </si>
  <si>
    <t>San Antonio Spurs</t>
  </si>
  <si>
    <t>Toronto Raptors</t>
  </si>
  <si>
    <t>Atlanta Hawks</t>
  </si>
  <si>
    <t>Brooklyn Nets</t>
  </si>
  <si>
    <t>Minnesota Timberwolves</t>
  </si>
  <si>
    <t>New York Knicks</t>
  </si>
  <si>
    <t>Orlando Magic</t>
  </si>
  <si>
    <t>Philadelphia 76ers</t>
  </si>
  <si>
    <t>Phoenix Suns</t>
  </si>
  <si>
    <t>PHX</t>
  </si>
  <si>
    <t>Chicago Bulls</t>
  </si>
  <si>
    <t>Memphis Grizzlies</t>
  </si>
  <si>
    <t>New Orleans Pelicans</t>
  </si>
  <si>
    <t>NOP</t>
  </si>
  <si>
    <t>Projected</t>
  </si>
  <si>
    <t>Total budget</t>
  </si>
  <si>
    <t>Total Z</t>
  </si>
  <si>
    <t>price per Z</t>
  </si>
  <si>
    <t>Players incl in Z</t>
  </si>
  <si>
    <t>CATs</t>
  </si>
  <si>
    <t>Sum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</si>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</sst>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##,##0"/>
    <numFmt numFmtId="165" formatCode="0.0"/>
    <numFmt numFmtId="169" formatCode="_-[$$-409]* #,##0.00_ ;_-[$$-409]* \-#,##0.00\ ;_-[$$-409]* &quot;-&quot;??_ ;_-@_ "/>
  </numFmts>
  <fonts count="1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rgb="FF666666"/>
      <name val="Arial"/>
      <family val="2"/>
    </font>
    <font>
      <b/>
      <sz val="16"/>
      <name val="Calibri"/>
      <family val="2"/>
    </font>
    <font>
      <sz val="11"/>
      <name val="Calibri"/>
    </font>
    <font>
      <b/>
      <sz val="10"/>
      <name val="Arial"/>
      <family val="2"/>
    </font>
    <font>
      <b/>
      <sz val="10"/>
      <name val="Arial"/>
    </font>
    <font>
      <sz val="12"/>
      <color rgb="FF797B7D"/>
      <name val="Helvetica Neue"/>
      <family val="2"/>
    </font>
    <font>
      <u/>
      <sz val="11"/>
      <color rgb="FF151617"/>
      <name val="Helvetica Neue"/>
      <family val="2"/>
    </font>
    <font>
      <sz val="11"/>
      <color theme="0"/>
      <name val="Calibri"/>
      <family val="2"/>
    </font>
    <font>
      <sz val="11"/>
      <color rgb="FF333333"/>
      <name val="Oswald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8FF18"/>
      </patternFill>
    </fill>
    <fill>
      <patternFill patternType="solid">
        <fgColor rgb="FF99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B9D9D"/>
        <bgColor indexed="64"/>
      </patternFill>
    </fill>
    <fill>
      <patternFill patternType="solid">
        <fgColor rgb="FFABE5A8"/>
        <bgColor indexed="64"/>
      </patternFill>
    </fill>
    <fill>
      <patternFill patternType="solid">
        <fgColor rgb="FF079B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DDDDD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DDDDD"/>
      </right>
      <top style="medium">
        <color rgb="FFD3D3D3"/>
      </top>
      <bottom style="medium">
        <color rgb="FFD3D3D3"/>
      </bottom>
      <diagonal/>
    </border>
    <border>
      <left style="medium">
        <color rgb="FFDDDDDD"/>
      </left>
      <right style="medium">
        <color rgb="FFD3D3D3"/>
      </right>
      <top style="medium">
        <color rgb="FFD3D3D3"/>
      </top>
      <bottom style="medium">
        <color rgb="FFDDDDDD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DDDDD"/>
      </bottom>
      <diagonal/>
    </border>
    <border>
      <left style="medium">
        <color rgb="FFD3D3D3"/>
      </left>
      <right style="medium">
        <color rgb="FFDDDDDD"/>
      </right>
      <top style="medium">
        <color rgb="FFD3D3D3"/>
      </top>
      <bottom style="medium">
        <color rgb="FFDDDDDD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6">
    <xf numFmtId="0" fontId="0" fillId="0" borderId="0" xfId="0" applyNumberFormat="1" applyFont="1"/>
    <xf numFmtId="0" fontId="1" fillId="2" borderId="0" xfId="0" applyNumberFormat="1" applyFont="1" applyFill="1"/>
    <xf numFmtId="0" fontId="2" fillId="0" borderId="0" xfId="0" applyNumberFormat="1" applyFont="1"/>
    <xf numFmtId="0" fontId="0" fillId="0" borderId="0" xfId="0" pivotButton="1" applyNumberFormat="1" applyFont="1"/>
    <xf numFmtId="0" fontId="0" fillId="0" borderId="0" xfId="0" applyNumberFormat="1" applyFont="1" applyAlignment="1">
      <alignment horizontal="left"/>
    </xf>
    <xf numFmtId="0" fontId="3" fillId="6" borderId="1" xfId="0" applyNumberFormat="1" applyFont="1" applyFill="1" applyBorder="1" applyAlignment="1">
      <alignment horizontal="center"/>
    </xf>
    <xf numFmtId="0" fontId="4" fillId="0" borderId="0" xfId="0" applyNumberFormat="1" applyFont="1"/>
    <xf numFmtId="0" fontId="5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5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2" fontId="0" fillId="3" borderId="0" xfId="0" applyNumberFormat="1" applyFont="1" applyFill="1" applyAlignment="1">
      <alignment horizontal="center"/>
    </xf>
    <xf numFmtId="2" fontId="0" fillId="4" borderId="0" xfId="0" applyNumberFormat="1" applyFont="1" applyFill="1" applyAlignment="1">
      <alignment horizontal="center"/>
    </xf>
    <xf numFmtId="0" fontId="3" fillId="0" borderId="1" xfId="0" applyFont="1" applyBorder="1"/>
    <xf numFmtId="0" fontId="0" fillId="0" borderId="0" xfId="0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7" borderId="0" xfId="0" applyFill="1"/>
    <xf numFmtId="0" fontId="0" fillId="0" borderId="0" xfId="0" applyAlignment="1">
      <alignment horizontal="center"/>
    </xf>
    <xf numFmtId="0" fontId="9" fillId="0" borderId="0" xfId="0" applyNumberFormat="1" applyFont="1"/>
    <xf numFmtId="0" fontId="10" fillId="0" borderId="0" xfId="0" applyNumberFormat="1" applyFont="1"/>
    <xf numFmtId="2" fontId="1" fillId="0" borderId="0" xfId="0" applyNumberFormat="1" applyFont="1"/>
    <xf numFmtId="0" fontId="11" fillId="8" borderId="0" xfId="0" applyNumberFormat="1" applyFont="1" applyFill="1"/>
    <xf numFmtId="2" fontId="0" fillId="0" borderId="0" xfId="0" applyNumberFormat="1" applyAlignment="1">
      <alignment horizontal="center"/>
    </xf>
    <xf numFmtId="165" fontId="0" fillId="0" borderId="0" xfId="0" applyNumberFormat="1" applyFont="1"/>
    <xf numFmtId="2" fontId="2" fillId="0" borderId="0" xfId="0" applyNumberFormat="1" applyFont="1"/>
    <xf numFmtId="0" fontId="1" fillId="5" borderId="0" xfId="0" applyNumberFormat="1" applyFont="1" applyFill="1"/>
    <xf numFmtId="2" fontId="1" fillId="5" borderId="0" xfId="1" applyNumberFormat="1" applyFont="1" applyFill="1" applyAlignment="1">
      <alignment horizontal="center"/>
    </xf>
    <xf numFmtId="9" fontId="1" fillId="5" borderId="0" xfId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9" borderId="0" xfId="0" applyNumberFormat="1" applyFont="1" applyFill="1"/>
    <xf numFmtId="0" fontId="0" fillId="9" borderId="0" xfId="0" applyNumberFormat="1" applyFont="1" applyFill="1"/>
    <xf numFmtId="0" fontId="1" fillId="9" borderId="0" xfId="0" applyNumberFormat="1" applyFont="1" applyFill="1"/>
    <xf numFmtId="169" fontId="2" fillId="0" borderId="0" xfId="0" applyNumberFormat="1" applyFont="1"/>
    <xf numFmtId="1" fontId="2" fillId="0" borderId="0" xfId="0" applyNumberFormat="1" applyFont="1"/>
    <xf numFmtId="0" fontId="12" fillId="10" borderId="2" xfId="0" applyNumberFormat="1" applyFont="1" applyFill="1" applyBorder="1" applyAlignment="1">
      <alignment vertical="top" wrapText="1"/>
    </xf>
    <xf numFmtId="0" fontId="12" fillId="11" borderId="2" xfId="0" applyNumberFormat="1" applyFont="1" applyFill="1" applyBorder="1" applyAlignment="1">
      <alignment vertical="top" wrapText="1"/>
    </xf>
    <xf numFmtId="0" fontId="12" fillId="12" borderId="2" xfId="0" applyNumberFormat="1" applyFont="1" applyFill="1" applyBorder="1" applyAlignment="1">
      <alignment vertical="top" wrapText="1"/>
    </xf>
    <xf numFmtId="0" fontId="12" fillId="13" borderId="2" xfId="0" applyNumberFormat="1" applyFont="1" applyFill="1" applyBorder="1" applyAlignment="1">
      <alignment vertical="top" wrapText="1"/>
    </xf>
    <xf numFmtId="0" fontId="12" fillId="10" borderId="3" xfId="0" applyNumberFormat="1" applyFont="1" applyFill="1" applyBorder="1" applyAlignment="1">
      <alignment vertical="top" wrapText="1"/>
    </xf>
    <xf numFmtId="0" fontId="12" fillId="12" borderId="4" xfId="0" applyNumberFormat="1" applyFont="1" applyFill="1" applyBorder="1" applyAlignment="1">
      <alignment vertical="top" wrapText="1"/>
    </xf>
    <xf numFmtId="0" fontId="12" fillId="10" borderId="4" xfId="0" applyNumberFormat="1" applyFont="1" applyFill="1" applyBorder="1" applyAlignment="1">
      <alignment vertical="top" wrapText="1"/>
    </xf>
    <xf numFmtId="0" fontId="12" fillId="10" borderId="5" xfId="0" applyNumberFormat="1" applyFont="1" applyFill="1" applyBorder="1" applyAlignment="1">
      <alignment vertical="top" wrapText="1"/>
    </xf>
    <xf numFmtId="0" fontId="12" fillId="11" borderId="6" xfId="0" applyNumberFormat="1" applyFont="1" applyFill="1" applyBorder="1" applyAlignment="1">
      <alignment vertical="top" wrapText="1"/>
    </xf>
    <xf numFmtId="0" fontId="12" fillId="12" borderId="6" xfId="0" applyNumberFormat="1" applyFont="1" applyFill="1" applyBorder="1" applyAlignment="1">
      <alignment vertical="top" wrapText="1"/>
    </xf>
    <xf numFmtId="0" fontId="12" fillId="10" borderId="6" xfId="0" applyNumberFormat="1" applyFont="1" applyFill="1" applyBorder="1" applyAlignment="1">
      <alignment vertical="top" wrapText="1"/>
    </xf>
    <xf numFmtId="0" fontId="12" fillId="12" borderId="7" xfId="0" applyNumberFormat="1" applyFont="1" applyFill="1" applyBorder="1" applyAlignment="1">
      <alignment vertical="top" wrapText="1"/>
    </xf>
    <xf numFmtId="0" fontId="0" fillId="0" borderId="0" xfId="0" applyFill="1"/>
    <xf numFmtId="0" fontId="12" fillId="10" borderId="8" xfId="0" applyNumberFormat="1" applyFont="1" applyFill="1" applyBorder="1" applyAlignment="1">
      <alignment vertical="top" wrapText="1"/>
    </xf>
    <xf numFmtId="0" fontId="2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B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tto Carpentier" refreshedDate="44480.932392129631" createdVersion="7" refreshedVersion="7" minRefreshableVersion="3" recordCount="153" xr:uid="{10417D55-EC26-3C40-8820-9BC24D1E7408}">
  <cacheSource type="worksheet">
    <worksheetSource ref="B5:AN158" sheet="Valorisation"/>
  </cacheSource>
  <cacheFields count="39">
    <cacheField name="NAME" numFmtId="2">
      <sharedItems count="153">
        <s v="Nikola Jokic"/>
        <s v="James Harden"/>
        <s v="Stephen Curry"/>
        <s v="Karl-Anthony Towns"/>
        <s v="Kevin Durant"/>
        <s v="Damian Lillard"/>
        <s v="Joel Embiid"/>
        <s v="Bradley Beal"/>
        <s v="Jayson Tatum"/>
        <s v="Kyrie Irving"/>
        <s v="Giannis Antetokounmpo"/>
        <s v="Paul George"/>
        <s v="Luka Doncic"/>
        <s v="Jimmy Butler"/>
        <s v="Anthony Davis"/>
        <s v="Fred VanVleet"/>
        <s v="Zach LaVine"/>
        <s v="Trae Young"/>
        <s v="Bam Adebayo"/>
        <s v="LaMelo Ball"/>
        <s v="Donovan Mitchell"/>
        <s v="Nikola Vucevic"/>
        <s v="Shai Gilgeous-Alexander"/>
        <s v="Chris Paul"/>
        <s v="Rudy Gobert"/>
        <s v="Domantas Sabonis"/>
        <s v="Zion Williamson"/>
        <s v="O.G. Anunoby"/>
        <s v="Jaylen Brown"/>
        <s v="LeBron James"/>
        <s v="Michael Porter Jr."/>
        <s v="Jaren Jackson Jr."/>
        <s v="Kristaps Porzingis"/>
        <s v="Jrue Holiday"/>
        <s v="Julius Randle"/>
        <s v="Pascal Siakam"/>
        <s v="Lonzo Ball"/>
        <s v="Devin Booker"/>
        <s v="Jusuf Nurkic"/>
        <s v="De'Aaron Fox"/>
        <s v="Khris Middleton"/>
        <s v="Draymond Green"/>
        <s v="Brandon Ingram"/>
        <s v="Deandre Ayton"/>
        <s v="Christian Wood"/>
        <s v="Robert Williams"/>
        <s v="Anthony Edwards"/>
        <s v="Tobias Harris"/>
        <s v="Gordon Hayward"/>
        <s v="Tyrese Haliburton"/>
        <s v="Derrick White"/>
        <s v="Russell Westbrook"/>
        <s v="Richaun Holmes"/>
        <s v="D'Angelo Russell"/>
        <s v="Myles Turner"/>
        <s v="C.J. McCollum"/>
        <s v="Cade Cunningham"/>
        <s v="DeMar DeRozan"/>
        <s v="Darius Garland"/>
        <s v="Jonathan Isaac"/>
        <s v="Kyle Lowry"/>
        <s v="Jonas Valanciunas"/>
        <s v="Dejounte Murray"/>
        <s v="John Collins"/>
        <s v="Kawhi Leonard"/>
        <s v="Clint Capela"/>
        <s v="Isaiah Stewart"/>
        <s v="Kemba Walker"/>
        <s v="Terry Rozier"/>
        <s v="Mikal Bridges"/>
        <s v="Caris LeVert"/>
        <s v="Jamal Murray"/>
        <s v="Mike Conley"/>
        <s v="Ben Simmons"/>
        <s v="Ja Morant"/>
        <s v="Kevin Porter"/>
        <s v="Buddy Hield"/>
        <s v="Bogdan Bogdanovic"/>
        <s v="Marcus Smart"/>
        <s v="Collin Sexton"/>
        <s v="Malcolm Brogdon"/>
        <s v="Norman Powell"/>
        <s v="Kyle Anderson"/>
        <s v="Robert Covington"/>
        <s v="Kelly Olynyk"/>
        <s v="PJ Washington"/>
        <s v="Jalen Green"/>
        <s v="Miles Bridges"/>
        <s v="T.J. Warren"/>
        <s v="Thaddeus Young"/>
        <s v="Daniel Gafford"/>
        <s v="Matisse Thybulle"/>
        <s v="Jakob Poeltl"/>
        <s v="Jalen Suggs"/>
        <s v="Jae'Sean Tate"/>
        <s v="Jerami Grant"/>
        <s v="Andrew Wiggins"/>
        <s v="Evan Fournier"/>
        <s v="Tyrese Maxey"/>
        <s v="Nickeil Alexander-Walker"/>
        <s v="Bojan Bogdanovic"/>
        <s v="Chris Boucher"/>
        <s v="Nerlens Noel"/>
        <s v="Klay Thompson"/>
        <s v="Harrison Barnes"/>
        <s v="Jarrett Allen"/>
        <s v="Larry Nance Jr."/>
        <s v="Al Horford"/>
        <s v="Brook Lopez"/>
        <s v="Danny Green"/>
        <s v="R.J. Barrett"/>
        <s v="Mitchell Robinson"/>
        <s v="Saddiq Bey"/>
        <s v="Josh Giddey"/>
        <s v="Will Barton"/>
        <s v="Derrick Favors"/>
        <s v="Devonte' Graham"/>
        <s v="Evan Mobley"/>
        <s v="Joe Ingles"/>
        <s v="Dwight Powell"/>
        <s v="Mason Plumlee"/>
        <s v="Spencer Dinwiddie"/>
        <s v="Jaden McDaniels"/>
        <s v="Jordan Clarkson"/>
        <s v="Montrezl Harrell"/>
        <s v="Isaiah Roby"/>
        <s v="Reggie Jackson"/>
        <s v="De'Andre Hunter"/>
        <s v="Jordan Poole"/>
        <s v="Wendell Carter Jr."/>
        <s v="Malik Beasley"/>
        <s v="Dorian Finney-Smith"/>
        <s v="Dillon Brooks"/>
        <s v="Alperen Sengun"/>
        <s v="Chuma Okeke"/>
        <s v="Tyler Herro"/>
        <s v="Duncan Robinson"/>
        <s v="De'Anthony Melton"/>
        <s v="Patrick Williams"/>
        <s v="Mo Bamba"/>
        <s v="Eric Bledsoe"/>
        <s v="Ivica Zubac"/>
        <s v="Dennis Schroder"/>
        <s v="Tim Hardaway Jr."/>
        <s v="Keldon Johnson"/>
        <s v="Kyle Kuzma"/>
        <s v="Donte DiVincenzo"/>
        <s v="Joe Harris"/>
        <s v="Killian Hayes"/>
        <s v="Lauri Markkanen"/>
        <s v="Derrick Rose"/>
        <s v="Seth Curry"/>
        <s v="T.J. McConnell"/>
      </sharedItems>
    </cacheField>
    <cacheField name="BBM Val" numFmtId="164">
      <sharedItems containsSemiMixedTypes="0" containsString="0" containsNumber="1" minValue="1" maxValue="67.341720095923691"/>
    </cacheField>
    <cacheField name="Calc val" numFmtId="2">
      <sharedItems containsSemiMixedTypes="0" containsString="0" containsNumber="1" minValue="-7.0867055927877098" maxValue="72.640848265633849"/>
    </cacheField>
    <cacheField name="$ for build" numFmtId="2">
      <sharedItems containsSemiMixedTypes="0" containsString="0" containsNumber="1" minValue="-8.7176978622432433" maxValue="76.771886006845989"/>
    </cacheField>
    <cacheField name="Z bumped" numFmtId="2">
      <sharedItems containsSemiMixedTypes="0" containsString="0" containsNumber="1" minValue="-1.2198483212198625" maxValue="12.50380951326683"/>
    </cacheField>
    <cacheField name="Zbuild" numFmtId="2">
      <sharedItems containsSemiMixedTypes="0" containsString="0" containsNumber="1" minValue="-1.4198483212198632" maxValue="12.50380951326683"/>
    </cacheField>
    <cacheField name="Available?" numFmtId="0">
      <sharedItems containsSemiMixedTypes="0" containsString="0" containsNumber="1" containsInteger="1" minValue="1" maxValue="1"/>
    </cacheField>
    <cacheField name="Mine" numFmtId="0">
      <sharedItems containsSemiMixedTypes="0" containsString="0" containsNumber="1" containsInteger="1" minValue="0" maxValue="1" count="2">
        <n v="0"/>
        <n v="1"/>
      </sharedItems>
    </cacheField>
    <cacheField name="Playoff sched" numFmtId="0">
      <sharedItems containsMixedTypes="1" containsNumber="1" containsInteger="1" minValue="12" maxValue="16"/>
    </cacheField>
    <cacheField name="RNK" numFmtId="0">
      <sharedItems containsSemiMixedTypes="0" containsString="0" containsNumber="1" containsInteger="1" minValue="1" maxValue="153"/>
    </cacheField>
    <cacheField name="NAME2" numFmtId="0">
      <sharedItems/>
    </cacheField>
    <cacheField name="POS" numFmtId="0">
      <sharedItems count="12">
        <s v="C"/>
        <s v="PG/SG"/>
        <s v="PG"/>
        <s v="SF/PF"/>
        <s v="SG"/>
        <s v="PF"/>
        <s v="SG/SF"/>
        <s v="PF/C"/>
        <s v="PG/SF/PF"/>
        <s v="SF"/>
        <s v="SF/PF/C"/>
        <s v="SG/SF/PF"/>
      </sharedItems>
    </cacheField>
    <cacheField name="TEAM" numFmtId="0">
      <sharedItems count="30">
        <s v="DEN"/>
        <s v="BKN"/>
        <s v="GSW"/>
        <s v="MIN"/>
        <s v="POR"/>
        <s v="PHI"/>
        <s v="WAS"/>
        <s v="BOS"/>
        <s v="MIL"/>
        <s v="LAC"/>
        <s v="DAL"/>
        <s v="MIA"/>
        <s v="LAL"/>
        <s v="TOR"/>
        <s v="CHI"/>
        <s v="ATL"/>
        <s v="CHA"/>
        <s v="UTA"/>
        <s v="OKC"/>
        <s v="PHO"/>
        <s v="IND"/>
        <s v="NOR"/>
        <s v="MEM"/>
        <s v="NYK"/>
        <s v="SAC"/>
        <s v="HOU"/>
        <s v="SAS"/>
        <s v="DET"/>
        <s v="CLE"/>
        <s v="ORL"/>
      </sharedItems>
    </cacheField>
    <cacheField name="PTS" numFmtId="2">
      <sharedItems containsSemiMixedTypes="0" containsString="0" containsNumber="1" minValue="4.6049999999999995" maxValue="31.474242424242419" count="153">
        <n v="26.821052631578947"/>
        <n v="25.374459459459459"/>
        <n v="31.462361111111111"/>
        <n v="24.803783783783786"/>
        <n v="25.923731343283581"/>
        <n v="27.821184210526319"/>
        <n v="27.557903225806452"/>
        <n v="31.474242424242419"/>
        <n v="27.752000000000002"/>
        <n v="24.186530612244901"/>
        <n v="27.862361111111113"/>
        <n v="26.182499999999997"/>
        <n v="28.40733333333333"/>
        <n v="20.908437499999998"/>
        <n v="23.060149253731343"/>
        <n v="20.545151515151517"/>
        <n v="26.807826086956517"/>
        <n v="24.267066666666665"/>
        <n v="18.415131578947371"/>
        <n v="18.928108108108106"/>
        <n v="27.516891891891891"/>
        <n v="20.030266666666666"/>
        <n v="25.701884057971014"/>
        <n v="15.910133333333333"/>
        <n v="13.48012987012987"/>
        <n v="19.472602739726028"/>
        <n v="30.384927536231885"/>
        <n v="18.132686567164182"/>
        <n v="24.903380281690136"/>
        <n v="23.904788732394362"/>
        <n v="22.289692307692309"/>
        <n v="20.437058823529412"/>
        <n v="21.387121212121215"/>
        <n v="17.429200000000002"/>
        <n v="22.584736842105265"/>
        <n v="22.176666666666666"/>
        <n v="13.385588235294119"/>
        <n v="26.483289473684209"/>
        <n v="14.994477611940299"/>
        <n v="26.661044776119404"/>
        <n v="20.191168831168827"/>
        <n v="7.027285714285715"/>
        <n v="24.161805555555553"/>
        <n v="15.223896103896104"/>
        <n v="22.227878787878787"/>
        <n v="10.18"/>
        <n v="22.278815789473683"/>
        <n v="19.358441558441559"/>
        <n v="19.298787878787881"/>
        <n v="15.130684931506849"/>
        <n v="19.669444444444441"/>
        <n v="19.719154929577464"/>
        <n v="15.637837837837839"/>
        <n v="19.693636363636365"/>
        <n v="12.679154929577466"/>
        <n v="22.672297297297298"/>
        <n v="16.41644736842105"/>
        <n v="20.987066666666667"/>
        <n v="19.929295774647887"/>
        <n v="11.749032258064515"/>
        <n v="15.698181818181817"/>
        <n v="14.784342105263157"/>
        <n v="17.171066666666665"/>
        <n v="17.579420289855072"/>
        <n v="17.4725"/>
        <n v="14.269868421052632"/>
        <n v="12.051052631578948"/>
        <n v="18.751406249999999"/>
        <n v="18.57298701298701"/>
        <n v="13.77425"/>
        <n v="20.29758064516129"/>
        <n v="18.037499999999998"/>
        <n v="14.529193548387097"/>
        <n v="13.7"/>
        <n v="23.525070422535215"/>
        <n v="19.381014492753621"/>
        <n v="16.878961038961041"/>
        <n v="16.256911764705883"/>
        <n v="12.350000000000001"/>
        <n v="24.467972972972976"/>
        <n v="19.796764705882349"/>
        <n v="17.912000000000003"/>
        <n v="12.001923076923077"/>
        <n v="8.6431578947368415"/>
        <n v="13.678026315789474"/>
        <n v="12.753648648648648"/>
        <n v="17.467432432432435"/>
        <n v="14.516666666666666"/>
        <n v="17.622666666666667"/>
        <n v="12.441216216216215"/>
        <n v="11.093582089552239"/>
        <n v="5.5864000000000003"/>
        <n v="10.188701298701298"/>
        <n v="13.379866666666668"/>
        <n v="12.908441558441561"/>
        <n v="20.010000000000002"/>
        <n v="18.321081081081083"/>
        <n v="15.22763888888889"/>
        <n v="16.764000000000003"/>
        <n v="15.055735294117644"/>
        <n v="18.75407894736842"/>
        <n v="11.962162162162162"/>
        <n v="4.6049999999999995"/>
        <n v="17.701249999999998"/>
        <n v="14.934999999999999"/>
        <n v="12.690897435897435"/>
        <n v="9.4307936507936514"/>
        <n v="10.907187499999999"/>
        <n v="12.944935064935065"/>
        <n v="8.8391999999999999"/>
        <n v="18.334230769230764"/>
        <n v="7.7051428571428575"/>
        <n v="15.166973684210527"/>
        <n v="9.580277777777777"/>
        <n v="15.113880597014923"/>
        <n v="9.009607843137255"/>
        <n v="13.629014084507039"/>
        <n v="11.279054054054054"/>
        <n v="10.730909090909091"/>
        <n v="9.8044285714285699"/>
        <n v="9.7518840579710151"/>
        <n v="19.63478873239437"/>
        <n v="9.9655263157894733"/>
        <n v="16.847012987012988"/>
        <n v="15.704999999999998"/>
        <n v="10.817297297297298"/>
        <n v="14.952933333333334"/>
        <n v="15.777391304347825"/>
        <n v="17.293733333333332"/>
        <n v="12.366197183098592"/>
        <n v="15.848985507246375"/>
        <n v="11.192857142857143"/>
        <n v="17.503552631578948"/>
        <n v="11.187183098591548"/>
        <n v="9.5304166666666674"/>
        <n v="15.624202898550724"/>
        <n v="13.497874999999999"/>
        <n v="9.7188732394366184"/>
        <n v="10.133783783783786"/>
        <n v="9.7120634920634927"/>
        <n v="13.520133333333334"/>
        <n v="10.376625000000001"/>
        <n v="13.827027027027025"/>
        <n v="18.460389610389612"/>
        <n v="16.903116883116883"/>
        <n v="12.802727272727273"/>
        <n v="10.053114754098361"/>
        <n v="11.395063291139241"/>
        <n v="8.4395945945945936"/>
        <n v="14.36681818181818"/>
        <n v="12.844666666666667"/>
        <n v="11.716849315068494"/>
        <n v="6.3631168831168834"/>
      </sharedItems>
    </cacheField>
    <cacheField name="3P" numFmtId="2">
      <sharedItems containsSemiMixedTypes="0" containsString="0" containsNumber="1" minValue="0" maxValue="5.4933333333333332" count="141">
        <n v="1.1289473684210527"/>
        <n v="2.9529729729729732"/>
        <n v="5.4933333333333332"/>
        <n v="2.4886486486486485"/>
        <n v="2.2064179104477613"/>
        <n v="3.8598684210526319"/>
        <n v="1.1251612903225807"/>
        <n v="2.5018181818181819"/>
        <n v="3.0920000000000001"/>
        <n v="2.5183673469387755"/>
        <n v="1.0938888888888889"/>
        <n v="3.2467647058823528"/>
        <n v="3.2225333333333332"/>
        <n v="0.55843750000000003"/>
        <n v="0.89268656716417916"/>
        <n v="3.5696969696969698"/>
        <n v="3.3911594202898554"/>
        <n v="2.3825333333333334"/>
        <n v="0"/>
        <n v="2.1720270270270268"/>
        <n v="3.2322972972972974"/>
        <n v="2.0766666666666667"/>
        <n v="2"/>
        <n v="1.3632"/>
        <n v="0.75876712328767126"/>
        <n v="0.17884057971014491"/>
        <n v="2.6589552238805969"/>
        <n v="2.8053521126760566"/>
        <n v="2.2154929577464793"/>
        <n v="3.2778461538461539"/>
        <n v="2.8694117647058826"/>
        <n v="2.3828787878787878"/>
        <n v="1.738"/>
        <n v="2.1321052631578947"/>
        <n v="1.4564912280701754"/>
        <n v="2.9552941176470591"/>
        <n v="2.12"/>
        <n v="0.34194029850746271"/>
        <n v="1.7317910447761193"/>
        <n v="2.1588311688311688"/>
        <n v="0.56414285714285717"/>
        <n v="2.3802777777777777"/>
        <n v="7.7662337662337669E-2"/>
        <n v="1.9960606060606061"/>
        <n v="2.8480263157894736"/>
        <n v="1.3675324675324676"/>
        <n v="1.8246969696969697"/>
        <n v="2.3087671232876712"/>
        <n v="2.9249999999999998"/>
        <n v="0.9974647887323943"/>
        <n v="2.9965151515151516"/>
        <n v="1.4528169014084509"/>
        <n v="3.2666216216216215"/>
        <n v="2.1082894736842106"/>
        <n v="0.13093333333333335"/>
        <n v="2.1892957746478872"/>
        <n v="0.99887096774193551"/>
        <n v="2.4940909090909091"/>
        <n v="0.34881578947368425"/>
        <n v="0.96919999999999995"/>
        <n v="1.2646376811594204"/>
        <n v="1.4275"/>
        <n v="0.6428947368421053"/>
        <n v="2.8654687499999998"/>
        <n v="2.8481818181818181"/>
        <n v="1.9408750000000001"/>
        <n v="1.772258064516129"/>
        <n v="2.2650000000000001"/>
        <n v="2.354193548387097"/>
        <n v="4.1250000000000002E-2"/>
        <n v="1.6256338028169015"/>
        <n v="2.3078260869565219"/>
        <n v="4.0850649350649348"/>
        <n v="3.0030882352941179"/>
        <n v="2.015671641791045"/>
        <n v="1.6698648648648649"/>
        <n v="2.4588235294117644"/>
        <n v="2.2466666666666666"/>
        <n v="1.3078205128205129"/>
        <n v="1.8790789473684211"/>
        <n v="1.9453947368421052"/>
        <n v="1.7231081081081081"/>
        <n v="2.3828378378378381"/>
        <n v="2.0703846153846155"/>
        <n v="1.1942222222222223"/>
        <n v="0.23513513513513512"/>
        <n v="0.90493333333333337"/>
        <n v="1.3168"/>
        <n v="1.0799999999999998"/>
        <n v="1.7766216216216215"/>
        <n v="1.8693243243243245"/>
        <n v="2.5704166666666666"/>
        <n v="1.2141333333333333"/>
        <n v="2.341176470588235"/>
        <n v="2.4138157894736842"/>
        <n v="1.289054054054054"/>
        <n v="2.816875"/>
        <n v="1.7115789473684213"/>
        <n v="0.10602564102564102"/>
        <n v="1.0826984126984125"/>
        <n v="1.49171875"/>
        <n v="1.4324675324675324"/>
        <n v="2.3136000000000001"/>
        <n v="2.0507692307692307"/>
        <n v="2.8678947368421053"/>
        <n v="1.0379166666666668"/>
        <n v="2.1456716417910449"/>
        <n v="2.8957746478873241"/>
        <n v="0.43635135135135134"/>
        <n v="2.4476623376623374"/>
        <n v="0.13800000000000001"/>
        <n v="2.0871830985915492"/>
        <n v="1.6301315789473685"/>
        <n v="2.6748051948051947"/>
        <n v="0.67878378378378379"/>
        <n v="2.4514666666666667"/>
        <n v="1.7289855072463767"/>
        <n v="2.8054666666666668"/>
        <n v="0.34211267605633799"/>
        <n v="2.9249275362318841"/>
        <n v="2.2597402597402598"/>
        <n v="2.0015789473684209"/>
        <n v="0.30126760563380284"/>
        <n v="1.2295833333333333"/>
        <n v="2.1047826086956518"/>
        <n v="3.6452499999999999"/>
        <n v="1.8723943661971831"/>
        <n v="0.90527027027027018"/>
        <n v="1.0455555555555556"/>
        <n v="1.7910666666666668"/>
        <n v="1.194864864864865"/>
        <n v="3.265974025974026"/>
        <n v="1.107012987012987"/>
        <n v="1.9209090909090909"/>
        <n v="1.7834426229508198"/>
        <n v="2.3665822784810127"/>
        <n v="0.95783783783783782"/>
        <n v="2.627121212121212"/>
        <n v="0.84916666666666674"/>
        <n v="2.2563013698630137"/>
        <n v="0.17155844155844158"/>
      </sharedItems>
    </cacheField>
    <cacheField name="REB" numFmtId="2">
      <sharedItems containsSemiMixedTypes="0" containsString="0" containsNumber="1" minValue="2.2666197183098591" maxValue="14.46671052631579" count="153">
        <n v="10.729078947368421"/>
        <n v="7.7999999999999989"/>
        <n v="5.4719444444444445"/>
        <n v="10.505945945945946"/>
        <n v="7.0125373134328362"/>
        <n v="4.1663157894736846"/>
        <n v="10.63241935483871"/>
        <n v="4.4887878787878783"/>
        <n v="7.5749333333333331"/>
        <n v="4.6748979591836735"/>
        <n v="11.368472222222222"/>
        <n v="6.8722058823529411"/>
        <n v="7.9410666666666669"/>
        <n v="6.9417187499999997"/>
        <n v="7.2929850746268654"/>
        <n v="4.0904545454545449"/>
        <n v="5.0079710144927541"/>
        <n v="3.8250666666666664"/>
        <n v="9.1630263157894731"/>
        <n v="6.587567567567568"/>
        <n v="4.7685135135135139"/>
        <n v="12.090533333333333"/>
        <n v="5.3040579710144931"/>
        <n v="4.4117333333333333"/>
        <n v="14.075974025974025"/>
        <n v="11.017397260273972"/>
        <n v="7.511884057971014"/>
        <n v="5.7443283582089553"/>
        <n v="6.1861971830985922"/>
        <n v="6.8722535211267601"/>
        <n v="7.8952307692307704"/>
        <n v="6.3860294117647056"/>
        <n v="9.4266666666666659"/>
        <n v="4.4373333333333331"/>
        <n v="10.019342105263158"/>
        <n v="7.0447368421052632"/>
        <n v="5.3655882352941182"/>
        <n v="4.1373684210526314"/>
        <n v="11.471940298507462"/>
        <n v="3.4956716417910445"/>
        <n v="5.9345454545454555"/>
        <n v="6.7851428571428567"/>
        <n v="5.0575000000000001"/>
        <n v="11.088051948051948"/>
        <n v="9.5446969696969699"/>
        <n v="8.995303030303031"/>
        <n v="5.2572368421052627"/>
        <n v="6.8049350649350648"/>
        <n v="6.0209090909090905"/>
        <n v="3.0153424657534247"/>
        <n v="3.5686111111111112"/>
        <n v="9.4456338028169036"/>
        <n v="8.7337837837837835"/>
        <n v="3.1865151515151515"/>
        <n v="6.7185915492957751"/>
        <n v="4.166216216216216"/>
        <n v="5.8667105263157895"/>
        <n v="4.1494666666666662"/>
        <n v="2.2666197183098591"/>
        <n v="6.544999999999999"/>
        <n v="4.834696969696969"/>
        <n v="12.1275"/>
        <n v="7.1520000000000001"/>
        <n v="7.75"/>
        <n v="4.8024999999999993"/>
        <n v="14.46671052631579"/>
        <n v="9.1228947368421061"/>
        <n v="3.6960937500000002"/>
        <n v="4.4624675324675325"/>
        <n v="3.9476249999999999"/>
        <n v="4.3766129032258068"/>
        <n v="3.4649999999999999"/>
        <n v="3.3277419354838709"/>
        <n v="7.1525000000000007"/>
        <n v="4.4504225352112678"/>
        <n v="4.3044927536231885"/>
        <n v="4.6283116883116886"/>
        <n v="3.6811764705882353"/>
        <n v="3.7495522388059701"/>
        <n v="3.2812162162162162"/>
        <n v="5.4161764705882351"/>
        <n v="3.8380000000000005"/>
        <n v="5.6478205128205134"/>
        <n v="6.733289473684211"/>
        <n v="6.1875"/>
        <n v="6.25"/>
        <n v="4.6028378378378374"/>
        <n v="6.264615384615384"/>
        <n v="3.9768888888888885"/>
        <n v="6.8932432432432433"/>
        <n v="6.9934328358208964"/>
        <n v="2.6806666666666668"/>
        <n v="8.8375324675324674"/>
        <n v="5.8649333333333331"/>
        <n v="5.5877922077922078"/>
        <n v="4.1937837837837844"/>
        <n v="4.8860810810810813"/>
        <n v="3.0393055555555555"/>
        <n v="3.6165333333333334"/>
        <n v="4.4624999999999995"/>
        <n v="4.1480263157894735"/>
        <n v="6.4849999999999994"/>
        <n v="6.2079729729729731"/>
        <n v="3.1115625000000002"/>
        <n v="6.2135526315789473"/>
        <n v="10.187435897435897"/>
        <n v="6.0788888888888888"/>
        <n v="6.7165625000000002"/>
        <n v="4.8554545454545455"/>
        <n v="3.8295999999999997"/>
        <n v="6.5474358974358973"/>
        <n v="7.6711428571428577"/>
        <n v="5.4313157894736834"/>
        <n v="6.785972222222223"/>
        <n v="4.3559701492537313"/>
        <n v="8.870392156862744"/>
        <n v="2.8481690140845068"/>
        <n v="6.9479729729729724"/>
        <n v="3.6146753246753245"/>
        <n v="6.4702857142857138"/>
        <n v="9.1"/>
        <n v="4.0425352112676052"/>
        <n v="5.4718421052631578"/>
        <n v="3.8122077922077917"/>
        <n v="7.2734285714285711"/>
        <n v="6.4935135135135136"/>
        <n v="3.9001333333333341"/>
        <n v="5.0666666666666673"/>
        <n v="2.4913333333333338"/>
        <n v="8.8930985915492951"/>
        <n v="4.1243478260869573"/>
        <n v="5.7233766233766241"/>
        <n v="2.9269736842105263"/>
        <n v="6.3666197183098587"/>
        <n v="4.5815277777777776"/>
        <n v="4.6182608695652174"/>
        <n v="3.2911250000000001"/>
        <n v="3.3346478873239436"/>
        <n v="5.2520270270270268"/>
        <n v="7.6755555555555564"/>
        <n v="3.4030666666666667"/>
        <n v="8.0952500000000001"/>
        <n v="3.0510810810810809"/>
        <n v="3.6002597402597405"/>
        <n v="6.4640259740259731"/>
        <n v="5.9412987012987015"/>
        <n v="5.8022950819672126"/>
        <n v="3.6812658227848098"/>
        <n v="3.1198648648648648"/>
        <n v="5.6583333333333332"/>
        <n v="2.5765000000000002"/>
        <n v="2.7143835616438352"/>
        <n v="2.9163636363636365"/>
      </sharedItems>
    </cacheField>
    <cacheField name="AST" numFmtId="2">
      <sharedItems containsSemiMixedTypes="0" containsString="0" containsNumber="1" minValue="0.57799999999999996" maxValue="10.5" count="153">
        <n v="7.7136842105263161"/>
        <n v="10.5"/>
        <n v="5.9095833333333339"/>
        <n v="4.9612162162162159"/>
        <n v="4.7458208955223888"/>
        <n v="7.4235526315789482"/>
        <n v="2.8701612903225806"/>
        <n v="5.6700000000000008"/>
        <n v="4.6965333333333339"/>
        <n v="5.1000000000000005"/>
        <n v="5.8630555555555555"/>
        <n v="5.4697058823529412"/>
        <n v="8.8712"/>
        <n v="6.5251562500000002"/>
        <n v="2.8050746268656717"/>
        <n v="6.2872727272727271"/>
        <n v="4.1978260869565212"/>
        <n v="9.35"/>
        <n v="4.6509210526315794"/>
        <n v="6.8"/>
        <n v="5.418783783783784"/>
        <n v="3.5770666666666662"/>
        <n v="5.3040579710144931"/>
        <n v="8.6316000000000006"/>
        <n v="1.291948051948052"/>
        <n v="6.0810958904109595"/>
        <n v="4.6856521739130432"/>
        <n v="2.4302985074626866"/>
        <n v="3.0930985915492961"/>
        <n v="7.0826760563380287"/>
        <n v="1.6335384615384616"/>
        <n v="1.3304411764705881"/>
        <n v="1.8180303030303029"/>
        <n v="6.032"/>
        <n v="4.9348684210526317"/>
        <n v="4.4692982456140351"/>
        <n v="6.224117647058824"/>
        <n v="4.2776315789473687"/>
        <n v="4.0273134328358209"/>
        <n v="7.437462686567164"/>
        <n v="5.1480519480519478"/>
        <n v="8.6477142857142866"/>
        <n v="4.9830555555555556"/>
        <n v="1.5840259740259741"/>
        <n v="1.7853030303030302"/>
        <n v="2.2093939393939395"/>
        <n v="4.055657894736842"/>
        <n v="3.4718181818181817"/>
        <n v="4.1792424242424238"/>
        <n v="5.8204109589041098"/>
        <n v="5.5213888888888896"/>
        <n v="7.14"/>
        <n v="1.7212162162162163"/>
        <n v="7.5769696969696971"/>
        <n v="0.97845070422535207"/>
        <n v="4.9994594594594588"/>
        <n v="4.8667105263157895"/>
        <n v="5.6517333333333335"/>
        <n v="6.5166197183098591"/>
        <n v="1.3090322580645162"/>
        <n v="6.8599999999999994"/>
        <n v="1.8375000000000001"/>
        <n v="5.6938666666666666"/>
        <n v="1.124927536231884"/>
        <n v="3.6625000000000001"/>
        <n v="0.7103947368421053"/>
        <n v="1.2082894736842105"/>
        <n v="5.0743749999999999"/>
        <n v="4.4624675324675325"/>
        <n v="1.973875"/>
        <n v="4.915322580645161"/>
        <n v="4.2699999999999996"/>
        <n v="5.9775806451612903"/>
        <n v="7.1524999999999999"/>
        <n v="7.8794366197183106"/>
        <n v="8.02536231884058"/>
        <n v="3.4361038961038961"/>
        <n v="3.6811764705882353"/>
        <n v="6.0410447761194028"/>
        <n v="3.5729729729729724"/>
        <n v="5.2772058823529413"/>
        <n v="1.8853333333333333"/>
        <n v="3.5448717948717947"/>
        <n v="1.4139473684210526"/>
        <n v="2.4750000000000001"/>
        <n v="2.125"/>
        <n v="3.6822972972972976"/>
        <n v="2.3896153846153845"/>
        <n v="1.3886666666666667"/>
        <n v="3.7748648648648646"/>
        <n v="0.75462686567164183"/>
        <n v="1.2036"/>
        <n v="2.0831168831168831"/>
        <n v="4.9088000000000003"/>
        <n v="3.2594805194805194"/>
        <n v="2.1312162162162163"/>
        <n v="2.4783783783783786"/>
        <n v="3.1040277777777781"/>
        <n v="4.567733333333333"/>
        <n v="2.756176470588235"/>
        <n v="2.04"/>
        <n v="0.96797297297297291"/>
        <n v="0.77594594594594601"/>
        <n v="1.99125"/>
        <n v="3.3235526315789472"/>
        <n v="1.625"/>
        <n v="2.6133333333333333"/>
        <n v="3.2993749999999999"/>
        <n v="0.70194805194805188"/>
        <n v="1.6496"/>
        <n v="3.0555128205128206"/>
        <n v="0.57799999999999996"/>
        <n v="1.7186842105263158"/>
        <n v="5.9691666666666663"/>
        <n v="3.7434328358208955"/>
        <n v="0.7972549019607843"/>
        <n v="6.0353521126760565"/>
        <n v="2.5979729729729728"/>
        <n v="4.6474025974025981"/>
        <n v="1.7885714285714287"/>
        <n v="3.3042028985507246"/>
        <n v="7.5074647887323938"/>
        <n v="2.06"/>
        <n v="2.4862337662337661"/>
        <n v="1.2578571428571428"/>
        <n v="2.1644594594594593"/>
        <n v="4.4756"/>
        <n v="1.8"/>
        <n v="2.8969333333333336"/>
        <n v="1.9507042253521127"/>
        <n v="2.2617391304347825"/>
        <n v="1.8853246753246751"/>
        <n v="2.1951315789473687"/>
        <n v="2.1715492957746481"/>
        <n v="2.3205555555555559"/>
        <n v="3.0788405797101448"/>
        <n v="1.7721250000000002"/>
        <n v="2.7939436619718312"/>
        <n v="1.414054054054054"/>
        <n v="1.1155555555555556"/>
        <n v="4.7644000000000002"/>
        <n v="1.4437500000000001"/>
        <n v="4.51554054054054"/>
        <n v="2.0136363636363637"/>
        <n v="2.2219480519480519"/>
        <n v="2.2662337662337664"/>
        <n v="2.929344262295082"/>
        <n v="2.002025316455696"/>
        <n v="6.041621621621621"/>
        <n v="1.05"/>
        <n v="3.8901666666666666"/>
        <n v="2.7143835616438357"/>
        <n v="5.0815584415584416"/>
      </sharedItems>
    </cacheField>
    <cacheField name="STL" numFmtId="2">
      <sharedItems containsSemiMixedTypes="0" containsString="0" containsNumber="1" minValue="0.360875" maxValue="2.0789333333333331" count="153">
        <n v="1.1921052631578946"/>
        <n v="1.2749999999999999"/>
        <n v="1.2402777777777778"/>
        <n v="0.72959459459459464"/>
        <n v="0.70835820895522394"/>
        <n v="0.90894736842105261"/>
        <n v="0.91322580645161289"/>
        <n v="1.1812121212121212"/>
        <n v="1.212"/>
        <n v="1.3459183673469388"/>
        <n v="1.1440277777777779"/>
        <n v="1.1920588235294118"/>
        <n v="1.0730666666666666"/>
        <n v="1.8048437500000001"/>
        <n v="1.3323880597014925"/>
        <n v="1.7422727272727272"/>
        <n v="0.95739130434782616"/>
        <n v="0.92080000000000006"/>
        <n v="1.2494736842105263"/>
        <n v="1.8416216216216217"/>
        <n v="1.0114864864864863"/>
        <n v="0.85853333333333337"/>
        <n v="0.95768115942028986"/>
        <n v="1.3426666666666667"/>
        <n v="0.67999999999999994"/>
        <n v="1.0016438356164383"/>
        <n v="0.96681159420289842"/>
        <n v="1.6201492537313433"/>
        <n v="1.1783098591549295"/>
        <n v="1.0518309859154931"/>
        <n v="0.61261538461538467"/>
        <n v="0.93132352941176466"/>
        <n v="0.53863636363636358"/>
        <n v="1.5253333333333334"/>
        <n v="0.97197368421052632"/>
        <n v="1.2119298245614034"/>
        <n v="1.5739705882352941"/>
        <n v="0.77131578947368418"/>
        <n v="1.159402985074627"/>
        <n v="1.4874626865671641"/>
        <n v="1.0724675324675323"/>
        <n v="1.663"/>
        <n v="0.74374999999999991"/>
        <n v="0.79194805194805196"/>
        <n v="0.82393939393939397"/>
        <n v="1.1046969696969697"/>
        <n v="1.3518421052631577"/>
        <n v="0.90272727272727282"/>
        <n v="1.1333333333333333"/>
        <n v="1.4726027397260273"/>
        <n v="0.80805555555555553"/>
        <n v="1.4130985915492957"/>
        <n v="0.63756756756756761"/>
        <n v="1.2037878787878789"/>
        <n v="0.78281690140845073"/>
        <n v="0.83324324324324317"/>
        <n v="1.2667105263157894"/>
        <n v="1.0016"/>
        <n v="1.2749295774647886"/>
        <n v="1.3685483870967741"/>
        <n v="0.98000000000000009"/>
        <n v="0.55118421052631583"/>
        <n v="1.5275999999999998"/>
        <n v="0.62507246376811598"/>
        <n v="1.0900000000000001"/>
        <n v="0.7103947368421053"/>
        <n v="0.78539473684210526"/>
        <n v="0.93968750000000001"/>
        <n v="1.1333766233766234"/>
        <n v="1.225125"/>
        <n v="1.3466129032258063"/>
        <n v="1.1125"/>
        <n v="1.3558064516129034"/>
        <n v="1.66625"/>
        <n v="0.87549295774647884"/>
        <n v="1.021449275362319"/>
        <n v="0.91168831168831177"/>
        <n v="1.1624999999999999"/>
        <n v="1.5276119402985073"/>
        <n v="1.0937837837837838"/>
        <n v="0.625"/>
        <n v="1.1446666666666665"/>
        <n v="1.2617948717948717"/>
        <n v="1.4139473684210526"/>
        <n v="1.0125"/>
        <n v="1.125"/>
        <n v="1.3454054054054054"/>
        <n v="0.64589743589743598"/>
        <n v="1.1362222222222222"/>
        <n v="1.2036486486486486"/>
        <n v="0.70432835820895523"/>
        <n v="2.0789333333333331"/>
        <n v="0.7575324675324675"/>
        <n v="1.4025333333333334"/>
        <n v="1.3968831168831168"/>
        <n v="0.61878378378378374"/>
        <n v="0.99135135135135133"/>
        <n v="1.0993055555555555"/>
        <n v="0.81666666666666665"/>
        <n v="1.3780882352941175"/>
        <n v="0.74802631578947365"/>
        <n v="0.53229729729729736"/>
        <n v="1.067027027027027"/>
        <n v="0.87124999999999997"/>
        <n v="0.65026315789473688"/>
        <n v="0.5"/>
        <n v="1.4203174603174604"/>
        <n v="0.70703125"/>
        <n v="0.58493506493506497"/>
        <n v="1.3550666666666666"/>
        <n v="0.80025641025641026"/>
        <n v="0.99828571428571422"/>
        <n v="0.89368421052631586"/>
        <n v="1.0681944444444444"/>
        <n v="0.95283582089552243"/>
        <n v="0.6976470588235294"/>
        <n v="0.81380281690140843"/>
        <n v="0.78540540540540538"/>
        <n v="0.80324675324675332"/>
        <n v="0.89428571428571435"/>
        <n v="0.65"/>
        <n v="0.57746478873239437"/>
        <n v="0.83684210526315794"/>
        <n v="0.88402597402597394"/>
        <n v="0.76557142857142857"/>
        <n v="1.0529729729729731"/>
        <n v="0.76719999999999999"/>
        <n v="0.73333333333333339"/>
        <n v="0.69520000000000004"/>
        <n v="0.74591549295774651"/>
        <n v="0.79826086956521736"/>
        <n v="0.80805194805194802"/>
        <n v="1.1307894736842106"/>
        <n v="0.78971830985915492"/>
        <n v="1.2494444444444444"/>
        <n v="0.65130434782608693"/>
        <n v="0.63287500000000008"/>
        <n v="1.2616901408450705"/>
        <n v="1.1447297297297296"/>
        <n v="0.44619047619047619"/>
        <n v="0.99"/>
        <n v="0.360875"/>
        <n v="0.79324324324324325"/>
        <n v="0.42714285714285716"/>
        <n v="0.60597402597402594"/>
        <n v="0.55129870129870129"/>
        <n v="0.9577049180327869"/>
        <n v="0.71037974683544303"/>
        <n v="1.1877027027027027"/>
        <n v="0.58333333333333337"/>
        <n v="0.85883333333333334"/>
        <n v="0.75753424657534241"/>
        <n v="1.1488311688311688"/>
      </sharedItems>
    </cacheField>
    <cacheField name="BLK" numFmtId="2">
      <sharedItems containsSemiMixedTypes="0" containsString="0" containsNumber="1" minValue="6.3150684931506856E-2" maxValue="2.8701408450704227" count="153">
        <n v="0.63118421052631579"/>
        <n v="0.82499999999999996"/>
        <n v="0.14597222222222223"/>
        <n v="1.2402702702702704"/>
        <n v="1.204179104477612"/>
        <n v="0.22723684210526315"/>
        <n v="1.3698387096774194"/>
        <n v="0.315"/>
        <n v="0.53026666666666666"/>
        <n v="0.63755102040816325"/>
        <n v="1.2155555555555555"/>
        <n v="0.42073529411764704"/>
        <n v="0.50080000000000002"/>
        <n v="0.34703125000000001"/>
        <n v="2.1037313432835818"/>
        <n v="0.68181818181818177"/>
        <n v="0.44188405797101449"/>
        <n v="0.14173333333333335"/>
        <n v="1.110657894736842"/>
        <n v="0.42499999999999999"/>
        <n v="0.21675675675675674"/>
        <n v="0.71546666666666658"/>
        <n v="0.66304347826086951"/>
        <n v="0.25573333333333331"/>
        <n v="2.7199999999999998"/>
        <n v="0.57232876712328773"/>
        <n v="0.59507246376811596"/>
        <n v="0.73641791044776128"/>
        <n v="0.51549295774647885"/>
        <n v="0.56098591549295773"/>
        <n v="0.8167692307692308"/>
        <n v="1.9291176470588236"/>
        <n v="1.4813636363636362"/>
        <n v="0.624"/>
        <n v="0.29907894736842106"/>
        <n v="0.75754385964912285"/>
        <n v="0.64382352941176468"/>
        <n v="0.21039473684210527"/>
        <n v="1.3423880597014926"/>
        <n v="0.44626865671641791"/>
        <n v="0.142987012987013"/>
        <n v="0.86471428571428577"/>
        <n v="0.44625000000000004"/>
        <n v="1.32"/>
        <n v="1.1672727272727275"/>
        <n v="2.104242424242424"/>
        <n v="0.52578947368421058"/>
        <n v="0.83324675324675324"/>
        <n v="0.35424242424242425"/>
        <n v="0.49082191780821915"/>
        <n v="1.077361111111111"/>
        <n v="0.2974647887323944"/>
        <n v="1.53"/>
        <n v="0.49575757575757573"/>
        <n v="2.8701408450704227"/>
        <n v="0.53027027027027029"/>
        <n v="0.73328947368421049"/>
        <n v="0.21466666666666667"/>
        <n v="7.0845070422535211E-2"/>
        <n v="2.0230645161290322"/>
        <n v="0.26136363636363635"/>
        <n v="0.98000000000000009"/>
        <n v="0.13893333333333333"/>
        <n v="1.0624637681159421"/>
        <n v="0.29749999999999999"/>
        <n v="2.0021052631578948"/>
        <n v="1.8125"/>
        <n v="0.31328125000000001"/>
        <n v="0.35415584415584417"/>
        <n v="0.81675000000000009"/>
        <n v="0.53870967741935483"/>
        <n v="0.2475"/>
        <n v="0.18483870967741936"/>
        <n v="0.48625000000000002"/>
        <n v="0.21887323943661971"/>
        <n v="0.43768115942028984"/>
        <n v="0.42077922077922075"/>
        <n v="0.32294117647058823"/>
        <n v="0.48611940298507461"/>
        <n v="0.14581081081081079"/>
        <n v="0.27779411764705886"/>
        <n v="0.33666666666666667"/>
        <n v="0.96128205128205135"/>
        <n v="1.1446052631578947"/>
        <n v="0.50618421052631579"/>
        <n v="1.125"/>
        <n v="0.14162162162162162"/>
        <n v="0.77500000000000002"/>
        <n v="0.44177777777777777"/>
        <n v="0.71121621621621622"/>
        <n v="2.2640298507462688"/>
        <n v="1.4224000000000001"/>
        <n v="1.9568831168831169"/>
        <n v="0.31880000000000003"/>
        <n v="0.53220779220779213"/>
        <n v="1.0312162162162162"/>
        <n v="0.84972972972972971"/>
        <n v="0.45263888888888892"/>
        <n v="0.52560000000000007"/>
        <n v="0.65617647058823525"/>
        <n v="6.8026315789473685E-2"/>
        <n v="1.6939189189189188"/>
        <n v="2.0855405405405407"/>
        <n v="0.49781249999999999"/>
        <n v="0.21671052631578946"/>
        <n v="1.4374358974358974"/>
        <n v="0.39761904761904765"/>
        <n v="0.88375000000000004"/>
        <n v="1.5210389610389612"/>
        <n v="0.82479999999999998"/>
        <n v="0.29102564102564099"/>
        <n v="1.6288571428571428"/>
        <n v="0.27499999999999997"/>
        <n v="0.43986111111111115"/>
        <n v="0.40835820895522384"/>
        <n v="1.196078431372549"/>
        <n v="0.13563380281690143"/>
        <n v="1.5104054054054052"/>
        <n v="0.17207792207792208"/>
        <n v="0.84171428571428575"/>
        <n v="0.92086956521739127"/>
        <n v="0.28873239436619719"/>
        <n v="1.1586842105263158"/>
        <n v="0.11051948051948052"/>
        <n v="0.875"/>
        <n v="0.64351351351351349"/>
        <n v="0.12786666666666666"/>
        <n v="0.4"/>
        <n v="0.23173333333333332"/>
        <n v="0.86056338028169022"/>
        <n v="0.19956521739130434"/>
        <n v="0.40402597402597401"/>
        <n v="0.39907894736842103"/>
        <n v="0.98704225352112673"/>
        <n v="0.77347222222222223"/>
        <n v="0.35521739130434787"/>
        <n v="0.3165"/>
        <n v="0.49563380281690139"/>
        <n v="0.74067567567567572"/>
        <n v="1.8296825396825396"/>
        <n v="0.30933333333333335"/>
        <n v="0.97962500000000008"/>
        <n v="0.18310810810810813"/>
        <n v="0.12207792207792208"/>
        <n v="0.33662337662337666"/>
        <n v="0.55129870129870129"/>
        <n v="0.22540983606557377"/>
        <n v="0.19379746835443037"/>
        <n v="0.38310810810810814"/>
        <n v="0.35000000000000003"/>
        <n v="0.35366666666666663"/>
        <n v="6.3150684931506856E-2"/>
        <n v="0.22090909090909092"/>
      </sharedItems>
    </cacheField>
    <cacheField name="FG%" numFmtId="2">
      <sharedItems containsSemiMixedTypes="0" containsString="0" containsNumber="1" minValue="0.3902678156767635" maxValue="0.72299128751210073" count="153">
        <n v="0.56402768449026075"/>
        <n v="0.46559225065258064"/>
        <n v="0.46887219592508739"/>
        <n v="0.50213571149132541"/>
        <n v="0.53846018771346038"/>
        <n v="0.45991432703819302"/>
        <n v="0.50390117035110538"/>
        <n v="0.47584982406301451"/>
        <n v="0.46078024616854618"/>
        <n v="0.50097161108753441"/>
        <n v="0.57533038960228422"/>
        <n v="0.45674081538894734"/>
        <n v="0.47186089558294031"/>
        <n v="0.47837849824810397"/>
        <n v="0.50373799451938162"/>
        <n v="0.39914810779918913"/>
        <n v="0.4959481603974768"/>
        <n v="0.44275504269841759"/>
        <n v="0.56399536647009274"/>
        <n v="0.44635033917467493"/>
        <n v="0.44466964716309743"/>
        <n v="0.4683697743836841"/>
        <n v="0.49390379989584798"/>
        <n v="0.4976864925924317"/>
        <n v="0.68799454297407914"/>
        <n v="0.53317887198537084"/>
        <n v="0.61933993145145771"/>
        <n v="0.4778620417479974"/>
        <n v="0.48132218121204895"/>
        <n v="0.50731966783633164"/>
        <n v="0.52400047175374465"/>
        <n v="0.46209246869599641"/>
        <n v="0.46495490487887969"/>
        <n v="0.49967144679370723"/>
        <n v="0.45215589892854763"/>
        <n v="0.45781881707012728"/>
        <n v="0.4166987846553098"/>
        <n v="0.48567693339384538"/>
        <n v="0.50971831356355701"/>
        <n v="0.47935960517905185"/>
        <n v="0.47382674433826416"/>
        <n v="0.45208222747671667"/>
        <n v="0.46267329986853112"/>
        <n v="0.61942712368864461"/>
        <n v="0.52151318081523634"/>
        <n v="0.72299128751210073"/>
        <n v="0.44671572026032702"/>
        <n v="0.49612343789849533"/>
        <n v="0.48705668763890192"/>
        <n v="0.47973523535255441"/>
        <n v="0.42582999654654241"/>
        <n v="0.45910577045560702"/>
        <n v="0.63999735029146798"/>
        <n v="0.43012668250197944"/>
        <n v="0.47822016880312851"/>
        <n v="0.45805226133556753"/>
        <n v="0.41732040151114919"/>
        <n v="0.4983118297964293"/>
        <n v="0.46471587059993136"/>
        <n v="0.46181735040501698"/>
        <n v="0.43627438348751518"/>
        <n v="0.59237085621313801"/>
        <n v="0.45204842514939131"/>
        <n v="0.56153136313087093"/>
        <n v="0.50020136931131687"/>
        <n v="0.59200202480384712"/>
        <n v="0.55095251592499217"/>
        <n v="0.42469331392237042"/>
        <n v="0.4282516951182247"/>
        <n v="0.53166329752797703"/>
        <n v="0.44445911409952937"/>
        <n v="0.47135325131810196"/>
        <n v="0.4364054016427677"/>
        <n v="0.56736663623320738"/>
        <n v="0.4611049307986782"/>
        <n v="0.43691446310771098"/>
        <n v="0.42478000902527074"/>
        <n v="0.45137958746316631"/>
        <n v="0.39706776168522179"/>
        <n v="0.4714354506851115"/>
        <n v="0.44261868437584134"/>
        <n v="0.47209168701647825"/>
        <n v="0.46499204998744731"/>
        <n v="0.41983028137561412"/>
        <n v="0.48009090667446369"/>
        <n v="0.45301992332348689"/>
        <n v="0.42298635245506999"/>
        <n v="0.4856725829051845"/>
        <n v="0.53659144123947589"/>
        <n v="0.55164551808373485"/>
        <n v="0.69299406663623919"/>
        <n v="0.4418286999839306"/>
        <n v="0.62400715563506259"/>
        <n v="0.43681446365495441"/>
        <n v="0.50126700108600097"/>
        <n v="0.45605514372096712"/>
        <n v="0.47715482101830581"/>
        <n v="0.45978451515910806"/>
        <n v="0.47228205747404012"/>
        <n v="0.41343619620773175"/>
        <n v="0.4522742074016744"/>
        <n v="0.50189647658860181"/>
        <n v="0.64597752808988762"/>
        <n v="0.46159912013115029"/>
        <n v="0.48585782466716909"/>
        <n v="0.61364382302743858"/>
        <n v="0.50129039138317155"/>
        <n v="0.45283018867924524"/>
        <n v="0.49148099606815204"/>
        <n v="0.41613126962108493"/>
        <n v="0.44222951162912427"/>
        <n v="0.71501182033096933"/>
        <n v="0.41205715102786061"/>
        <n v="0.41585000154573848"/>
        <n v="0.43180578933643105"/>
        <n v="0.62298563397876328"/>
        <n v="0.3902678156767635"/>
        <n v="0.49399247358955378"/>
        <n v="0.47610538139487396"/>
        <n v="0.65173058693925656"/>
        <n v="0.62700089928057545"/>
        <n v="0.41577995621966307"/>
        <n v="0.45873599869184867"/>
        <n v="0.42768410108042121"/>
        <n v="0.62400057728387937"/>
        <n v="0.50003253513794899"/>
        <n v="0.43061333101628091"/>
        <n v="0.47125847224766437"/>
        <n v="0.43727470826629733"/>
        <n v="0.5038280374978904"/>
        <n v="0.43642978519454489"/>
        <n v="0.47348586011454347"/>
        <n v="0.42366527601426929"/>
        <n v="0.51882564248904706"/>
        <n v="0.43120140703847992"/>
        <n v="0.44618856738639806"/>
        <n v="0.44934208902165057"/>
        <n v="0.41918255194916715"/>
        <n v="0.4865024922272122"/>
        <n v="0.47036236131040204"/>
        <n v="0.42958218604094345"/>
        <n v="0.65300097751710651"/>
        <n v="0.44962910926691041"/>
        <n v="0.44647805690894926"/>
        <n v="0.49869340688968627"/>
        <n v="0.43978967753005921"/>
        <n v="0.42963260773840306"/>
        <n v="0.4822794623136894"/>
        <n v="0.39820097244732577"/>
        <n v="0.45847086196634373"/>
        <n v="0.47670797878899984"/>
        <n v="0.46974391211291222"/>
        <n v="0.52276147479307755"/>
      </sharedItems>
    </cacheField>
    <cacheField name="FGA" numFmtId="2">
      <sharedItems containsSemiMixedTypes="0" containsString="0" containsNumber="1" minValue="3.0067567567567566" maxValue="23.46742424242424" count="153">
        <n v="18.022631578947369"/>
        <n v="17.549864864864865"/>
        <n v="21.595555555555556"/>
        <n v="16.925810810810809"/>
        <n v="16.999552238805972"/>
        <n v="19.013552631578946"/>
        <n v="17.612580645161291"/>
        <n v="23.46742424242424"/>
        <n v="21.210400000000003"/>
        <n v="18.273877551020409"/>
        <n v="17.803055555555559"/>
        <n v="19.846176470588233"/>
        <n v="21.0336"/>
        <n v="14.091875"/>
        <n v="16.830000000000002"/>
        <n v="16.967575757575759"/>
        <n v="19.368550724637682"/>
        <n v="17.424533333333333"/>
        <n v="12.494736842105263"/>
        <n v="15.299459459459461"/>
        <n v="20.735405405405405"/>
        <n v="17.5992"/>
        <n v="17.532898550724639"/>
        <n v="12.275733333333335"/>
        <n v="7.615584415584415"/>
        <n v="14.308082191780821"/>
        <n v="18.816666666666666"/>
        <n v="13.992985074626866"/>
        <n v="18.927323943661975"/>
        <n v="17.741126760563379"/>
        <n v="15.653538461538462"/>
        <n v="15.2325"/>
        <n v="16.900303030303032"/>
        <n v="13.797866666666669"/>
        <n v="17.720657894736842"/>
        <n v="17.57456140350877"/>
        <n v="11.446764705882353"/>
        <n v="19.424868421052633"/>
        <n v="11.34955223880597"/>
        <n v="20.080895522388062"/>
        <n v="15.873246753246754"/>
        <n v="5.9208571428571437"/>
        <n v="18.593333333333334"/>
        <n v="10.559610389610389"/>
        <n v="15.656363636363636"/>
        <n v="6.2606060606060607"/>
        <n v="17.649868421052631"/>
        <n v="15.276623376623377"/>
        <n v="14.521363636363638"/>
        <n v="12.272465753424658"/>
        <n v="14.880416666666665"/>
        <n v="16.585211267605633"/>
        <n v="10.199999999999999"/>
        <n v="16.074545454545454"/>
        <n v="9.3283098591549294"/>
        <n v="18.710540540540539"/>
        <n v="13.200131578947369"/>
        <n v="14.80893333333333"/>
        <n v="16.008873239436621"/>
        <n v="9.8761290322580635"/>
        <n v="11.75969696969697"/>
        <n v="10.351578947368422"/>
        <n v="15.485066666666665"/>
        <n v="12.250144927536232"/>
        <n v="12.415000000000001"/>
        <n v="10.397368421052633"/>
        <n v="8.8201315789473682"/>
        <n v="14.596562500000001"/>
        <n v="15.725064935064934"/>
        <n v="9.4608749999999997"/>
        <n v="17.103064516129034"/>
        <n v="14.225"/>
        <n v="11.585483870967741"/>
        <n v="9.5837499999999984"/>
        <n v="17.218591549295773"/>
        <n v="15.686086956521741"/>
        <n v="13.814025974025975"/>
        <n v="13.175294117647059"/>
        <n v="10.068208955223879"/>
        <n v="18.521351351351349"/>
        <n v="16.386764705882353"/>
        <n v="12.994933333333334"/>
        <n v="9.192051282051283"/>
        <n v="7.0705263157894738"/>
        <n v="9.900263157894738"/>
        <n v="10.750675675675675"/>
        <n v="15.436891891891891"/>
        <n v="10.97948717948718"/>
        <n v="13.382000000000001"/>
        <n v="9.9574324324324319"/>
        <n v="6.540298507462686"/>
        <n v="4.9783999999999997"/>
        <n v="7.2597402597402594"/>
        <n v="11.475200000000001"/>
        <n v="10.045194805194805"/>
        <n v="15.330945945945945"/>
        <n v="14.587027027027029"/>
        <n v="11.640416666666665"/>
        <n v="13.803333333333333"/>
        <n v="13.781911764705884"/>
        <n v="13.940657894736843"/>
        <n v="8.3725675675675664"/>
        <n v="3.0067567567567566"/>
        <n v="15.0590625"/>
        <n v="10.476315789473684"/>
        <n v="7.8123076923076926"/>
        <n v="7.4420634920634914"/>
        <n v="9.780156250000001"/>
        <n v="9.7109090909090909"/>
        <n v="7.3050666666666668"/>
        <n v="14.695641025641025"/>
        <n v="4.8342857142857136"/>
        <n v="11.962763157894736"/>
        <n v="8.9852777777777764"/>
        <n v="12.59134328358209"/>
        <n v="6.2784313725490195"/>
        <n v="10.917746478873239"/>
        <n v="8.941486486486486"/>
        <n v="7.63090909090909"/>
        <n v="5.5761428571428571"/>
        <n v="6.4463768115942033"/>
        <n v="14.798591549295775"/>
        <n v="8.0467105263157883"/>
        <n v="14.364285714285717"/>
        <n v="9.8985714285714277"/>
        <n v="8.3070270270270274"/>
        <n v="12.276133333333334"/>
        <n v="11.867391304347827"/>
        <n v="13.094133333333334"/>
        <n v="9.1798591549295772"/>
        <n v="13.304927536231883"/>
        <n v="8.7529870129870133"/>
        <n v="15.233289473684211"/>
        <n v="8.3905633802816908"/>
        <n v="8.449583333333333"/>
        <n v="12.907391304347826"/>
        <n v="10.126749999999999"/>
        <n v="8.2014084507042249"/>
        <n v="8.2147297297297293"/>
        <n v="7.8541269841269834"/>
        <n v="11.137333333333332"/>
        <n v="6.3937499999999998"/>
        <n v="11.349594594594594"/>
        <n v="14.340519480519481"/>
        <n v="12.523896103896103"/>
        <n v="10.595974025974026"/>
        <n v="8.5627868852459006"/>
        <n v="8.6540506329113924"/>
        <n v="8.3378378378378386"/>
        <n v="11.200606060606061"/>
        <n v="10.812000000000001"/>
        <n v="9.1524657534246572"/>
        <n v="5.5231168831168826"/>
      </sharedItems>
    </cacheField>
    <cacheField name="FT%" numFmtId="2">
      <sharedItems containsSemiMixedTypes="0" containsString="0" containsNumber="1" minValue="0.51200591060214262" maxValue="0.92000374076498648" count="153">
        <n v="0.8750026841890528"/>
        <n v="0.86600061600061595"/>
        <n v="0.91300008870753124"/>
        <n v="0.84899879164508885"/>
        <n v="0.88401131596917371"/>
        <n v="0.92000374076498648"/>
        <n v="0.84999921052216065"/>
        <n v="0.88400621431309645"/>
        <n v="0.86100446779371809"/>
        <n v="0.91897928415880292"/>
        <n v="0.69200293694741022"/>
        <n v="0.86500291113110683"/>
        <n v="0.74600540691712502"/>
        <n v="0.85499747111232161"/>
        <n v="0.79400595765968585"/>
        <n v="0.87898435376790784"/>
        <n v="0.83501208702659135"/>
        <n v="0.88199821457851302"/>
        <n v="0.78598951726778843"/>
        <n v="0.75000817821976518"/>
        <n v="0.85400003949681058"/>
        <n v="0.83400257595272365"/>
        <n v="0.80899722625323767"/>
        <n v="0.90302560124127229"/>
        <n v="0.64600805098960079"/>
        <n v="0.73199106443470952"/>
        <n v="0.70499888913574771"/>
        <n v="0.78998484253073598"/>
        <n v="0.78800194624917719"/>
        <n v="0.69298756284731411"/>
        <n v="0.79300823661549968"/>
        <n v="0.79001331557922772"/>
        <n v="0.84599493276164484"/>
        <n v="0.76602598518200371"/>
        <n v="0.80598802395209579"/>
        <n v="0.82299173295897676"/>
        <n v="0.77800616649537513"/>
        <n v="0.88399906860566035"/>
        <n v="0.73400625533124819"/>
        <n v="0.74399045514111917"/>
        <n v="0.89698835080063888"/>
        <n v="0.78101749447013891"/>
        <n v="0.87899159663865545"/>
        <n v="0.7819756001574184"/>
        <n v="0.73300694523511323"/>
        <n v="0.62098322343710877"/>
        <n v="0.79799283154121869"/>
        <n v="0.88300542466197063"/>
        <n v="0.84901066625444432"/>
        <n v="0.85299698627078913"/>
        <n v="0.85500947936415328"/>
        <n v="0.70201262490446403"/>
        <n v="0.79100770058789438"/>
        <n v="0.77599278718085329"/>
        <n v="0.77200018874156562"/>
        <n v="0.80701078582434504"/>
        <n v="0.83100744284954819"/>
        <n v="0.87600091950499992"/>
        <n v="0.8510139098374393"/>
        <n v="0.78499222395023338"/>
        <n v="0.86298813807810204"/>
        <n v="0.77698790075796809"/>
        <n v="0.78999234596249523"/>
        <n v="0.8349817803227485"/>
        <n v="0.88414634146341475"/>
        <n v="0.57101771608252172"/>
        <n v="0.76599045346062056"/>
        <n v="0.88498592554414623"/>
        <n v="0.84400505246793622"/>
        <n v="0.85202089964566696"/>
        <n v="0.77698140254253278"/>
        <n v="0.87419056429232178"/>
        <n v="0.84798461946433301"/>
        <n v="0.61809603108520672"/>
        <n v="0.77699411037591792"/>
        <n v="0.73999617688288521"/>
        <n v="0.8509504909128891"/>
        <n v="0.86001302204446084"/>
        <n v="0.80100189132546129"/>
        <n v="0.82298984760991467"/>
        <n v="0.86400143581460043"/>
        <n v="0.87099863201094396"/>
        <n v="0.77802054762679562"/>
        <n v="0.78002481389578171"/>
        <n v="0.83298055623923206"/>
        <n v="0.74999999999999989"/>
        <n v="0.82000218842324102"/>
        <n v="0.85397332677770255"/>
        <n v="0.8129697605313756"/>
        <n v="0.64497464104578894"/>
        <n v="0.65998252087784037"/>
        <n v="0.63005952380952379"/>
        <n v="0.53602714373843308"/>
        <n v="0.74001452432824977"/>
        <n v="0.69998965659908974"/>
        <n v="0.84000641042762902"/>
        <n v="0.72300922530590195"/>
        <n v="0.7989772727272727"/>
        <n v="0.86385105700004583"/>
        <n v="0.73602560945579909"/>
        <n v="0.89198628197464058"/>
        <n v="0.7970092570614763"/>
        <n v="0.72599754868582322"/>
        <n v="0.81504539559014277"/>
        <n v="0.83001399504790607"/>
        <n v="0.685010989010989"/>
        <n v="0.6619668246445497"/>
        <n v="0.81492469192149708"/>
        <n v="0.84397637356513988"/>
        <n v="0.76294775268081216"/>
        <n v="0.77100568574952622"/>
        <n v="0.51200591060214262"/>
        <n v="0.85000000000000009"/>
        <n v="0.70003637024913612"/>
        <n v="0.79199593587717321"/>
        <n v="0.72699975978861398"/>
        <n v="0.84401204042141487"/>
        <n v="0.70199301029564554"/>
        <n v="0.83299648973513452"/>
        <n v="0.76800256199103301"/>
        <n v="0.6469926925238898"/>
        <n v="0.77000744848133751"/>
        <n v="0.74001021972406744"/>
        <n v="0.87500000000000011"/>
        <n v="0.69100494816211133"/>
        <n v="0.76002692545015993"/>
        <n v="0.82701652089407185"/>
        <n v="0.8320067382606865"/>
        <n v="0.85898547991702812"/>
        <n v="0.73700557572128866"/>
        <n v="0.82098765432098764"/>
        <n v="0.7360534124629079"/>
        <n v="0.81099868377755835"/>
        <n v="0.7639972351140516"/>
        <n v="0.75002568581115792"/>
        <n v="0.81597919867627944"/>
        <n v="0.8249897133452202"/>
        <n v="0.7890097309673727"/>
        <n v="0.75201513406810339"/>
        <n v="0.67797894736842113"/>
        <n v="0.7460171286490469"/>
        <n v="0.77301988460254645"/>
        <n v="0.85497928275467927"/>
        <n v="0.83299370556536689"/>
        <n v="0.73301264510182329"/>
        <n v="0.73697757078073289"/>
        <n v="0.71001914486279527"/>
        <n v="0.78704109989761595"/>
        <n v="0.82139559424877984"/>
        <n v="0.81998816267861674"/>
        <n v="0.86699212058924291"/>
        <n v="0.8560544217687075"/>
        <n v="0.75499647307782736"/>
      </sharedItems>
    </cacheField>
    <cacheField name="FTA" numFmtId="2">
      <sharedItems containsSemiMixedTypes="0" containsString="0" containsNumber="1" minValue="0.44800000000000001" maxValue="10.215" count="153">
        <n v="6.1275000000000004"/>
        <n v="7.0200000000000005"/>
        <n v="6.262777777777778"/>
        <n v="6.2627027027027022"/>
        <n v="6.12"/>
        <n v="7.0348684210526313"/>
        <n v="10.215"/>
        <n v="7.5095454545454547"/>
        <n v="5.9388000000000005"/>
        <n v="3.6548979591836734"/>
        <n v="9.0797222222222231"/>
        <n v="5.5567647058823528"/>
        <n v="7.1513333333333335"/>
        <n v="8.0321874999999991"/>
        <n v="6.5637313432835818"/>
        <n v="3.9025757575757574"/>
        <n v="5.0359420289855077"/>
        <n v="7.3185333333333329"/>
        <n v="5.4977631578947364"/>
        <n v="4.1309459459459461"/>
        <n v="6.8428378378378376"/>
        <n v="1.7598666666666667"/>
        <n v="7.8897101449275358"/>
        <n v="2.5779999999999998"/>
        <n v="4.6457142857142859"/>
        <n v="4.7217808219178083"/>
        <n v="9.784782608695652"/>
        <n v="2.6586567164179105"/>
        <n v="4.9209859154929578"/>
        <n v="5.3225352112676054"/>
        <n v="3.2873846153846156"/>
        <n v="4.4176470588235288"/>
        <n v="3.8871212121212122"/>
        <n v="2.4834666666666667"/>
        <n v="5.4934210526315788"/>
        <n v="5.6236842105263163"/>
        <n v="1.1447058823529412"/>
        <n v="6.2159210526315789"/>
        <n v="4.1994029850746273"/>
        <n v="7.6308955223880597"/>
        <n v="3.3333766233766235"/>
        <n v="1.4208571428571428"/>
        <n v="5.2062500000000007"/>
        <n v="2.64"/>
        <n v="5.3230303030303032"/>
        <n v="1.8153030303030304"/>
        <n v="4.5888157894736841"/>
        <n v="3.2080519480519483"/>
        <n v="3.9206060606060604"/>
        <n v="1.2272602739726028"/>
        <n v="4.7618055555555561"/>
        <n v="4.9756338028169012"/>
        <n v="3.2640540540540539"/>
        <n v="3.6971212121212118"/>
        <n v="2.984929577464789"/>
        <n v="2.8064864864864867"/>
        <n v="3.9599999999999995"/>
        <n v="6.9602666666666666"/>
        <n v="3.3616901408450706"/>
        <n v="2.0741935483870968"/>
        <n v="3.4104545454545456"/>
        <n v="2.7948684210526316"/>
        <n v="2.7871999999999999"/>
        <n v="3.0624637681159421"/>
        <n v="4.0999999999999996"/>
        <n v="3.4313157894736839"/>
        <n v="2.2052631578947368"/>
        <n v="3.9410937499999998"/>
        <n v="2.6732467532467532"/>
        <n v="2.081375"/>
        <n v="4.2756451612903223"/>
        <n v="2.7025000000000001"/>
        <n v="2.4329032258064518"/>
        <n v="4.5037500000000001"/>
        <n v="7.7481690140845068"/>
        <n v="4.5489855072463765"/>
        <n v="1.2433766233766232"/>
        <n v="1.5810294117647059"/>
        <n v="2.9198507462686565"/>
        <n v="6.482297297297297"/>
        <n v="3.2774999999999999"/>
        <n v="3.8986666666666663"/>
        <n v="2.7578205128205129"/>
        <n v="1.0605263157894735"/>
        <n v="2.6730263157894738"/>
        <n v="1.72"/>
        <n v="2.4700000000000002"/>
        <n v="2.0860256410256413"/>
        <n v="2.5426666666666669"/>
        <n v="1.8917567567567568"/>
        <n v="3.0740298507462689"/>
        <n v="0.44800000000000001"/>
        <n v="2.1051948051948051"/>
        <n v="2.754"/>
        <n v="2.5111688311688312"/>
        <n v="5.059324324324324"/>
        <n v="3.5009459459459458"/>
        <n v="2.4444444444444446"/>
        <n v="2.9076"/>
        <n v="1.7916176470588234"/>
        <n v="4.1819736842105257"/>
        <n v="2.8466216216216216"/>
        <n v="0.99229729729729743"/>
        <n v="1.2046874999999999"/>
        <n v="3.6667105263157898"/>
        <n v="4.375"/>
        <n v="1.3396825396825398"/>
        <n v="0.6846875"/>
        <n v="2.3306493506493506"/>
        <n v="0.58440000000000003"/>
        <n v="4.2616666666666667"/>
        <n v="1.5468571428571429"/>
        <n v="2.8710526315789471"/>
        <n v="1.5275000000000001"/>
        <n v="2.6441791044776117"/>
        <n v="1.6325490196078432"/>
        <n v="2.6202816901408448"/>
        <n v="2.8613513513513515"/>
        <n v="1.2209090909090909"/>
        <n v="3.1225714285714288"/>
        <n v="2.5782608695652174"/>
        <n v="6.8073239436619719"/>
        <n v="1.2874999999999999"/>
        <n v="2.1548051948051947"/>
        <n v="4.8502857142857136"/>
        <n v="2.4090540540540544"/>
        <n v="2.3324000000000003"/>
        <n v="3.4413043478260867"/>
        <n v="3.535333333333333"/>
        <n v="3.7638028169014088"/>
        <n v="1.5965217391304347"/>
        <n v="0.87532467532467539"/>
        <n v="3.1989473684210528"/>
        <n v="2.8526760563380282"/>
        <n v="1.3518055555555555"/>
        <n v="2.4524637681159418"/>
        <n v="0.91137499999999994"/>
        <n v="1.2302816901408451"/>
        <n v="1.642972972972973"/>
        <n v="1.8849206349206349"/>
        <n v="2.8957333333333333"/>
        <n v="2.621375"/>
        <n v="2.8374324324324323"/>
        <n v="2.8679220779220782"/>
        <n v="4.5087012987012987"/>
        <n v="2.1192207792207793"/>
        <n v="1.2844262295081967"/>
        <n v="0.86544303797468358"/>
        <n v="1.0244594594594596"/>
        <n v="1.791969696969697"/>
        <n v="1.9460000000000002"/>
        <n v="1.0068493150684932"/>
        <n v="0.55233766233766235"/>
      </sharedItems>
    </cacheField>
    <cacheField name="vPTS" numFmtId="2">
      <sharedItems containsSemiMixedTypes="0" containsString="0" containsNumber="1" minValue="-2.005495097229637" maxValue="2.666400053344117" count="153">
        <n v="1.8573257041756475"/>
        <n v="1.6057990135838605"/>
        <n v="2.6643341875365079"/>
        <n v="1.5065726610264065"/>
        <n v="1.7013037773530526"/>
        <n v="2.0312237918048019"/>
        <n v="1.9854457554787288"/>
        <n v="2.666400053344117"/>
        <n v="2.0191943727184434"/>
        <n v="1.3992476366265012"/>
        <n v="2.038383434012808"/>
        <n v="1.7462972317030405"/>
        <n v="2.1331405932209977"/>
        <n v="0.82926851059023776"/>
        <n v="1.2033978421496649"/>
        <n v="0.76610208393454149"/>
        <n v="1.8550259359609462"/>
        <n v="1.4132508599462592"/>
        <n v="0.39574442168801677"/>
        <n v="0.48493832306805412"/>
        <n v="1.9783149012101646"/>
        <n v="0.67657637313258912"/>
        <n v="1.6627300341840001"/>
        <n v="-3.981267259466495E-2"/>
        <n v="-0.46233003338838952"/>
        <n v="0.57961244110995636"/>
        <n v="2.4769951991844561"/>
        <n v="0.34663423614504529"/>
        <n v="1.5238900229466292"/>
        <n v="1.3502597082954932"/>
        <n v="1.0694344793911366"/>
        <n v="0.74730744455363562"/>
        <n v="0.91249974122962607"/>
        <n v="0.22431536203109534"/>
        <n v="1.120735409568592"/>
        <n v="1.0497821224001642"/>
        <n v="-0.4787684799341676"/>
        <n v="1.798597064398771"/>
        <n v="-0.19902250280973621"/>
        <n v="1.8295043048160329"/>
        <n v="0.70455327066417872"/>
        <n v="-1.5843196616444046"/>
        <n v="1.3949485622193865"/>
        <n v="-0.15913231450084539"/>
        <n v="1.0586866406952402"/>
        <n v="-1.0361408053144627"/>
        <n v="1.0675433225092856"/>
        <n v="0.5597626418187982"/>
        <n v="0.54939034578277568"/>
        <n v="-0.17533942661025698"/>
        <n v="0.61383833371922858"/>
        <n v="0.62248175472674094"/>
        <n v="-8.7158108868696432E-2"/>
        <n v="0.61804470873238682"/>
        <n v="-0.60159971883071683"/>
        <n v="1.1359600020425729"/>
        <n v="4.8222786233885567E-2"/>
        <n v="0.84294017340244387"/>
        <n v="0.65902003814839061"/>
        <n v="-0.76332499302599699"/>
        <n v="-7.6665786655659651E-2"/>
        <n v="-0.23555985801713669"/>
        <n v="0.17943237466732126"/>
        <n v="0.25043494637257591"/>
        <n v="0.23184415859431071"/>
        <n v="-0.32501407754482903"/>
        <n v="-0.71081113736464463"/>
        <n v="0.45421425050366315"/>
        <n v="0.42319156832271759"/>
        <n v="-0.41118983424430716"/>
        <n v="0.72305564709540249"/>
        <n v="0.33008365185566879"/>
        <n v="-0.27992386674965181"/>
        <n v="-0.42410006853573362"/>
        <n v="1.2842361076890825"/>
        <n v="0.56368751549709728"/>
        <n v="0.12864244750875217"/>
        <n v="2.0483499745172499E-2"/>
        <n v="-0.6588316011071208"/>
        <n v="1.4481834860073979"/>
        <n v="0.63597617082642122"/>
        <n v="0.3082623130869962"/>
        <n v="-0.71935354896384629"/>
        <n v="-1.3033595480468025"/>
        <n v="-0.4279207474771976"/>
        <n v="-0.58864710783477547"/>
        <n v="0.23096303422279696"/>
        <n v="-0.28210198093082023"/>
        <n v="0.25795441919268364"/>
        <n v="-0.6429713624198653"/>
        <n v="-0.87729152826974577"/>
        <n v="-1.8348539668107038"/>
        <n v="-1.0346278651814869"/>
        <n v="-0.4797633188768593"/>
        <n v="-0.56173245824449758"/>
        <n v="0.67305250222386348"/>
        <n v="0.37939137168560511"/>
        <n v="-0.15848153697681433"/>
        <n v="0.10865357279666073"/>
        <n v="-0.18837131049917386"/>
        <n v="0.4546789663180254"/>
        <n v="-0.72626698634034259"/>
        <n v="-2.005495097229637"/>
        <n v="0.27161811272446212"/>
        <n v="-0.20936418503524212"/>
        <n v="-0.59955798808648308"/>
        <n v="-1.1664092161007"/>
        <n v="-0.90970092654279167"/>
        <n v="-0.55538714216440577"/>
        <n v="-1.2692726859601786"/>
        <n v="0.38167777646502032"/>
        <n v="-1.4664571090463905"/>
        <n v="-0.16902971213822851"/>
        <n v="-1.1404176322324928"/>
        <n v="-0.17826128378739184"/>
        <n v="-1.2396429865662582"/>
        <n v="-0.43644275945028588"/>
        <n v="-0.84504255162045905"/>
        <n v="-0.94035137182068429"/>
        <n v="-1.1014433660689791"/>
        <n v="-1.110579554344616"/>
        <n v="0.6078125645326613"/>
        <n v="-1.0734324620485136"/>
        <n v="0.12308747328916941"/>
        <n v="-7.5480273864895212E-2"/>
        <n v="-0.92533060435283454"/>
        <n v="-0.2062460229482441"/>
        <n v="-6.2893220669038116E-2"/>
        <n v="0.20076106700961041"/>
        <n v="-0.65601531250558642"/>
        <n v="-5.0444763654516889E-2"/>
        <n v="-0.86003005759688189"/>
        <n v="0.23724344140979303"/>
        <n v="-0.86101663323120847"/>
        <n v="-1.1490872433634727"/>
        <n v="-8.9528886791201912E-2"/>
        <n v="-0.4592445952179498"/>
        <n v="-1.1163193173268491"/>
        <n v="-1.044176659582672"/>
        <n v="-1.1175033635767142"/>
        <n v="-0.45537442285067681"/>
        <n v="-1.0019525922834631"/>
        <n v="-0.40201321762311076"/>
        <n v="0.40361367137809184"/>
        <n v="0.1328425499674607"/>
        <n v="-0.58011355180035273"/>
        <n v="-1.0582030040042323"/>
        <n v="-0.82487142124013069"/>
        <n v="-1.3387541594673058"/>
        <n v="-0.30815691759895747"/>
        <n v="-0.5728213309007163"/>
        <n v="-0.76892080897571091"/>
        <n v="-1.6998021561824836"/>
      </sharedItems>
    </cacheField>
    <cacheField name="v3P" numFmtId="2">
      <sharedItems containsSemiMixedTypes="0" containsString="0" containsNumber="1" minValue="-1.7120096997355103" maxValue="3.7430705094171404" count="141">
        <n v="-0.59092381745723632"/>
        <n v="1.220400086009793"/>
        <n v="3.7430705094171404"/>
        <n v="0.75930910926529049"/>
        <n v="0.47904370009522923"/>
        <n v="2.1209803185201039"/>
        <n v="-0.59468353099581905"/>
        <n v="0.77238693567734773"/>
        <n v="1.3584589908045379"/>
        <n v="0.78882085979033612"/>
        <n v="-0.62573816536844207"/>
        <n v="1.5121459842755609"/>
        <n v="1.488083348201636"/>
        <n v="-1.1574609095112354"/>
        <n v="-0.82553940382888424"/>
        <n v="1.8328294917813825"/>
        <n v="1.6555351982689985"/>
        <n v="0.65393273369528404"/>
        <n v="-1.7120096997355103"/>
        <n v="0.44489229945377451"/>
        <n v="1.4977793202737295"/>
        <n v="0.35019598612741554"/>
        <n v="0.2740631919462802"/>
        <n v="-0.35830241676520191"/>
        <n v="-0.95852629240500087"/>
        <n v="-1.5344144860880227"/>
        <n v="0.92842974543695955"/>
        <n v="1.0738071915685676"/>
        <n v="0.48805555281058621"/>
        <n v="1.5430109948931228"/>
        <n v="1.1374207607420705"/>
        <n v="0.65427578264930175"/>
        <n v="1.3887643135965648E-2"/>
        <n v="0.40524853294947216"/>
        <n v="-0.26566082721426254"/>
        <n v="1.2227050672672297"/>
        <n v="0.39322756544718773"/>
        <n v="-1.3724505210158848"/>
        <n v="7.7219243080579453E-3"/>
        <n v="0.43178833133113925"/>
        <n v="-1.1517952819318393"/>
        <n v="0.65169288482299836"/>
        <n v="-1.6348881679676068"/>
        <n v="0.27015123018993731"/>
        <n v="1.1161842305574077"/>
        <n v="-0.35400011860503916"/>
        <n v="9.9980893789020253E-2"/>
        <n v="0.58068019864838671"/>
        <n v="1.1926219043491082"/>
        <n v="-0.72149081108125401"/>
        <n v="1.2636390562334876"/>
        <n v="-0.26930956750327989"/>
        <n v="1.5318646253066466"/>
        <n v="0.38159858601562985"/>
        <n v="-1.5819881277600758"/>
        <n v="0.4620407952153171"/>
        <n v="-0.72009442407540314"/>
        <n v="0.76471347223221353"/>
        <n v="-1.3656229079033768"/>
        <n v="-0.74955877642651469"/>
        <n v="-0.45617839156048812"/>
        <n v="-0.29445017329763234"/>
        <n v="-1.0735917952120082"/>
        <n v="1.1335052034326423"/>
        <n v="1.1163386501004213"/>
        <n v="0.2153499120859374"/>
        <n v="4.7907149764450485E-2"/>
        <n v="0.5372178500941176"/>
        <n v="0.62579029437637823"/>
        <n v="-1.6710469463445734"/>
        <n v="-9.7696085947395678E-2"/>
        <n v="0.57974571527469509"/>
        <n v="2.3446086644106399"/>
        <n v="1.2701663679875668"/>
        <n v="0.28962570341095117"/>
        <n v="-5.3773029295518054E-2"/>
        <n v="0.7296916788615142"/>
        <n v="0.51901218192036758"/>
        <n v="-0.41329626588641116"/>
        <n v="0.15398417961367725"/>
        <n v="0.21983817549575757"/>
        <n v="-9.0054826020551397E-4"/>
        <n v="0.65423511776617993"/>
        <n v="0.3439576802496972"/>
        <n v="-0.52610350863573885"/>
        <n v="-1.4785119408485969"/>
        <n v="-0.81337791867922282"/>
        <n v="-0.40437930785221943"/>
        <n v="-0.63953033822734351"/>
        <n v="5.2240321003712564E-2"/>
        <n v="0.14429748341544987"/>
        <n v="0.84050773126135747"/>
        <n v="-0.50633104962521802"/>
        <n v="0.61286386170376184"/>
        <n v="0.68499735275807172"/>
        <n v="-0.43193204340087521"/>
        <n v="1.0852498386425615"/>
        <n v="-1.2349425064672475E-2"/>
        <n v="-1.6067223740034051"/>
        <n v="-0.63685071607189991"/>
        <n v="-0.23067861404128734"/>
        <n v="-0.28951723251147465"/>
        <n v="0.58547942136198505"/>
        <n v="0.32447888842743328"/>
        <n v="1.1359142967839835"/>
        <n v="-0.68132062198981425"/>
        <n v="0.41872044137026743"/>
        <n v="1.1636000645586879"/>
        <n v="-1.2786969046516927"/>
        <n v="0.7186082086753145"/>
        <n v="-1.5749706702094666"/>
        <n v="0.36063918630902853"/>
        <n v="-9.3229630324608737E-2"/>
        <n v="0.94416934423060372"/>
        <n v="-1.037952663592427"/>
        <n v="0.72238604602858303"/>
        <n v="4.9359232908490463E-3"/>
        <n v="1.0739209478562601"/>
        <n v="-1.3722793438274068"/>
        <n v="1.1925499451863661"/>
        <n v="0.53199473632053884"/>
        <n v="0.27563114422918672"/>
        <n v="-1.4128399873899222"/>
        <n v="-0.49098863653697628"/>
        <n v="0.37811614127134757"/>
        <n v="1.9078564044660129"/>
        <n v="0.14734614688545616"/>
        <n v="-0.81304332802089452"/>
        <n v="-0.67373492691741865"/>
        <n v="6.6584777195255976E-2"/>
        <n v="-0.52546534106994314"/>
        <n v="1.5312215392264161"/>
        <n v="-0.61270545761242057"/>
        <n v="0.1955230366843185"/>
        <n v="5.901382392073564E-2"/>
        <n v="0.63809275487732231"/>
        <n v="-0.76084181755709601"/>
        <n v="0.89681741154256267"/>
        <n v="-0.86875625114228339"/>
        <n v="0.52857979333920002"/>
        <n v="-1.5416459146763124"/>
      </sharedItems>
    </cacheField>
    <cacheField name="vREB" numFmtId="2">
      <sharedItems containsSemiMixedTypes="0" containsString="0" containsNumber="1" minValue="-1.4386515726569982" maxValue="3.6616147458474493" count="153">
        <n v="2.0990922406399948"/>
        <n v="0.87458637960981978"/>
        <n v="-9.8660748175114679E-2"/>
        <n v="2.0058111536701295"/>
        <n v="0.54538641867658044"/>
        <n v="-0.64448077183033481"/>
        <n v="2.0586835525492355"/>
        <n v="-0.50967082970206301"/>
        <n v="0.78049692097523404"/>
        <n v="-0.43186723057196974"/>
        <n v="2.3663915612216999"/>
        <n v="0.48672065277140841"/>
        <n v="0.93355951185827535"/>
        <n v="0.51578061168009937"/>
        <n v="0.66262802720454794"/>
        <n v="-0.67619467903312103"/>
        <n v="-0.29262553865935603"/>
        <n v="-0.78714048106214629"/>
        <n v="1.4444015817306401"/>
        <n v="0.36772717700948615"/>
        <n v="-0.39273110723071664"/>
        <n v="2.6682502951325362"/>
        <n v="-0.16884594099395628"/>
        <n v="-0.54188359836535793"/>
        <n v="3.4982667639786862"/>
        <n v="2.2196241451529706"/>
        <n v="0.75413907654627876"/>
        <n v="1.5209756802103578E-2"/>
        <n v="0.19993368388163546"/>
        <n v="0.48674056823248063"/>
        <n v="0.91439774597065426"/>
        <n v="0.28347384774243561"/>
        <n v="1.5546168270872782"/>
        <n v="-0.53118147984767994"/>
        <n v="1.8023856859301093"/>
        <n v="0.55884748008539631"/>
        <n v="-0.14312312143362035"/>
        <n v="-0.6565822627528739"/>
        <n v="2.4096465461904812"/>
        <n v="-0.92484456681809979"/>
        <n v="9.4730300125611594E-2"/>
        <n v="0.4503238240875837"/>
        <n v="-0.2719198717468988"/>
        <n v="2.2491614436853706"/>
        <n v="1.603959572857113"/>
        <n v="1.3742846098771146"/>
        <n v="-0.18841958438138068"/>
        <n v="0.45859798633440879"/>
        <n v="0.13083474824988001"/>
        <n v="-1.1256469015623671"/>
        <n v="-0.89435211192435393"/>
        <n v="1.5625460668927775"/>
        <n v="1.2649560953887222"/>
        <n v="-1.0540879027338024"/>
        <n v="0.4225019497092265"/>
        <n v="-0.64452239858043714"/>
        <n v="6.6371806314983919E-2"/>
        <n v="-0.65152457297094502"/>
        <n v="-1.4386515726569982"/>
        <n v="0.3499317413408381"/>
        <n v="-0.36506301379380696"/>
        <n v="2.6837042657524641"/>
        <n v="0.60368900463109509"/>
        <n v="0.85368380437998037"/>
        <n v="-0.37852300541908268"/>
        <n v="3.6616147458474493"/>
        <n v="1.4276245147698481"/>
        <n v="-0.84105780292688359"/>
        <n v="-0.52067409008279242"/>
        <n v="-0.73590478541127025"/>
        <n v="-0.55656574701389605"/>
        <n v="-0.93766689281730009"/>
        <n v="-0.99504783320631218"/>
        <n v="0.60389803038339374"/>
        <n v="-0.52570951930863807"/>
        <n v="-0.5867156840670168"/>
        <n v="-0.45134269120355702"/>
        <n v="-0.8472939940294627"/>
        <n v="-0.81870940124807678"/>
        <n v="-1.0144979801486034"/>
        <n v="-0.12197463355401791"/>
        <n v="-0.78173368160269407"/>
        <n v="-2.5135493167929696E-2"/>
        <n v="0.42864643911426215"/>
        <n v="0.20047832844748312"/>
        <n v="0.22660654748478301"/>
        <n v="-0.46199207272202436"/>
        <n v="0.2327165310135052"/>
        <n v="-0.72367097263091695"/>
        <n v="0.49551535314434514"/>
        <n v="0.53739976306637316"/>
        <n v="-1.265558622922722"/>
        <n v="1.308328388729797"/>
        <n v="6.5628848114709162E-2"/>
        <n v="-5.0230416403408439E-2"/>
        <n v="-0.63299773548074123"/>
        <n v="-0.34358180871730937"/>
        <n v="-1.1156290958157982"/>
        <n v="-0.87431815482073183"/>
        <n v="-0.520660516981994"/>
        <n v="-0.65212671382230281"/>
        <n v="0.32484865106503036"/>
        <n v="0.20903708560240414"/>
        <n v="-1.0854219714732307"/>
        <n v="0.21136967027776812"/>
        <n v="1.8726575486613042"/>
        <n v="0.15507329003155304"/>
        <n v="0.42165370259822677"/>
        <n v="-0.35638527801657011"/>
        <n v="-0.7852453142413075"/>
        <n v="0.35095007192895883"/>
        <n v="0.82071745716034739"/>
        <n v="-0.11564561851538553"/>
        <n v="0.45067054140687279"/>
        <n v="-0.56519548137094378"/>
        <n v="1.3220654312949023"/>
        <n v="-1.1955340145611983"/>
        <n v="0.51839519900403452"/>
        <n v="-0.87509489813576635"/>
        <n v="0.31869732178310606"/>
        <n v="1.4180533355856577"/>
        <n v="-0.69622742878924793"/>
        <n v="-9.870353122383077E-2"/>
        <n v="-0.7925161528771002"/>
        <n v="0.6544524016178489"/>
        <n v="0.32840773819876012"/>
        <n v="-0.75575874811707955"/>
        <n v="-0.26808773295476124"/>
        <n v="-1.344709707793049"/>
        <n v="1.3315578904796439"/>
        <n v="-0.66202554206901942"/>
        <n v="6.4508525315343955E-3"/>
        <n v="-1.1625896036457615"/>
        <n v="0.27535959618987421"/>
        <n v="-0.47090077539318048"/>
        <n v="-0.455544451102949"/>
        <n v="-1.0103555981790682"/>
        <n v="-0.99216078964889676"/>
        <n v="-0.19059755541350826"/>
        <n v="0.82256219237110795"/>
        <n v="-0.96355821600199498"/>
        <n v="0.99801608634202488"/>
        <n v="-1.1107063196524343"/>
        <n v="-0.88112135489034338"/>
        <n v="0.31608042794913632"/>
        <n v="9.7553505091719561E-2"/>
        <n v="3.9442832885790008E-2"/>
        <n v="-0.84725664020924574"/>
        <n v="-1.0819511553497625"/>
        <n v="-2.0740592734989311E-2"/>
        <n v="-1.3091056546515552"/>
        <n v="-1.2514632242471846"/>
        <n v="-1.1670251501119979"/>
      </sharedItems>
    </cacheField>
    <cacheField name="vAST" numFmtId="2">
      <sharedItems containsSemiMixedTypes="0" containsString="0" containsNumber="1" minValue="-1.4505086374385052" maxValue="3.2736994664258767" count="153">
        <n v="1.9470379432897291"/>
        <n v="3.2736994664258767"/>
        <n v="1.0880429841863297"/>
        <n v="0.63649252862059791"/>
        <n v="0.53393535067701348"/>
        <n v="1.8088962423776018"/>
        <n v="-0.35913119910891694"/>
        <n v="0.97396905505065401"/>
        <n v="0.51046783397541573"/>
        <n v="0.70257229842873314"/>
        <n v="1.0658894964991112"/>
        <n v="0.87860208329651124"/>
        <n v="2.4981713310122196"/>
        <n v="1.3811385860242755"/>
        <n v="-0.39012121553268464"/>
        <n v="1.2678739956348388"/>
        <n v="0.27301602841310674"/>
        <n v="2.7261446065746329"/>
        <n v="0.48875024617789847"/>
        <n v="1.5120012216870931"/>
        <n v="0.85435630717010591"/>
        <n v="-2.2549047567893971E-2"/>
        <n v="0.79973137122905458"/>
        <n v="2.3840894662988652"/>
        <n v="-1.1105732239380841"/>
        <n v="1.1697060573631712"/>
        <n v="0.50528693682637538"/>
        <n v="-0.56856511599815807"/>
        <n v="-0.25298302282299634"/>
        <n v="1.6465930898709813"/>
        <n v="-0.9479301901556445"/>
        <n v="-1.0922453131527157"/>
        <n v="-0.86008722979758967"/>
        <n v="1.1463298022386104"/>
        <n v="0.62394743010913212"/>
        <n v="0.40227333257591508"/>
        <n v="1.2378036729431712"/>
        <n v="0.31101418926737456"/>
        <n v="0.191829043691434"/>
        <n v="1.8155193016902937"/>
        <n v="0.72545149641235329"/>
        <n v="2.3917620362605074"/>
        <n v="0.64689099504772485"/>
        <n v="-0.97150480159980668"/>
        <n v="-0.87566981869454208"/>
        <n v="-0.67374543757153393"/>
        <n v="0.20532482444254055"/>
        <n v="-7.2661499194648455E-2"/>
        <n v="0.26416770247141941"/>
        <n v="1.0455849259400718"/>
        <n v="0.9032101540795392"/>
        <n v="1.673887006338765"/>
        <n v="-0.9061837721776882"/>
        <n v="1.8819434247591851"/>
        <n v="-1.2598401772389882"/>
        <n v="0.65470146226782477"/>
        <n v="0.59149509402183875"/>
        <n v="0.96527166191446589"/>
        <n v="1.3770740474040921"/>
        <n v="-1.1024388412548056"/>
        <n v="1.5405693013315054"/>
        <n v="-0.85081703223620819"/>
        <n v="0.98533280228698672"/>
        <n v="-1.1900974805252571"/>
        <n v="1.8128723614678408E-2"/>
        <n v="-1.3874709143283996"/>
        <n v="-1.1504059727177469"/>
        <n v="0.69037134774726494"/>
        <n v="0.39902099328929136"/>
        <n v="-0.78588416787776183"/>
        <n v="0.61464097801783879"/>
        <n v="0.30738053001435683"/>
        <n v="1.1204188611847801"/>
        <n v="1.6798386895980177"/>
        <n v="2.0259584104072319"/>
        <n v="2.0954386936520919"/>
        <n v="-8.9666308506798811E-2"/>
        <n v="2.7021238602032312E-2"/>
        <n v="1.1506363336476935"/>
        <n v="-2.4498197025915176E-2"/>
        <n v="0.78694616110402049"/>
        <n v="-0.82804192429746815"/>
        <n v="-3.7878141927519704E-2"/>
        <n v="-1.0524851207786743"/>
        <n v="-0.54728118601432318"/>
        <n v="-0.71392831727339734"/>
        <n v="2.7554903046900271E-2"/>
        <n v="-0.58793576089291055"/>
        <n v="-1.0645221391317732"/>
        <n v="7.1629530426230423E-2"/>
        <n v="-1.3664104646743309"/>
        <n v="-1.1526387936794285"/>
        <n v="-0.73387032092128279"/>
        <n v="0.61153535129520453"/>
        <n v="-0.17376282001416093"/>
        <n v="-0.71096856127420138"/>
        <n v="-0.54567262297128183"/>
        <n v="-0.24777925844593149"/>
        <n v="0.44914168967207596"/>
        <n v="-0.41340332258266377"/>
        <n v="-0.75439976343631532"/>
        <n v="-1.2648289882541668"/>
        <n v="-1.3562597116206316"/>
        <n v="-0.77761132814740075"/>
        <n v="-0.14325586665726719"/>
        <n v="-0.95199564764350331"/>
        <n v="-0.48141589127859391"/>
        <n v="-0.1547676750666111"/>
        <n v="-1.3914926737748092"/>
        <n v="-0.94028273498929404"/>
        <n v="-0.27087891116410789"/>
        <n v="-1.4505086374385052"/>
        <n v="-0.90738934784784131"/>
        <n v="1.1164126743887668"/>
        <n v="5.6663651941003701E-2"/>
        <n v="-1.3461137790777786"/>
        <n v="1.1479258592703874"/>
        <n v="-0.48872949124762155"/>
        <n v="0.48707498769111784"/>
        <n v="-0.87411362099385426"/>
        <n v="-0.15246894522807367"/>
        <n v="1.848849728855837"/>
        <n v="-0.74487707022151106"/>
        <n v="-0.5419324005397741"/>
        <n v="-1.1268050873724096"/>
        <n v="-0.69514030093067558"/>
        <n v="0.40527381626254461"/>
        <n v="-0.86867208201396617"/>
        <n v="-0.34638410149266968"/>
        <n v="-0.79691657680382155"/>
        <n v="-0.64882207779392065"/>
        <n v="-0.82804604667548332"/>
        <n v="-0.68053624172411664"/>
        <n v="-0.69176458412203956"/>
        <n v="-0.62081753917308913"/>
        <n v="-0.25977175645286055"/>
        <n v="-0.88194433568209951"/>
        <n v="-0.39542105372612457"/>
        <n v="-1.0524343240509992"/>
        <n v="-1.1945598053650446"/>
        <n v="0.54278150628431787"/>
        <n v="-1.0382950549026666"/>
        <n v="0.42429089198259529"/>
        <n v="-0.76695240449219371"/>
        <n v="-0.66776798944968718"/>
        <n v="-0.64668202590262058"/>
        <n v="-0.33095213482719249"/>
        <n v="-0.77248082650239946"/>
        <n v="1.1509109897851915"/>
        <n v="-1.2257730775691249"/>
        <n v="0.12652871470986654"/>
        <n v="-0.4333023751042519"/>
        <n v="0.69379163325664073"/>
      </sharedItems>
    </cacheField>
    <cacheField name="vSTL" numFmtId="2">
      <sharedItems containsSemiMixedTypes="0" containsString="0" containsNumber="1" minValue="-2.0062836326153812" maxValue="3.4793419603311788" count="153">
        <n v="0.64776944389675795"/>
        <n v="0.9124458411523555"/>
        <n v="0.80158050720490548"/>
        <n v="-0.82899086816967116"/>
        <n v="-0.89679698295914656"/>
        <n v="-0.25633151942712329"/>
        <n v="-0.24267080214941503"/>
        <n v="0.6129884954935696"/>
        <n v="0.71129177923810172"/>
        <n v="1.1388826293454342"/>
        <n v="0.49426180150257326"/>
        <n v="0.64762116580305806"/>
        <n v="0.2676885358208474"/>
        <n v="2.604195404523475"/>
        <n v="1.0956814175703389"/>
        <n v="2.4044110334168076"/>
        <n v="-0.10165382916070491"/>
        <n v="-0.21848699583222747"/>
        <n v="0.83094231564825116"/>
        <n v="2.7216242658766521"/>
        <n v="7.1067847302515585E-2"/>
        <n v="-0.41729958189351135"/>
        <n v="-0.10072834463383944"/>
        <n v="1.1285002039491472"/>
        <n v="-0.98734252137115419"/>
        <n v="3.9641034564197833E-2"/>
        <n v="-7.1575582037571195E-2"/>
        <n v="2.0144803547195491"/>
        <n v="0.60372180023097077"/>
        <n v="0.19988467168413476"/>
        <n v="-1.2024963165321874"/>
        <n v="-0.18488619127904382"/>
        <n v="-1.4387055318713922"/>
        <n v="1.7117405527798943"/>
        <n v="-5.5093433259772215E-2"/>
        <n v="0.71106771456317619"/>
        <n v="1.8670354953812969"/>
        <n v="-0.69577836312451191"/>
        <n v="0.54335363325709518"/>
        <n v="1.5908225460444203"/>
        <n v="0.26577554728453628"/>
        <n v="2.1512994288147453"/>
        <n v="-0.78379376824363534"/>
        <n v="-0.6299011662483196"/>
        <n v="-0.52775531882535953"/>
        <n v="0.36868161414027928"/>
        <n v="1.1577966601956391"/>
        <n v="-0.27619179743187194"/>
        <n v="0.46011527864675816"/>
        <n v="1.5433759005376813"/>
        <n v="-0.57847116977295709"/>
        <n v="1.3533838194821701"/>
        <n v="-1.122825952175692"/>
        <n v="0.68507111989285774"/>
        <n v="-0.65905621420056282"/>
        <n v="-0.49804885725540127"/>
        <n v="0.88597820142679584"/>
        <n v="3.9501070876847427E-2"/>
        <n v="0.91222098751730718"/>
        <n v="1.2111385086133573"/>
        <n v="-2.9466036065182357E-2"/>
        <n v="-1.3986412402810424"/>
        <n v="1.7189778417799833"/>
        <n v="-1.1627218392121987"/>
        <n v="0.32175534188034044"/>
        <n v="-0.89029450904410146"/>
        <n v="-0.65082538771760878"/>
        <n v="-0.15818068877817251"/>
        <n v="0.46025350036180956"/>
        <n v="0.75319887547023812"/>
        <n v="1.141100227967329"/>
        <n v="0.39359607827828813"/>
        <n v="1.1704545073557389"/>
        <n v="2.1616764240722266"/>
        <n v="-0.36314883047693425"/>
        <n v="0.10287825127660906"/>
        <n v="-0.24757990241623906"/>
        <n v="0.5532421591626161"/>
        <n v="1.7190159662172093"/>
        <n v="0.33383666692023545"/>
        <n v="-1.1629532103439153"/>
        <n v="0.49630172364720548"/>
        <n v="0.87028290184187906"/>
        <n v="1.3560938975045951"/>
        <n v="7.4303916509630766E-2"/>
        <n v="0.43350759849937015"/>
        <n v="1.1372447820732619"/>
        <n v="-1.0962293355127726"/>
        <n v="0.46933927443118617"/>
        <n v="0.684626568971476"/>
        <n v="-0.90966398052295827"/>
        <n v="3.4793419603311788"/>
        <n v="-0.73978742971415623"/>
        <n v="1.3196497781279835"/>
        <n v="1.3016090798794786"/>
        <n v="-1.1828011014808861"/>
        <n v="6.7779390545026751E-3"/>
        <n v="0.3514672513782568"/>
        <n v="-0.55097656695398933"/>
        <n v="1.2415984961521034"/>
        <n v="-0.77013982711537021"/>
        <n v="-1.458945673821346"/>
        <n v="0.24840443985240537"/>
        <n v="-0.37669626198859735"/>
        <n v="-1.0822899273707809"/>
        <n v="-1.5620684125547368"/>
        <n v="1.3764331016272857"/>
        <n v="-0.90103385889306387"/>
        <n v="-1.2908774076239551"/>
        <n v="1.1680924320084605"/>
        <n v="-0.60337322939807658"/>
        <n v="2.8918816372514439E-2"/>
        <n v="-0.30506558622339175"/>
        <n v="0.25213191216134134"/>
        <n v="-0.11619913075457891"/>
        <n v="-0.93099684576492037"/>
        <n v="-0.56012061477928887"/>
        <n v="-0.65079132383121818"/>
        <n v="-0.59382529861991273"/>
        <n v="-0.30314503186688851"/>
        <n v="-1.083130169901751"/>
        <n v="-1.3147294140015517"/>
        <n v="-0.48655797291294423"/>
        <n v="-0.33590357833406292"/>
        <n v="-0.71411965722911741"/>
        <n v="0.20353094684708103"/>
        <n v="-0.70891975630888504"/>
        <n v="-0.81705336842787002"/>
        <n v="-0.93881011278231796"/>
        <n v="-0.77687951896589824"/>
        <n v="-0.60974483440995964"/>
        <n v="-0.57848268824921134"/>
        <n v="0.45199293418071357"/>
        <n v="-0.63702055796582457"/>
        <n v="0.83084895536703207"/>
        <n v="-1.0789654895308556"/>
        <n v="-1.1378089526046333"/>
        <n v="0.86994850412821778"/>
        <n v="0.49650307906453733"/>
        <n v="-1.7338780043635857"/>
        <n v="2.4631801116830289E-3"/>
        <n v="-2.0062836326153812"/>
        <n v="-0.62576572196286384"/>
        <n v="-1.7946955589861868"/>
        <n v="-1.2237016541089911"/>
        <n v="-1.3982756802188672"/>
        <n v="-0.10065248524639141"/>
        <n v="-0.89034237096042268"/>
        <n v="0.63371241344620388"/>
        <n v="-1.2959916110808558"/>
        <n v="-0.41634170540820548"/>
        <n v="-0.7397817493697022"/>
        <n v="0.50959865263514725"/>
      </sharedItems>
    </cacheField>
    <cacheField name="vBLK" numFmtId="2">
      <sharedItems containsSemiMixedTypes="0" containsString="0" containsNumber="1" minValue="-1.1173364110721489" maxValue="4.0450960586148899" count="153">
        <n v="-7.2646351931962533E-2"/>
        <n v="0.28380695486105367"/>
        <n v="-0.96501646375967787"/>
        <n v="1.0475448394401934"/>
        <n v="0.9811683309640622"/>
        <n v="-0.81555989697918585"/>
        <n v="1.2858386276197149"/>
        <n v="-0.65415164468390963"/>
        <n v="-0.25824728939885255"/>
        <n v="-6.093693216657689E-2"/>
        <n v="1.0020911547304536"/>
        <n v="-0.45969021646221742"/>
        <n v="-0.31244045292811706"/>
        <n v="-0.59524186744533192"/>
        <n v="2.6355658959208932"/>
        <n v="2.047633199415216E-2"/>
        <n v="-0.42079479503866513"/>
        <n v="-0.97281235059467552"/>
        <n v="0.80917024681464367"/>
        <n v="-0.45184684870362346"/>
        <n v="-0.83483418359996375"/>
        <n v="8.2360421651592824E-2"/>
        <n v="-1.4052873212687928E-2"/>
        <n v="-0.76315101657874262"/>
        <n v="3.7689668492487107"/>
        <n v="-0.18088942893177049"/>
        <n v="-0.1390607115720478"/>
        <n v="0.12089257709402558"/>
        <n v="-0.28541812729858645"/>
        <n v="-0.20175045879457562"/>
        <n v="0.26866946313385753"/>
        <n v="2.3144278214653173"/>
        <n v="1.4909479688921827"/>
        <n v="-8.5859081430196535E-2"/>
        <n v="-0.68343260199684575"/>
        <n v="0.15974603930376505"/>
        <n v="-4.9400944400594192E-2"/>
        <n v="-0.84653479397138265"/>
        <n v="1.2353531899569319"/>
        <n v="-0.41273092817826279"/>
        <n v="-0.9705066650804729"/>
        <n v="0.35684686821497535"/>
        <n v="-0.41276524038924989"/>
        <n v="1.1941785367723419"/>
        <n v="0.91329253904764718"/>
        <n v="2.6365058425491479"/>
        <n v="-0.26648144951594477"/>
        <n v="0.29897384334363714"/>
        <n v="-0.58197954804631435"/>
        <n v="-0.3307914882197785"/>
        <n v="0.74793298301279598"/>
        <n v="-0.6864012568472202"/>
        <n v="1.5803967836437973"/>
        <n v="-0.32171414936093246"/>
        <n v="4.0450960586148899"/>
        <n v="-0.2582406618871087"/>
        <n v="0.11513896108323131"/>
        <n v="-0.83867814041138278"/>
        <n v="-1.1031854011907294"/>
        <n v="2.4872087503765461"/>
        <n v="-0.75279613198008222"/>
        <n v="0.56887280374236626"/>
        <n v="-0.97796192721962838"/>
        <n v="0.72053476541928707"/>
        <n v="-0.68633649858986423"/>
        <n v="2.4486618649563177"/>
        <n v="2.0999522824113503"/>
        <n v="-0.65731265712110154"/>
        <n v="-0.58213878047132839"/>
        <n v="0.26863409516253245"/>
        <n v="-0.24271945696447125"/>
        <n v="-0.77829322403544887"/>
        <n v="-0.89353576544064128"/>
        <n v="-0.33919986003278219"/>
        <n v="-0.83094168726591389"/>
        <n v="-0.42852449080075777"/>
        <n v="-0.45960942942305594"/>
        <n v="-0.63954675299549324"/>
        <n v="-0.33944004550969237"/>
        <n v="-0.96531332105653656"/>
        <n v="-0.72257826685371229"/>
        <n v="-0.61430373032415631"/>
        <n v="0.53444797831914737"/>
        <n v="0.8716040235645407"/>
        <n v="-0.30253816554592411"/>
        <n v="0.83554730753456163"/>
        <n v="-0.97301780345873423"/>
        <n v="0.19185022941546914"/>
        <n v="-0.42099025860966061"/>
        <n v="7.4543271549750309E-2"/>
        <n v="2.9303764127225596"/>
        <n v="1.3825059104848993"/>
        <n v="2.365492255175321"/>
        <n v="-0.64716293355004517"/>
        <n v="-0.25467729843003883"/>
        <n v="0.663066314401492"/>
        <n v="0.32928825420305907"/>
        <n v="-0.40101521436009185"/>
        <n v="-0.26682991710710702"/>
        <n v="-2.6682223996390968E-2"/>
        <n v="-1.1083694701085474"/>
        <n v="1.8818657240910786"/>
        <n v="2.6021105628513608"/>
        <n v="-0.3179348672734908"/>
        <n v="-0.83491920759930893"/>
        <n v="1.4101589483317147"/>
        <n v="-0.50220410311430064"/>
        <n v="0.39185610725961578"/>
        <n v="1.5639162276548486"/>
        <n v="0.28343912795927134"/>
        <n v="-0.69824371560269005"/>
        <n v="1.7622083665247816"/>
        <n v="-0.72771702504037739"/>
        <n v="-0.42451526641840792"/>
        <n v="-0.4824533409041688"/>
        <n v="0.96627010351112796"/>
        <n v="-0.98403020765560556"/>
        <n v="1.5443596885367434"/>
        <n v="-0.9170045702757692"/>
        <n v="0.3145467745100064"/>
        <n v="0.46012398060671816"/>
        <n v="-0.70246130467151957"/>
        <n v="0.89749710151895545"/>
        <n v="-1.0302188244607229"/>
        <n v="0.37576368030663837"/>
        <n v="-4.9971105337379217E-2"/>
        <n v="-0.99831501578491777"/>
        <n v="-0.49782521142641573"/>
        <n v="-0.80729024479262323"/>
        <n v="0.34921279479065986"/>
        <n v="-0.86645173690828114"/>
        <n v="-0.4904209036632648"/>
        <n v="-0.49951915110567657"/>
        <n v="0.58182445521357518"/>
        <n v="0.18904044058240957"/>
        <n v="-0.58018645247767842"/>
        <n v="-0.65139294292054206"/>
        <n v="-0.32194178444739613"/>
        <n v="0.12872318005552727"/>
        <n v="2.1315532840922535"/>
        <n v="-0.66457340690107591"/>
        <n v="0.5681831283015244"/>
        <n v="-0.89671857450793824"/>
        <n v="-1.0089612957213536"/>
        <n v="-0.61438334653666327"/>
        <n v="-0.21956654871445183"/>
        <n v="-0.81892000683476873"/>
        <n v="-0.87705940320073827"/>
        <n v="-0.52889167272559967"/>
        <n v="-0.58978193687200031"/>
        <n v="-0.58303844367265756"/>
        <n v="-1.1173364110721489"/>
        <n v="-0.8271974825678734"/>
      </sharedItems>
    </cacheField>
    <cacheField name="w FG v" numFmtId="2">
      <sharedItems containsSemiMixedTypes="0" containsString="0" containsNumber="1" minValue="-2.0273851253006465" maxValue="4.1955739084507657" count="153">
        <n v="2.4681248227026131"/>
        <n v="-0.28338618499739709"/>
        <n v="-0.2385508946707455"/>
        <n v="0.68866623081703282"/>
        <n v="1.6520434682789844"/>
        <n v="-0.47492376046765022"/>
        <n v="0.76496897596568114"/>
        <n v="-4.5579240830052508E-3"/>
        <n v="-0.50123219756134463"/>
        <n v="0.7104308722468069"/>
        <n v="2.7510097295969782"/>
        <n v="-0.59367509732252488"/>
        <n v="-0.13457446389937222"/>
        <n v="5.2683026868352488E-2"/>
        <n v="0.72670792269332551"/>
        <n v="-2.0273851253006465"/>
        <n v="0.60166560510671196"/>
        <n v="-0.90024606399446461"/>
        <n v="1.7104744865032433"/>
        <n v="-0.70490405999126005"/>
        <n v="-1.0095594628171563"/>
        <n v="-0.208157974601928"/>
        <n v="0.48889651461618816"/>
        <n v="0.41452228496339399"/>
        <n v="2.5112190330023525"/>
        <n v="1.2729576357672188"/>
        <n v="4.1955739084507657"/>
        <n v="4.1073771583859095E-2"/>
        <n v="0.15741384283447238"/>
        <n v="0.86487593982362998"/>
        <n v="1.16920776301359"/>
        <n v="-0.32887850178240707"/>
        <n v="-0.28964969560232523"/>
        <n v="0.5085169538330272"/>
        <n v="-0.65645459598248812"/>
        <n v="-0.49625723699761026"/>
        <n v="-1.0552756639276364"/>
        <n v="0.29311256170092242"/>
        <n v="0.59562800648462466"/>
        <n v="0.10571430969433535"/>
        <n v="-5.3026991598667042E-2"/>
        <n v="-0.22001415971393945"/>
        <n v="-0.38464460250148269"/>
        <n v="2.3559204886848293"/>
        <n v="1.1088536961661701"/>
        <n v="2.4051786818760306"/>
        <n v="-0.8031665026907352"/>
        <n v="0.47871823145190695"/>
        <n v="0.25028205889755062"/>
        <n v="7.1777076505126949E-2"/>
        <n v="-1.1604997848027165"/>
        <n v="-0.4351244886512477"/>
        <n v="2.6020092909212944"/>
        <n v="-1.1462099426319996"/>
        <n v="3.2577206881025243E-2"/>
        <n v="-0.5215409607963708"/>
        <n v="-1.2041566920484805"/>
        <n v="0.51446508370128807"/>
        <n v="-0.28032321436338814"/>
        <n v="-0.21745716956856306"/>
        <n v="-0.72609762572161807"/>
        <n v="1.8739158214435911"/>
        <n v="-0.57622635905956332"/>
        <n v="1.630046142176115"/>
        <n v="0.46778382654075423"/>
        <n v="1.8762407000507537"/>
        <n v="1.0285198535870561"/>
        <n v="-1.1641669083543074"/>
        <n v="-1.1671458653970281"/>
        <n v="0.81941216017259466"/>
        <n v="-0.83830923570468918"/>
        <n v="-0.10224351166900028"/>
        <n v="-0.71298015717321206"/>
        <n v="1.3622229411863744"/>
        <n v="-0.39820514154860853"/>
        <n v="-0.95291553844794763"/>
        <n v="-1.0998921387680158"/>
        <n v="-0.50398090787014616"/>
        <n v="-1.2355840725938154"/>
        <n v="-0.13075613156026789"/>
        <n v="-0.85010449762903884"/>
        <n v="-7.8478074473323708E-2"/>
        <n v="-0.15700903621309939"/>
        <n v="-0.61739517649238818"/>
        <n v="6.3379414634788064E-2"/>
        <n v="-0.3838077945823728"/>
        <n v="-1.2721699747380264"/>
        <n v="0.16560125340814752"/>
        <n v="1.2615905675479955"/>
        <n v="1.1718732138946979"/>
        <n v="2.2075010140942162"/>
        <n v="-0.26438362326025355"/>
        <n v="1.6714095178325412"/>
        <n v="-0.69889266946684825"/>
        <n v="0.39514043841177338"/>
        <n v="-0.47495622647735558"/>
        <n v="2.6772953496166818E-2"/>
        <n v="-0.29310642082809613"/>
        <n v="-7.9273258994968496E-2"/>
        <n v="-1.3404846580460374"/>
        <n v="-0.51386092853906673"/>
        <n v="0.33754229376446759"/>
        <n v="0.7949856481810752"/>
        <n v="-0.33668853219694866"/>
        <n v="0.16103025719602443"/>
        <n v="1.6727102931409101"/>
        <n v="0.29301370540868221"/>
        <n v="-0.35204547453672247"/>
        <n v="0.23419233406457088"/>
        <n v="-0.67990081495347587"/>
        <n v="-0.77126800974880205"/>
        <n v="1.7972252564376605"/>
        <n v="-1.1892044142031215"/>
        <n v="-0.84021284457567647"/>
        <n v="-0.86495529933413118"/>
        <n v="1.4355080518525118"/>
        <n v="-1.4553035849479177"/>
        <n v="0.25056221794211575"/>
        <n v="1.5508780846998657E-3"/>
        <n v="1.5242233812261423"/>
        <n v="1.5141636846521966"/>
        <n v="-1.3854276506535304"/>
        <n v="-0.2157386285821328"/>
        <n v="-1.0788263197728578"/>
        <n v="2.2788461693929425"/>
        <n v="0.3108185529384937"/>
        <n v="-0.86606932993845354"/>
        <n v="-8.7047313021971995E-2"/>
        <n v="-0.78812036410060471"/>
        <n v="0.39766561325969518"/>
        <n v="-0.81829156548998927"/>
        <n v="-3.3881217449325034E-2"/>
        <n v="-1.2393059526065906"/>
        <n v="0.55918602375400639"/>
        <n v="-0.58838181361013953"/>
        <n v="-0.59793989491740196"/>
        <n v="-0.4194582866798181"/>
        <n v="-0.7244053287383122"/>
        <n v="0.13450400949111427"/>
        <n v="-6.8556249656757412E-2"/>
        <n v="-0.80358909322276184"/>
        <n v="1.7603468012465027"/>
        <n v="-0.46504313248806489"/>
        <n v="-0.65787353118005609"/>
        <n v="0.44251482545628495"/>
        <n v="-0.59631351702908753"/>
        <n v="-0.61715703130368238"/>
        <n v="8.4857972875201249E-2"/>
        <n v="-1.0085356342758063"/>
        <n v="-0.30491570768099002"/>
        <n v="1.2330393796300798E-2"/>
        <n v="-8.8692378360799656E-2"/>
        <n v="0.40189458471271367"/>
      </sharedItems>
    </cacheField>
    <cacheField name="w FT v" numFmtId="2">
      <sharedItems containsSemiMixedTypes="0" containsString="0" containsNumber="1" minValue="-3.524497168407422" maxValue="3.028857606047334" count="153">
        <n v="1.6480295279512869"/>
        <n v="1.6611495843373116"/>
        <n v="2.5389305742341941"/>
        <n v="1.0996029861610901"/>
        <n v="1.8439872653612925"/>
        <n v="3.028857606047334"/>
        <n v="1.8302419795085643"/>
        <n v="2.262526839301076"/>
        <n v="1.2987589480412367"/>
        <n v="1.5601684775032247"/>
        <n v="-3.524497168407422"/>
        <n v="1.2949949276419102"/>
        <n v="-1.3891923548955876"/>
        <n v="1.5833057054499304"/>
        <n v="-0.14369708051604979"/>
        <n v="1.1054199288026474"/>
        <n v="0.63128132638626733"/>
        <n v="2.152207348971833"/>
        <n v="-0.27861893767403695"/>
        <n v="-0.74308684080713761"/>
        <n v="1.3243523225676253"/>
        <n v="0.21422880991833265"/>
        <n v="0.2519904997118112"/>
        <n v="0.95278489314978521"/>
        <n v="-2.5706321007175443"/>
        <n v="-1.1548537136973156"/>
        <n v="-3.3415576499339434"/>
        <n v="-9.6594047148177251E-2"/>
        <n v="-0.21382778817709369"/>
        <n v="-2.0472423305483578"/>
        <n v="-8.3747038685554651E-2"/>
        <n v="-0.16004983273423476"/>
        <n v="0.64057095692144383"/>
        <n v="-0.30388960497429179"/>
        <n v="0.11609506663044838"/>
        <n v="0.46221966841954193"/>
        <n v="-9.0827590696412927E-2"/>
        <n v="1.8726154003529241"/>
        <n v="-0.99670237385584981"/>
        <n v="-1.5375632215924484"/>
        <n v="1.1596949826286225"/>
        <n v="-9.7374886188713525E-2"/>
        <n v="1.4748261894926271"/>
        <n v="-0.17184304145979146"/>
        <n v="-1.2824895132782856"/>
        <n v="-1.1675939041797547"/>
        <n v="-3.4765957780974854E-2"/>
        <n v="0.9550148717466691"/>
        <n v="0.68854571364565043"/>
        <n v="0.23310167838001666"/>
        <n v="0.93885297739364004"/>
        <n v="-1.752561774456973"/>
        <n v="-0.10660056782665803"/>
        <n v="-0.32008039585685988"/>
        <n v="-0.30121665898410099"/>
        <n v="6.9617928094508327E-2"/>
        <n v="0.43946099146478013"/>
        <n v="1.8969566616393709"/>
        <n v="0.61456958521618155"/>
        <n v="-0.11254522750823077"/>
        <n v="0.77012692658684068"/>
        <n v="-0.23198036755053633"/>
        <n v="-0.10118917080738971"/>
        <n v="0.38356236002795446"/>
        <n v="1.2373388686056583"/>
        <n v="-2.8226510438531727"/>
        <n v="-0.27012857871828438"/>
        <n v="1.2012643187096645"/>
        <n v="0.42143132809660805"/>
        <n v="0.38803412623649414"/>
        <n v="-0.35498793782542709"/>
        <n v="0.7189732321871628"/>
        <n v="0.41830817867251485"/>
        <n v="-2.9434824557649972"/>
        <n v="-0.6429426937420073"/>
        <n v="-0.98182931562884568"/>
        <n v="0.22702555869748975"/>
        <n v="0.34012735206357225"/>
        <n v="9.4279364202056251E-3"/>
        <n v="0.53274657631081457"/>
        <n v="0.75202956995594461"/>
        <n v="0.9925156571799808"/>
        <n v="-0.21867902674149242"/>
        <n v="-7.6460855345999126E-2"/>
        <n v="0.31557800804070402"/>
        <n v="-0.30944922583819057"/>
        <n v="0.17649765521289124"/>
        <n v="0.40352610218441937"/>
        <n v="0.11748135512643504"/>
        <n v="-1.0537935207358415"/>
        <n v="-1.5467090746671843"/>
        <n v="-0.27355023754250568"/>
        <n v="-1.9962750288743423"/>
        <n v="-0.59422755927633764"/>
        <n v="-0.90274779281793138"/>
        <n v="0.72494621290730266"/>
        <n v="-0.96917649763319547"/>
        <n v="-9.8785752887692174E-3"/>
        <n v="0.66558512498907219"/>
        <n v="-0.41223793556027988"/>
        <n v="1.3798095512606059"/>
        <n v="-3.162063509884061E-2"/>
        <n v="-0.26405235997521737"/>
        <n v="6.4640318581898296E-2"/>
        <n v="0.39383277623989554"/>
        <n v="-1.808098007316074"/>
        <n v="-0.66452029657623513"/>
        <n v="3.6441740263257125E-2"/>
        <n v="0.36718160387211823"/>
        <n v="-7.7969842238237386E-2"/>
        <n v="-0.44527434760139167"/>
        <n v="-1.6002524765566022"/>
        <n v="0.51442038115351074"/>
        <n v="-0.54886943766131291"/>
        <n v="-7.6972901588473877E-2"/>
        <n v="-0.42854942919392502"/>
        <n v="0.41314725554455917"/>
        <n v="-1.0080520322411808"/>
        <n v="0.14421061981607367"/>
        <n v="-0.35993084363461947"/>
        <n v="-1.4175236275087757"/>
        <n v="-0.73565496609386494"/>
        <n v="-0.27782236405622496"/>
        <n v="0.57952759271891174"/>
        <n v="-1.9001285589744152"/>
        <n v="-0.34667959051205932"/>
        <n v="0.22541271964394455"/>
        <n v="0.39424731836099469"/>
        <n v="0.74751279226877221"/>
        <n v="-0.85277854855869539"/>
        <n v="0.11973150262023939"/>
        <n v="-0.20131832735184996"/>
        <n v="0.1251623667701324"/>
        <n v="-0.36984963438453994"/>
        <n v="-0.24308181849390845"/>
        <n v="0.13981618643755628"/>
        <n v="8.1446032067108695E-2"/>
        <n v="-4.9006302079046049E-2"/>
        <n v="-0.28370241609035157"/>
        <n v="-0.82659557347107859"/>
        <n v="-0.56239288266797705"/>
        <n v="-0.25493104440258646"/>
        <n v="0.5591296823818015"/>
        <n v="0.33872285595608426"/>
        <n v="-1.0861991358525536"/>
        <n v="-0.48037270413526278"/>
        <n v="-0.41548422389940137"/>
        <n v="-4.0591443143177676E-2"/>
        <n v="7.8330254474461292E-2"/>
        <n v="0.12795770342837462"/>
        <n v="0.46741238800353468"/>
        <n v="0.20229162045832028"/>
        <n v="-8.9462488285696709E-2"/>
      </sharedItems>
    </cacheField>
    <cacheField name="Build value" numFmtId="2">
      <sharedItems containsSemiMixedTypes="0" containsString="0" containsNumber="1" minValue="-3.719848321219863" maxValue="10.00380951326683"/>
    </cacheField>
    <cacheField name="BuildZVal" numFmtId="2">
      <sharedItems containsSemiMixedTypes="0" containsString="0" containsNumber="1" minValue="-1.2232251990858696" maxValue="3.289626572588324"/>
    </cacheField>
    <cacheField name="vPTS2" numFmtId="2">
      <sharedItems containsSemiMixedTypes="0" containsString="0" containsNumber="1" minValue="-2.005495097229637" maxValue="2.666400053344117"/>
    </cacheField>
    <cacheField name="v3P2" numFmtId="2">
      <sharedItems containsSemiMixedTypes="0" containsString="0" containsNumber="1" minValue="-1.7120096997355103" maxValue="3.7430705094171404"/>
    </cacheField>
    <cacheField name="vREB2" numFmtId="2">
      <sharedItems containsSemiMixedTypes="0" containsString="0" containsNumber="1" minValue="-1.4386515726569982" maxValue="3.6616147458474493"/>
    </cacheField>
    <cacheField name="vAST2" numFmtId="2">
      <sharedItems containsSemiMixedTypes="0" containsString="0" containsNumber="1" minValue="-1.4505086374385052" maxValue="3.2736994664258767"/>
    </cacheField>
    <cacheField name="vSTL2" numFmtId="2">
      <sharedItems containsSemiMixedTypes="0" containsString="0" containsNumber="1" minValue="-2.0062836326153812" maxValue="3.4793419603311788"/>
    </cacheField>
    <cacheField name="vBLK2" numFmtId="2">
      <sharedItems containsSemiMixedTypes="0" containsString="0" containsNumber="1" minValue="-1.1173364110721489" maxValue="4.0450960586148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67.341720095923691"/>
    <n v="72.640848265633849"/>
    <n v="76.771886006845989"/>
    <n v="12.50380951326683"/>
    <n v="12.50380951326683"/>
    <n v="1"/>
    <x v="0"/>
    <n v="15"/>
    <n v="1"/>
    <s v="Nikola Jokic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.00380951326683"/>
    <n v="3.289626572588324"/>
    <n v="1.8573257041756475"/>
    <n v="-0.59092381745723632"/>
    <n v="2.0990922406399948"/>
    <n v="1.9470379432897291"/>
    <n v="0.64776944389675795"/>
    <n v="-7.2646351931962533E-2"/>
  </r>
  <r>
    <x v="1"/>
    <n v="64.783779313481148"/>
    <n v="69.995735482199805"/>
    <n v="72.748371444907733"/>
    <n v="12.048501140982673"/>
    <n v="11.848501140982673"/>
    <n v="1"/>
    <x v="0"/>
    <n v="13"/>
    <n v="2"/>
    <s v="James Harden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n v="9.5485011409826726"/>
    <n v="3.1399041575221873"/>
    <n v="1.6057990135838605"/>
    <n v="1.220400086009793"/>
    <n v="0.87458637960981978"/>
    <n v="3.2736994664258767"/>
    <n v="0.9124458411523555"/>
    <n v="0.28380695486105367"/>
  </r>
  <r>
    <x v="2"/>
    <n v="64.520374848874582"/>
    <n v="69.90992638864158"/>
    <n v="72.657682444072918"/>
    <n v="12.033730655973539"/>
    <n v="11.83373065597354"/>
    <n v="1"/>
    <x v="1"/>
    <n v="14"/>
    <n v="3"/>
    <s v="Stephen Curry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2"/>
    <n v="9.5337306559735389"/>
    <n v="3.1350470698385777"/>
    <n v="2.6643341875365079"/>
    <n v="3.7430705094171404"/>
    <n v="-9.8660748175114679E-2"/>
    <n v="1.0880429841863297"/>
    <n v="0.80158050720490548"/>
    <n v="-0.96501646375967787"/>
  </r>
  <r>
    <x v="3"/>
    <n v="51.130890643420507"/>
    <n v="54.696467774288507"/>
    <n v="56.579044344474298"/>
    <n v="9.4150086408310685"/>
    <n v="9.2150086408310692"/>
    <n v="1"/>
    <x v="0"/>
    <n v="13"/>
    <n v="4"/>
    <s v="Karl-Anthony Towns"/>
    <x v="0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3"/>
    <n v="6.9150086408310685"/>
    <n v="2.2739133671416005"/>
    <n v="1.5065726610264065"/>
    <n v="0.75930910926529049"/>
    <n v="2.0058111536701295"/>
    <n v="0.63649252862059791"/>
    <n v="-0.82899086816967116"/>
    <n v="1.0475448394401934"/>
  </r>
  <r>
    <x v="4"/>
    <n v="50.740011103360231"/>
    <n v="54.261119656377325"/>
    <n v="56.118938262571831"/>
    <n v="9.3400713284470669"/>
    <n v="9.1400713284470676"/>
    <n v="1"/>
    <x v="0"/>
    <n v="13"/>
    <n v="5"/>
    <s v="Kevin Durant"/>
    <x v="3"/>
    <x v="1"/>
    <x v="4"/>
    <x v="4"/>
    <x v="4"/>
    <x v="4"/>
    <x v="4"/>
    <x v="4"/>
    <x v="4"/>
    <x v="4"/>
    <x v="4"/>
    <x v="4"/>
    <x v="4"/>
    <x v="4"/>
    <x v="4"/>
    <x v="4"/>
    <x v="4"/>
    <x v="4"/>
    <x v="4"/>
    <x v="4"/>
    <n v="6.8400713284470678"/>
    <n v="2.2492711772068725"/>
    <n v="1.7013037773530526"/>
    <n v="0.47904370009522923"/>
    <n v="0.54538641867658044"/>
    <n v="0.53393535067701348"/>
    <n v="-0.89679698295914656"/>
    <n v="0.9811683309640622"/>
  </r>
  <r>
    <x v="5"/>
    <n v="50.282926724878145"/>
    <n v="54.020552330747762"/>
    <n v="55.864690029777691"/>
    <n v="9.2986620100455486"/>
    <n v="9.0986620100455475"/>
    <n v="1"/>
    <x v="0"/>
    <n v="14"/>
    <n v="6"/>
    <s v="Damian Lillard"/>
    <x v="2"/>
    <x v="4"/>
    <x v="5"/>
    <x v="5"/>
    <x v="5"/>
    <x v="5"/>
    <x v="5"/>
    <x v="5"/>
    <x v="5"/>
    <x v="5"/>
    <x v="5"/>
    <x v="5"/>
    <x v="5"/>
    <x v="5"/>
    <x v="5"/>
    <x v="5"/>
    <x v="5"/>
    <x v="5"/>
    <x v="5"/>
    <x v="5"/>
    <n v="6.7986620100455486"/>
    <n v="2.2356542451785533"/>
    <n v="2.0312237918048019"/>
    <n v="2.1209803185201039"/>
    <n v="-0.64448077183033481"/>
    <n v="1.8088962423776018"/>
    <n v="-0.25633151942712329"/>
    <n v="-0.81555989697918585"/>
  </r>
  <r>
    <x v="6"/>
    <n v="50.171879830316691"/>
    <n v="53.614069636960473"/>
    <n v="55.435090929873503"/>
    <n v="9.2286933588677726"/>
    <n v="9.0286933588677734"/>
    <n v="1"/>
    <x v="0"/>
    <n v="13"/>
    <n v="7"/>
    <s v="Joel Embiid"/>
    <x v="0"/>
    <x v="5"/>
    <x v="6"/>
    <x v="6"/>
    <x v="6"/>
    <x v="6"/>
    <x v="6"/>
    <x v="6"/>
    <x v="6"/>
    <x v="6"/>
    <x v="6"/>
    <x v="6"/>
    <x v="6"/>
    <x v="6"/>
    <x v="6"/>
    <x v="6"/>
    <x v="6"/>
    <x v="6"/>
    <x v="6"/>
    <x v="6"/>
    <n v="6.7286933588677735"/>
    <n v="2.2126459368078946"/>
    <n v="1.9854457554787288"/>
    <n v="-0.59468353099581905"/>
    <n v="2.0586835525492355"/>
    <n v="-0.35913119910891694"/>
    <n v="-0.24267080214941503"/>
    <n v="1.2858386276197149"/>
  </r>
  <r>
    <x v="7"/>
    <n v="46.66108422424243"/>
    <n v="50.077233830938908"/>
    <n v="51.697117574552983"/>
    <n v="8.6198909803977877"/>
    <n v="8.4198909803977848"/>
    <n v="1"/>
    <x v="0"/>
    <n v="15"/>
    <n v="8"/>
    <s v="Bradley Beal"/>
    <x v="4"/>
    <x v="6"/>
    <x v="7"/>
    <x v="7"/>
    <x v="7"/>
    <x v="7"/>
    <x v="7"/>
    <x v="7"/>
    <x v="7"/>
    <x v="7"/>
    <x v="7"/>
    <x v="7"/>
    <x v="7"/>
    <x v="7"/>
    <x v="7"/>
    <x v="7"/>
    <x v="7"/>
    <x v="7"/>
    <x v="7"/>
    <x v="7"/>
    <n v="6.1198909803977859"/>
    <n v="2.0124489539471284"/>
    <n v="2.666400053344117"/>
    <n v="0.77238693567734773"/>
    <n v="-0.50967082970206301"/>
    <n v="0.97396905505065401"/>
    <n v="0.6129884954935696"/>
    <n v="-0.65415164468390963"/>
  </r>
  <r>
    <x v="8"/>
    <n v="45.653833333785911"/>
    <n v="48.911258291547675"/>
    <n v="50.464833765454586"/>
    <n v="8.4191893587927726"/>
    <n v="8.2191893587927716"/>
    <n v="1"/>
    <x v="0"/>
    <n v="14"/>
    <n v="9"/>
    <s v="Jayson Tatum"/>
    <x v="3"/>
    <x v="7"/>
    <x v="8"/>
    <x v="8"/>
    <x v="8"/>
    <x v="8"/>
    <x v="8"/>
    <x v="8"/>
    <x v="8"/>
    <x v="8"/>
    <x v="8"/>
    <x v="8"/>
    <x v="8"/>
    <x v="8"/>
    <x v="8"/>
    <x v="8"/>
    <x v="8"/>
    <x v="8"/>
    <x v="8"/>
    <x v="8"/>
    <n v="5.9191893587927726"/>
    <n v="1.9464507572883625"/>
    <n v="2.0191943727184434"/>
    <n v="1.3584589908045379"/>
    <n v="0.78049692097523404"/>
    <n v="0.51046783397541573"/>
    <n v="0.71129177923810172"/>
    <n v="-0.25824728939885255"/>
  </r>
  <r>
    <x v="9"/>
    <n v="45.135629550970023"/>
    <n v="48.261345479580534"/>
    <n v="49.777960835057719"/>
    <n v="8.3073186112024899"/>
    <n v="8.1073186112024889"/>
    <n v="1"/>
    <x v="0"/>
    <n v="13"/>
    <n v="10"/>
    <s v="Kyrie Irving"/>
    <x v="1"/>
    <x v="1"/>
    <x v="9"/>
    <x v="9"/>
    <x v="9"/>
    <x v="9"/>
    <x v="9"/>
    <x v="9"/>
    <x v="9"/>
    <x v="9"/>
    <x v="9"/>
    <x v="9"/>
    <x v="9"/>
    <x v="9"/>
    <x v="9"/>
    <x v="9"/>
    <x v="9"/>
    <x v="9"/>
    <x v="9"/>
    <x v="9"/>
    <n v="5.807318611202489"/>
    <n v="1.909663473056264"/>
    <n v="1.3992476366265012"/>
    <n v="0.78882085979033612"/>
    <n v="-0.43186723057196974"/>
    <n v="0.70257229842873314"/>
    <n v="1.1388826293454342"/>
    <n v="-6.093693216657689E-2"/>
  </r>
  <r>
    <x v="10"/>
    <n v="43.97324460727026"/>
    <n v="46.869815358390667"/>
    <n v="48.307295301962313"/>
    <n v="8.0677918437877594"/>
    <n v="7.8677918437877592"/>
    <n v="1"/>
    <x v="0"/>
    <n v="14"/>
    <n v="11"/>
    <s v="Giannis Antetokounmpo"/>
    <x v="5"/>
    <x v="8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x v="10"/>
    <n v="5.5677918437877594"/>
    <n v="1.8308981169298093"/>
    <n v="2.038383434012808"/>
    <n v="-0.62573816536844207"/>
    <n v="2.3663915612216999"/>
    <n v="1.0658894964991112"/>
    <n v="0.49426180150257326"/>
    <n v="1.0020911547304536"/>
  </r>
  <r>
    <x v="11"/>
    <n v="43.524657175161451"/>
    <n v="46.551599489763731"/>
    <n v="47.970982704090936"/>
    <n v="8.0130167317067471"/>
    <n v="7.8130167317067478"/>
    <n v="1"/>
    <x v="0"/>
    <n v="14"/>
    <n v="12"/>
    <s v="Paul George"/>
    <x v="6"/>
    <x v="9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x v="11"/>
    <n v="5.513016731706748"/>
    <n v="1.812886012243166"/>
    <n v="1.7462972317030405"/>
    <n v="1.5121459842755609"/>
    <n v="0.48672065277140841"/>
    <n v="0.87860208329651124"/>
    <n v="0.64762116580305806"/>
    <n v="-0.45969021646221742"/>
  </r>
  <r>
    <x v="12"/>
    <n v="43.319669682775604"/>
    <n v="46.385560085702771"/>
    <n v="47.795500747236595"/>
    <n v="7.9844360483908998"/>
    <n v="7.7844360483909005"/>
    <n v="1"/>
    <x v="0"/>
    <n v="14"/>
    <n v="13"/>
    <s v="Luka Doncic"/>
    <x v="2"/>
    <x v="10"/>
    <x v="12"/>
    <x v="12"/>
    <x v="12"/>
    <x v="12"/>
    <x v="12"/>
    <x v="12"/>
    <x v="12"/>
    <x v="12"/>
    <x v="12"/>
    <x v="12"/>
    <x v="12"/>
    <x v="12"/>
    <x v="12"/>
    <x v="12"/>
    <x v="12"/>
    <x v="12"/>
    <x v="12"/>
    <x v="12"/>
    <n v="5.4844360483909007"/>
    <n v="1.8034876150451931"/>
    <n v="2.1331405932209977"/>
    <n v="1.488083348201636"/>
    <n v="0.93355951185827535"/>
    <n v="2.4981713310122196"/>
    <n v="0.2676885358208474"/>
    <n v="-0.31244045292811706"/>
  </r>
  <r>
    <x v="13"/>
    <n v="42.071874400178054"/>
    <n v="44.812540030975519"/>
    <n v="46.133024066259608"/>
    <n v="7.7136690681798035"/>
    <n v="7.5136690681798024"/>
    <n v="1"/>
    <x v="0"/>
    <n v="14"/>
    <n v="14"/>
    <s v="Jimmy Butler"/>
    <x v="6"/>
    <x v="11"/>
    <x v="13"/>
    <x v="13"/>
    <x v="13"/>
    <x v="13"/>
    <x v="13"/>
    <x v="13"/>
    <x v="13"/>
    <x v="13"/>
    <x v="13"/>
    <x v="13"/>
    <x v="13"/>
    <x v="13"/>
    <x v="13"/>
    <x v="13"/>
    <x v="13"/>
    <x v="13"/>
    <x v="13"/>
    <x v="13"/>
    <n v="5.2136690681798026"/>
    <n v="1.714449308997815"/>
    <n v="0.82926851059023776"/>
    <n v="-1.1574609095112354"/>
    <n v="0.51578061168009937"/>
    <n v="1.3811385860242755"/>
    <n v="2.604195404523475"/>
    <n v="-0.59524186744533192"/>
  </r>
  <r>
    <x v="14"/>
    <n v="40.855788136632846"/>
    <n v="43.365709913879066"/>
    <n v="44.60391366249867"/>
    <n v="7.4646234056611522"/>
    <n v="7.2646234056611521"/>
    <n v="1"/>
    <x v="0"/>
    <n v="15"/>
    <n v="15"/>
    <s v="Anthony Davis"/>
    <x v="5"/>
    <x v="12"/>
    <x v="14"/>
    <x v="14"/>
    <x v="14"/>
    <x v="14"/>
    <x v="14"/>
    <x v="14"/>
    <x v="14"/>
    <x v="14"/>
    <x v="14"/>
    <x v="14"/>
    <x v="14"/>
    <x v="14"/>
    <x v="14"/>
    <x v="14"/>
    <x v="14"/>
    <x v="14"/>
    <x v="14"/>
    <x v="14"/>
    <n v="4.9646234056611522"/>
    <n v="1.6325537842856819"/>
    <n v="1.2033978421496649"/>
    <n v="-0.82553940382888424"/>
    <n v="0.66262802720454794"/>
    <n v="-0.39012121553268464"/>
    <n v="1.0956814175703389"/>
    <n v="2.6355658959208932"/>
  </r>
  <r>
    <x v="15"/>
    <n v="39.144783937109686"/>
    <n v="41.790811275574953"/>
    <n v="42.939451564120041"/>
    <n v="7.1935330612306032"/>
    <n v="6.993533061230603"/>
    <n v="1"/>
    <x v="0"/>
    <n v="14"/>
    <n v="16"/>
    <s v="Fred VanVleet"/>
    <x v="1"/>
    <x v="13"/>
    <x v="15"/>
    <x v="15"/>
    <x v="15"/>
    <x v="15"/>
    <x v="15"/>
    <x v="15"/>
    <x v="15"/>
    <x v="15"/>
    <x v="15"/>
    <x v="15"/>
    <x v="15"/>
    <x v="15"/>
    <x v="15"/>
    <x v="15"/>
    <x v="15"/>
    <x v="15"/>
    <x v="15"/>
    <x v="15"/>
    <n v="4.6935330612306032"/>
    <n v="1.5434091439935822"/>
    <n v="0.76610208393454149"/>
    <n v="1.8328294917813825"/>
    <n v="-0.67619467903312103"/>
    <n v="1.2678739956348388"/>
    <n v="2.4044110334168076"/>
    <n v="2.047633199415216E-2"/>
  </r>
  <r>
    <x v="16"/>
    <n v="36.662839927641841"/>
    <n v="38.932055634816898"/>
    <n v="39.918120351533737"/>
    <n v="6.7014499312773044"/>
    <n v="6.5014499312773042"/>
    <n v="1"/>
    <x v="0"/>
    <n v="12"/>
    <n v="17"/>
    <s v="Zach LaVine"/>
    <x v="4"/>
    <x v="14"/>
    <x v="16"/>
    <x v="16"/>
    <x v="16"/>
    <x v="16"/>
    <x v="16"/>
    <x v="16"/>
    <x v="16"/>
    <x v="16"/>
    <x v="16"/>
    <x v="16"/>
    <x v="16"/>
    <x v="16"/>
    <x v="16"/>
    <x v="16"/>
    <x v="16"/>
    <x v="16"/>
    <x v="16"/>
    <x v="16"/>
    <n v="4.2014499312773044"/>
    <n v="1.3815938137366406"/>
    <n v="1.8550259359609462"/>
    <n v="1.6555351982689985"/>
    <n v="-0.29262553865935603"/>
    <n v="0.27301602841310674"/>
    <n v="-0.10165382916070491"/>
    <n v="-0.42079479503866513"/>
  </r>
  <r>
    <x v="17"/>
    <n v="35.970891064120636"/>
    <n v="38.150095701826778"/>
    <n v="39.09169086632302"/>
    <n v="6.5668496577044939"/>
    <n v="6.3668496577044946"/>
    <n v="1"/>
    <x v="0"/>
    <n v="13"/>
    <n v="18"/>
    <s v="Trae Young"/>
    <x v="2"/>
    <x v="15"/>
    <x v="17"/>
    <x v="17"/>
    <x v="17"/>
    <x v="17"/>
    <x v="17"/>
    <x v="17"/>
    <x v="17"/>
    <x v="17"/>
    <x v="17"/>
    <x v="17"/>
    <x v="17"/>
    <x v="17"/>
    <x v="17"/>
    <x v="17"/>
    <x v="17"/>
    <x v="17"/>
    <x v="17"/>
    <x v="17"/>
    <n v="4.0668496577044948"/>
    <n v="1.3373322115904223"/>
    <n v="1.4132508599462592"/>
    <n v="0.65393273369528404"/>
    <n v="-0.78714048106214629"/>
    <n v="2.7261446065746329"/>
    <n v="-0.21848699583222747"/>
    <n v="-0.97281235059467552"/>
  </r>
  <r>
    <x v="18"/>
    <n v="34.264428005359662"/>
    <n v="35.954134770038614"/>
    <n v="36.770847066230893"/>
    <n v="6.1888546611531465"/>
    <n v="5.9888546611531464"/>
    <n v="1"/>
    <x v="0"/>
    <n v="14"/>
    <n v="19"/>
    <s v="Bam Adebayo"/>
    <x v="7"/>
    <x v="11"/>
    <x v="18"/>
    <x v="18"/>
    <x v="18"/>
    <x v="18"/>
    <x v="18"/>
    <x v="18"/>
    <x v="18"/>
    <x v="18"/>
    <x v="18"/>
    <x v="18"/>
    <x v="18"/>
    <x v="18"/>
    <x v="18"/>
    <x v="18"/>
    <x v="18"/>
    <x v="18"/>
    <x v="18"/>
    <x v="18"/>
    <n v="3.6888546611531465"/>
    <n v="1.2130333249201295"/>
    <n v="0.39574442168801677"/>
    <n v="-1.7120096997355103"/>
    <n v="1.4444015817306401"/>
    <n v="0.48875024617789847"/>
    <n v="0.83094231564825116"/>
    <n v="0.80917024681464367"/>
  </r>
  <r>
    <x v="19"/>
    <n v="33.637372662495359"/>
    <n v="35.620035668961698"/>
    <n v="36.417747966822368"/>
    <n v="6.1313455375930381"/>
    <n v="5.931345537593038"/>
    <n v="1"/>
    <x v="0"/>
    <n v="14"/>
    <n v="20"/>
    <s v="LaMelo Ball"/>
    <x v="2"/>
    <x v="16"/>
    <x v="19"/>
    <x v="19"/>
    <x v="19"/>
    <x v="19"/>
    <x v="19"/>
    <x v="19"/>
    <x v="19"/>
    <x v="19"/>
    <x v="19"/>
    <x v="19"/>
    <x v="19"/>
    <x v="19"/>
    <x v="19"/>
    <x v="19"/>
    <x v="19"/>
    <x v="19"/>
    <x v="19"/>
    <x v="19"/>
    <n v="3.6313455375930381"/>
    <n v="1.1941221750448039"/>
    <n v="0.48493832306805412"/>
    <n v="0.44489229945377451"/>
    <n v="0.36772717700948615"/>
    <n v="1.5120012216870931"/>
    <n v="2.7216242658766521"/>
    <n v="-0.45184684870362346"/>
  </r>
  <r>
    <x v="20"/>
    <n v="32.845561575356896"/>
    <n v="34.791603712581782"/>
    <n v="35.54220362451165"/>
    <n v="5.9887459448763041"/>
    <n v="5.7887459448763039"/>
    <n v="1"/>
    <x v="0"/>
    <n v="15"/>
    <n v="21"/>
    <s v="Donovan Mitchell"/>
    <x v="1"/>
    <x v="17"/>
    <x v="20"/>
    <x v="20"/>
    <x v="20"/>
    <x v="20"/>
    <x v="20"/>
    <x v="20"/>
    <x v="20"/>
    <x v="20"/>
    <x v="20"/>
    <x v="20"/>
    <x v="20"/>
    <x v="20"/>
    <x v="20"/>
    <x v="20"/>
    <x v="20"/>
    <x v="20"/>
    <x v="20"/>
    <x v="20"/>
    <n v="3.4887459448763041"/>
    <n v="1.1472300976997554"/>
    <n v="1.9783149012101646"/>
    <n v="1.4977793202737295"/>
    <n v="-0.39273110723071664"/>
    <n v="0.85435630717010591"/>
    <n v="7.1067847302515585E-2"/>
    <n v="-0.83483418359996375"/>
  </r>
  <r>
    <x v="21"/>
    <n v="32.350393355582639"/>
    <n v="33.9484094152509"/>
    <n v="34.651057416532488"/>
    <n v="5.8436052818991335"/>
    <n v="5.6436052818991325"/>
    <n v="1"/>
    <x v="0"/>
    <n v="12"/>
    <n v="22"/>
    <s v="Nikola Vucevic"/>
    <x v="0"/>
    <x v="14"/>
    <x v="21"/>
    <x v="21"/>
    <x v="21"/>
    <x v="21"/>
    <x v="21"/>
    <x v="21"/>
    <x v="21"/>
    <x v="21"/>
    <x v="21"/>
    <x v="21"/>
    <x v="21"/>
    <x v="21"/>
    <x v="21"/>
    <x v="21"/>
    <x v="21"/>
    <x v="21"/>
    <x v="21"/>
    <x v="21"/>
    <n v="3.3436052818991331"/>
    <n v="1.0995024214520626"/>
    <n v="0.67657637313258912"/>
    <n v="0.35019598612741554"/>
    <n v="2.6682502951325362"/>
    <n v="-2.2549047567893971E-2"/>
    <n v="-0.41729958189351135"/>
    <n v="8.2360421651592824E-2"/>
  </r>
  <r>
    <x v="22"/>
    <n v="31.43492132905228"/>
    <n v="33.0780257054966"/>
    <n v="33.731175551949619"/>
    <n v="5.6937844528468506"/>
    <n v="5.4937844528468514"/>
    <n v="1"/>
    <x v="0"/>
    <n v="14"/>
    <n v="23"/>
    <s v="Shai Gilgeous-Alexander"/>
    <x v="1"/>
    <x v="18"/>
    <x v="22"/>
    <x v="22"/>
    <x v="22"/>
    <x v="22"/>
    <x v="22"/>
    <x v="22"/>
    <x v="22"/>
    <x v="22"/>
    <x v="22"/>
    <x v="22"/>
    <x v="22"/>
    <x v="22"/>
    <x v="22"/>
    <x v="22"/>
    <x v="22"/>
    <x v="22"/>
    <x v="22"/>
    <x v="22"/>
    <n v="3.1937844528468511"/>
    <n v="1.0502357316251534"/>
    <n v="1.6627300341840001"/>
    <n v="0.2740631919462802"/>
    <n v="-0.16884594099395628"/>
    <n v="0.79973137122905458"/>
    <n v="-0.10072834463383944"/>
    <n v="-1.4052873212687928E-2"/>
  </r>
  <r>
    <x v="23"/>
    <n v="31.420425249359056"/>
    <n v="32.979047505186614"/>
    <n v="33.626568525837072"/>
    <n v="5.6767471440572237"/>
    <n v="5.4767471440572244"/>
    <n v="1"/>
    <x v="0"/>
    <e v="#N/A"/>
    <n v="24"/>
    <s v="Chris Paul"/>
    <x v="2"/>
    <x v="19"/>
    <x v="23"/>
    <x v="23"/>
    <x v="23"/>
    <x v="23"/>
    <x v="23"/>
    <x v="23"/>
    <x v="23"/>
    <x v="23"/>
    <x v="23"/>
    <x v="23"/>
    <x v="23"/>
    <x v="23"/>
    <x v="23"/>
    <x v="23"/>
    <x v="23"/>
    <x v="23"/>
    <x v="23"/>
    <x v="23"/>
    <n v="3.1767471440572241"/>
    <n v="1.0446332275345445"/>
    <n v="-3.981267259466495E-2"/>
    <n v="-0.35830241676520191"/>
    <n v="-0.54188359836535793"/>
    <n v="2.3840894662988652"/>
    <n v="1.1285002039491472"/>
    <n v="-0.76315101657874262"/>
  </r>
  <r>
    <x v="24"/>
    <n v="30.591255381984947"/>
    <n v="31.577900867470163"/>
    <n v="32.145739591181943"/>
    <n v="5.4355650670790663"/>
    <n v="5.2355650670790661"/>
    <n v="1"/>
    <x v="0"/>
    <n v="15"/>
    <n v="25"/>
    <s v="Rudy Gobert"/>
    <x v="0"/>
    <x v="17"/>
    <x v="24"/>
    <x v="18"/>
    <x v="24"/>
    <x v="24"/>
    <x v="24"/>
    <x v="24"/>
    <x v="24"/>
    <x v="24"/>
    <x v="24"/>
    <x v="24"/>
    <x v="24"/>
    <x v="18"/>
    <x v="24"/>
    <x v="24"/>
    <x v="24"/>
    <x v="24"/>
    <x v="24"/>
    <x v="24"/>
    <n v="2.9355650670790663"/>
    <n v="0.96532354373786666"/>
    <n v="-0.46233003338838952"/>
    <n v="-1.7120096997355103"/>
    <n v="3.4982667639786862"/>
    <n v="-1.1105732239380841"/>
    <n v="-0.98734252137115419"/>
    <n v="3.7689668492487107"/>
  </r>
  <r>
    <x v="25"/>
    <n v="30.519909371674991"/>
    <n v="31.878291453995072"/>
    <n v="32.46321319476499"/>
    <n v="5.487271878923428"/>
    <n v="5.2872718789234279"/>
    <n v="1"/>
    <x v="0"/>
    <n v="14"/>
    <n v="26"/>
    <s v="Domantas Sabonis"/>
    <x v="5"/>
    <x v="20"/>
    <x v="25"/>
    <x v="24"/>
    <x v="25"/>
    <x v="25"/>
    <x v="25"/>
    <x v="25"/>
    <x v="25"/>
    <x v="25"/>
    <x v="25"/>
    <x v="25"/>
    <x v="25"/>
    <x v="24"/>
    <x v="25"/>
    <x v="25"/>
    <x v="25"/>
    <x v="25"/>
    <x v="25"/>
    <x v="25"/>
    <n v="2.987271878923428"/>
    <n v="0.98232667659455086"/>
    <n v="0.57961244110995636"/>
    <n v="-0.95852629240500087"/>
    <n v="2.2196241451529706"/>
    <n v="1.1697060573631712"/>
    <n v="3.9641034564197833E-2"/>
    <n v="-0.18088942893177049"/>
  </r>
  <r>
    <x v="26"/>
    <n v="29.662754038440713"/>
    <n v="31.054009832556662"/>
    <n v="31.592055214241427"/>
    <n v="5.3453866913762909"/>
    <n v="5.1453866913762898"/>
    <n v="1"/>
    <x v="0"/>
    <e v="#N/A"/>
    <n v="27"/>
    <s v="Zion Williamson"/>
    <x v="5"/>
    <x v="21"/>
    <x v="26"/>
    <x v="25"/>
    <x v="26"/>
    <x v="26"/>
    <x v="26"/>
    <x v="26"/>
    <x v="26"/>
    <x v="26"/>
    <x v="26"/>
    <x v="26"/>
    <x v="26"/>
    <x v="25"/>
    <x v="26"/>
    <x v="26"/>
    <x v="26"/>
    <x v="26"/>
    <x v="26"/>
    <x v="26"/>
    <n v="2.8453866913762904"/>
    <n v="0.93566952237817458"/>
    <n v="2.4769951991844561"/>
    <n v="-1.5344144860880227"/>
    <n v="0.75413907654627876"/>
    <n v="0.50528693682637538"/>
    <n v="-7.1575582037571195E-2"/>
    <n v="-0.1390607115720478"/>
  </r>
  <r>
    <x v="27"/>
    <n v="29.367785567045505"/>
    <n v="30.799406213257594"/>
    <n v="31.322972452896447"/>
    <n v="5.3015612786352069"/>
    <n v="5.1015612786352058"/>
    <n v="1"/>
    <x v="0"/>
    <n v="14"/>
    <n v="28"/>
    <s v="O.G. Anunoby"/>
    <x v="3"/>
    <x v="13"/>
    <x v="27"/>
    <x v="26"/>
    <x v="27"/>
    <x v="27"/>
    <x v="27"/>
    <x v="27"/>
    <x v="27"/>
    <x v="27"/>
    <x v="27"/>
    <x v="27"/>
    <x v="27"/>
    <x v="26"/>
    <x v="27"/>
    <x v="27"/>
    <x v="27"/>
    <x v="27"/>
    <x v="27"/>
    <x v="27"/>
    <n v="2.8015612786352064"/>
    <n v="0.92125808820237121"/>
    <n v="0.34663423614504529"/>
    <n v="0.92842974543695955"/>
    <n v="1.5209756802103578E-2"/>
    <n v="-0.56856511599815807"/>
    <n v="2.0144803547195491"/>
    <n v="0.12089257709402558"/>
  </r>
  <r>
    <x v="28"/>
    <n v="29.333883506799754"/>
    <n v="30.828316157431328"/>
    <n v="31.353526486770804"/>
    <n v="5.3065376031635996"/>
    <n v="5.1065376031635985"/>
    <n v="1"/>
    <x v="0"/>
    <n v="14"/>
    <n v="29"/>
    <s v="Jaylen Brown"/>
    <x v="6"/>
    <x v="7"/>
    <x v="28"/>
    <x v="27"/>
    <x v="28"/>
    <x v="28"/>
    <x v="28"/>
    <x v="28"/>
    <x v="28"/>
    <x v="28"/>
    <x v="28"/>
    <x v="28"/>
    <x v="28"/>
    <x v="27"/>
    <x v="28"/>
    <x v="28"/>
    <x v="28"/>
    <x v="28"/>
    <x v="28"/>
    <x v="28"/>
    <n v="2.8065376031635991"/>
    <n v="0.92289448975327182"/>
    <n v="1.5238900229466292"/>
    <n v="1.0738071915685676"/>
    <n v="0.19993368388163546"/>
    <n v="-0.25298302282299634"/>
    <n v="0.60372180023097077"/>
    <n v="-0.28541812729858645"/>
  </r>
  <r>
    <x v="29"/>
    <n v="29.26414780666401"/>
    <n v="30.717233561486015"/>
    <n v="31.236126695924856"/>
    <n v="5.2874167413743729"/>
    <n v="5.0874167413743727"/>
    <n v="1"/>
    <x v="0"/>
    <n v="15"/>
    <n v="30"/>
    <s v="LeBron James"/>
    <x v="8"/>
    <x v="12"/>
    <x v="29"/>
    <x v="28"/>
    <x v="29"/>
    <x v="29"/>
    <x v="29"/>
    <x v="29"/>
    <x v="29"/>
    <x v="29"/>
    <x v="29"/>
    <x v="29"/>
    <x v="29"/>
    <x v="28"/>
    <x v="29"/>
    <x v="29"/>
    <x v="29"/>
    <x v="29"/>
    <x v="29"/>
    <x v="29"/>
    <n v="2.7874167413743725"/>
    <n v="0.91660683554022304"/>
    <n v="1.3502597082954932"/>
    <n v="0.48805555281058621"/>
    <n v="0.48674056823248063"/>
    <n v="1.6465930898709813"/>
    <n v="0.19988467168413476"/>
    <n v="-0.20175045879457562"/>
  </r>
  <r>
    <x v="30"/>
    <n v="29.11949959757899"/>
    <n v="30.386848374552564"/>
    <n v="30.88695271853884"/>
    <n v="5.2305469010289745"/>
    <n v="5.0305469010289743"/>
    <n v="1"/>
    <x v="0"/>
    <n v="15"/>
    <n v="31"/>
    <s v="Michael Porter Jr."/>
    <x v="3"/>
    <x v="0"/>
    <x v="30"/>
    <x v="29"/>
    <x v="30"/>
    <x v="30"/>
    <x v="30"/>
    <x v="30"/>
    <x v="30"/>
    <x v="30"/>
    <x v="30"/>
    <x v="30"/>
    <x v="30"/>
    <x v="29"/>
    <x v="30"/>
    <x v="30"/>
    <x v="30"/>
    <x v="30"/>
    <x v="30"/>
    <x v="30"/>
    <n v="2.7305469010289745"/>
    <n v="0.89790590588627728"/>
    <n v="1.0694344793911366"/>
    <n v="1.5430109948931228"/>
    <n v="0.91439774597065426"/>
    <n v="-0.9479301901556445"/>
    <n v="-1.2024963165321874"/>
    <n v="0.26866946313385753"/>
  </r>
  <r>
    <x v="31"/>
    <n v="29.02843414111528"/>
    <n v="30.305649811583201"/>
    <n v="30.801136446165366"/>
    <n v="5.2165700355550584"/>
    <n v="5.0165700355550573"/>
    <n v="1"/>
    <x v="0"/>
    <n v="12"/>
    <n v="32"/>
    <s v="Jaren Jackson Jr."/>
    <x v="5"/>
    <x v="22"/>
    <x v="31"/>
    <x v="30"/>
    <x v="31"/>
    <x v="31"/>
    <x v="31"/>
    <x v="31"/>
    <x v="31"/>
    <x v="31"/>
    <x v="31"/>
    <x v="31"/>
    <x v="31"/>
    <x v="30"/>
    <x v="31"/>
    <x v="31"/>
    <x v="31"/>
    <x v="31"/>
    <x v="31"/>
    <x v="31"/>
    <n v="2.7165700355550579"/>
    <n v="0.89330978997628196"/>
    <n v="0.74730744455363562"/>
    <n v="1.1374207607420705"/>
    <n v="0.28347384774243561"/>
    <n v="-1.0922453131527157"/>
    <n v="-0.18488619127904382"/>
    <n v="2.3144278214653173"/>
  </r>
  <r>
    <x v="32"/>
    <n v="28.826869380636008"/>
    <n v="30.002967934889902"/>
    <n v="30.48124124823401"/>
    <n v="5.1644688195085262"/>
    <n v="4.9644688195085251"/>
    <n v="1"/>
    <x v="0"/>
    <n v="14"/>
    <n v="33"/>
    <s v="Kristaps Porzingis"/>
    <x v="7"/>
    <x v="10"/>
    <x v="32"/>
    <x v="31"/>
    <x v="32"/>
    <x v="32"/>
    <x v="32"/>
    <x v="32"/>
    <x v="32"/>
    <x v="32"/>
    <x v="32"/>
    <x v="32"/>
    <x v="32"/>
    <x v="31"/>
    <x v="32"/>
    <x v="32"/>
    <x v="32"/>
    <x v="32"/>
    <x v="32"/>
    <x v="32"/>
    <n v="2.6644688195085258"/>
    <n v="0.87617696227264175"/>
    <n v="0.91249974122962607"/>
    <n v="0.65427578264930175"/>
    <n v="1.5546168270872782"/>
    <n v="-0.86008722979758967"/>
    <n v="-1.4387055318713922"/>
    <n v="1.4909479688921827"/>
  </r>
  <r>
    <x v="33"/>
    <n v="28.772181837185414"/>
    <n v="30.115621805068951"/>
    <n v="30.600301670656254"/>
    <n v="5.183860147766425"/>
    <n v="4.9838601477664248"/>
    <n v="1"/>
    <x v="0"/>
    <n v="14"/>
    <n v="34"/>
    <s v="Jrue Holiday"/>
    <x v="1"/>
    <x v="8"/>
    <x v="33"/>
    <x v="32"/>
    <x v="33"/>
    <x v="33"/>
    <x v="33"/>
    <x v="33"/>
    <x v="33"/>
    <x v="33"/>
    <x v="33"/>
    <x v="33"/>
    <x v="33"/>
    <x v="32"/>
    <x v="33"/>
    <x v="33"/>
    <x v="33"/>
    <x v="33"/>
    <x v="33"/>
    <x v="33"/>
    <n v="2.683860147766425"/>
    <n v="0.882553555972309"/>
    <n v="0.22431536203109534"/>
    <n v="1.3887643135965648E-2"/>
    <n v="-0.53118147984767994"/>
    <n v="1.1463298022386104"/>
    <n v="1.7117405527798943"/>
    <n v="-8.5859081430196535E-2"/>
  </r>
  <r>
    <x v="34"/>
    <n v="28.723692825773291"/>
    <n v="30.055036568322642"/>
    <n v="30.536270990945898"/>
    <n v="5.1734314939486472"/>
    <n v="4.973431493948647"/>
    <n v="1"/>
    <x v="0"/>
    <n v="13"/>
    <n v="35"/>
    <s v="Julius Randle"/>
    <x v="5"/>
    <x v="23"/>
    <x v="34"/>
    <x v="33"/>
    <x v="34"/>
    <x v="34"/>
    <x v="34"/>
    <x v="34"/>
    <x v="34"/>
    <x v="34"/>
    <x v="34"/>
    <x v="34"/>
    <x v="34"/>
    <x v="33"/>
    <x v="34"/>
    <x v="34"/>
    <x v="34"/>
    <x v="34"/>
    <x v="34"/>
    <x v="34"/>
    <n v="2.6734314939486472"/>
    <n v="0.8791242247090747"/>
    <n v="1.120735409568592"/>
    <n v="0.40524853294947216"/>
    <n v="1.8023856859301093"/>
    <n v="0.62394743010913212"/>
    <n v="-5.5093433259772215E-2"/>
    <n v="-0.68343260199684575"/>
  </r>
  <r>
    <x v="35"/>
    <n v="28.238612577325341"/>
    <n v="29.523971820202828"/>
    <n v="29.975004936400147"/>
    <n v="5.0820182931360858"/>
    <n v="4.8820182931360856"/>
    <n v="1"/>
    <x v="0"/>
    <n v="14"/>
    <n v="36"/>
    <s v="Pascal Siakam"/>
    <x v="5"/>
    <x v="13"/>
    <x v="35"/>
    <x v="34"/>
    <x v="35"/>
    <x v="35"/>
    <x v="35"/>
    <x v="35"/>
    <x v="35"/>
    <x v="35"/>
    <x v="35"/>
    <x v="35"/>
    <x v="35"/>
    <x v="34"/>
    <x v="35"/>
    <x v="35"/>
    <x v="35"/>
    <x v="35"/>
    <x v="35"/>
    <x v="35"/>
    <n v="2.5820182931360858"/>
    <n v="0.84906414668784158"/>
    <n v="1.0497821224001642"/>
    <n v="-0.26566082721426254"/>
    <n v="0.55884748008539631"/>
    <n v="0.40227333257591508"/>
    <n v="0.71106771456317619"/>
    <n v="0.15974603930376505"/>
  </r>
  <r>
    <x v="36"/>
    <n v="27.843459938340615"/>
    <n v="29.106444070781986"/>
    <n v="29.533732655740444"/>
    <n v="5.010148435199266"/>
    <n v="4.8101484351992658"/>
    <n v="1"/>
    <x v="0"/>
    <n v="12"/>
    <n v="37"/>
    <s v="Lonzo Ball"/>
    <x v="2"/>
    <x v="14"/>
    <x v="36"/>
    <x v="35"/>
    <x v="36"/>
    <x v="36"/>
    <x v="36"/>
    <x v="36"/>
    <x v="36"/>
    <x v="36"/>
    <x v="36"/>
    <x v="36"/>
    <x v="36"/>
    <x v="35"/>
    <x v="36"/>
    <x v="36"/>
    <x v="36"/>
    <x v="36"/>
    <x v="36"/>
    <x v="36"/>
    <n v="2.510148435199266"/>
    <n v="0.82543065045587427"/>
    <n v="-0.4787684799341676"/>
    <n v="1.2227050672672297"/>
    <n v="-0.14312312143362035"/>
    <n v="1.2378036729431712"/>
    <n v="1.8670354953812969"/>
    <n v="-4.9400944400594192E-2"/>
  </r>
  <r>
    <x v="37"/>
    <n v="27.623329942936653"/>
    <n v="28.871292617227269"/>
    <n v="29.285208292139536"/>
    <n v="4.9696713613184116"/>
    <n v="4.7696713613184114"/>
    <n v="1"/>
    <x v="0"/>
    <e v="#N/A"/>
    <n v="38"/>
    <s v="Devin Booker"/>
    <x v="1"/>
    <x v="19"/>
    <x v="37"/>
    <x v="36"/>
    <x v="37"/>
    <x v="37"/>
    <x v="37"/>
    <x v="37"/>
    <x v="37"/>
    <x v="37"/>
    <x v="37"/>
    <x v="37"/>
    <x v="37"/>
    <x v="36"/>
    <x v="37"/>
    <x v="37"/>
    <x v="37"/>
    <x v="37"/>
    <x v="37"/>
    <x v="37"/>
    <n v="2.4696713613184116"/>
    <n v="0.81212027527904862"/>
    <n v="1.798597064398771"/>
    <n v="0.39322756544718773"/>
    <n v="-0.6565822627528739"/>
    <n v="0.31101418926737456"/>
    <n v="-0.69577836312451191"/>
    <n v="-0.84653479397138265"/>
  </r>
  <r>
    <x v="38"/>
    <n v="27.566925093771985"/>
    <n v="28.510892667601318"/>
    <n v="28.90431263205063"/>
    <n v="4.9076350218990958"/>
    <n v="4.7076350218990957"/>
    <n v="1"/>
    <x v="0"/>
    <n v="14"/>
    <n v="39"/>
    <s v="Jusuf Nurkic"/>
    <x v="0"/>
    <x v="4"/>
    <x v="38"/>
    <x v="37"/>
    <x v="38"/>
    <x v="38"/>
    <x v="38"/>
    <x v="38"/>
    <x v="38"/>
    <x v="38"/>
    <x v="38"/>
    <x v="38"/>
    <x v="38"/>
    <x v="37"/>
    <x v="38"/>
    <x v="38"/>
    <x v="38"/>
    <x v="38"/>
    <x v="38"/>
    <x v="38"/>
    <n v="2.4076350218990963"/>
    <n v="0.7917204075737263"/>
    <n v="-0.19902250280973621"/>
    <n v="-1.3724505210158848"/>
    <n v="2.4096465461904812"/>
    <n v="0.191829043691434"/>
    <n v="0.54335363325709518"/>
    <n v="1.2353531899569319"/>
  </r>
  <r>
    <x v="39"/>
    <n v="27.472123830227968"/>
    <n v="28.897274482466059"/>
    <n v="29.312667729136511"/>
    <n v="4.9741436699643291"/>
    <n v="4.774143669964328"/>
    <n v="1"/>
    <x v="0"/>
    <n v="16"/>
    <n v="40"/>
    <s v="De'Aaron Fox"/>
    <x v="2"/>
    <x v="24"/>
    <x v="39"/>
    <x v="38"/>
    <x v="39"/>
    <x v="39"/>
    <x v="39"/>
    <x v="39"/>
    <x v="39"/>
    <x v="39"/>
    <x v="39"/>
    <x v="39"/>
    <x v="39"/>
    <x v="38"/>
    <x v="39"/>
    <x v="39"/>
    <x v="39"/>
    <x v="39"/>
    <x v="39"/>
    <x v="39"/>
    <n v="2.4741436699643287"/>
    <n v="0.81359093756454237"/>
    <n v="1.8295043048160329"/>
    <n v="7.7219243080579453E-3"/>
    <n v="-0.92484456681809979"/>
    <n v="1.8155193016902937"/>
    <n v="1.5908225460444203"/>
    <n v="-0.41273092817826279"/>
  </r>
  <r>
    <x v="40"/>
    <n v="27.076847889446491"/>
    <n v="28.225212086892366"/>
    <n v="28.60238558273597"/>
    <n v="4.8584602717673011"/>
    <n v="4.6584602717673018"/>
    <n v="1"/>
    <x v="0"/>
    <n v="14"/>
    <n v="41"/>
    <s v="Khris Middleton"/>
    <x v="6"/>
    <x v="8"/>
    <x v="40"/>
    <x v="39"/>
    <x v="40"/>
    <x v="40"/>
    <x v="40"/>
    <x v="40"/>
    <x v="40"/>
    <x v="40"/>
    <x v="40"/>
    <x v="40"/>
    <x v="40"/>
    <x v="39"/>
    <x v="40"/>
    <x v="40"/>
    <x v="40"/>
    <x v="40"/>
    <x v="40"/>
    <x v="40"/>
    <n v="2.358460271767302"/>
    <n v="0.77554991127235129"/>
    <n v="0.70455327066417872"/>
    <n v="0.43178833133113925"/>
    <n v="9.4730300125611594E-2"/>
    <n v="0.72545149641235329"/>
    <n v="0.26577554728453628"/>
    <n v="-0.9705066650804729"/>
  </r>
  <r>
    <x v="41"/>
    <n v="26.932501964590816"/>
    <n v="27.86657959289413"/>
    <n v="28.223357892325453"/>
    <n v="4.7967281678989151"/>
    <n v="4.5967281678989149"/>
    <n v="1"/>
    <x v="0"/>
    <n v="14"/>
    <n v="42"/>
    <s v="Draymond Green"/>
    <x v="5"/>
    <x v="2"/>
    <x v="41"/>
    <x v="40"/>
    <x v="41"/>
    <x v="41"/>
    <x v="41"/>
    <x v="41"/>
    <x v="41"/>
    <x v="41"/>
    <x v="41"/>
    <x v="41"/>
    <x v="41"/>
    <x v="40"/>
    <x v="41"/>
    <x v="41"/>
    <x v="41"/>
    <x v="41"/>
    <x v="41"/>
    <x v="41"/>
    <n v="2.2967281678989151"/>
    <n v="0.75525008759039147"/>
    <n v="-1.5843196616444046"/>
    <n v="-1.1517952819318393"/>
    <n v="0.4503238240875837"/>
    <n v="2.3917620362605074"/>
    <n v="2.1512994288147453"/>
    <n v="0.35684686821497535"/>
  </r>
  <r>
    <x v="42"/>
    <n v="26.826812633678617"/>
    <n v="27.974095848872519"/>
    <n v="28.33698852777276"/>
    <n v="4.8152351487014702"/>
    <n v="4.6152351487014691"/>
    <n v="1"/>
    <x v="0"/>
    <e v="#N/A"/>
    <n v="43"/>
    <s v="Brandon Ingram"/>
    <x v="3"/>
    <x v="21"/>
    <x v="42"/>
    <x v="41"/>
    <x v="42"/>
    <x v="42"/>
    <x v="42"/>
    <x v="42"/>
    <x v="42"/>
    <x v="42"/>
    <x v="42"/>
    <x v="42"/>
    <x v="42"/>
    <x v="41"/>
    <x v="42"/>
    <x v="42"/>
    <x v="42"/>
    <x v="42"/>
    <x v="42"/>
    <x v="42"/>
    <n v="2.3152351487014697"/>
    <n v="0.76133587478433262"/>
    <n v="1.3949485622193865"/>
    <n v="0.65169288482299836"/>
    <n v="-0.2719198717468988"/>
    <n v="0.64689099504772485"/>
    <n v="-0.78379376824363534"/>
    <n v="-0.41276524038924989"/>
  </r>
  <r>
    <x v="43"/>
    <n v="26.777976967174659"/>
    <n v="27.490489055874757"/>
    <n v="27.825879331354898"/>
    <n v="4.7319909773661717"/>
    <n v="4.5319909773661715"/>
    <n v="1"/>
    <x v="0"/>
    <e v="#N/A"/>
    <n v="44"/>
    <s v="Deandre Ayton"/>
    <x v="0"/>
    <x v="19"/>
    <x v="43"/>
    <x v="42"/>
    <x v="43"/>
    <x v="43"/>
    <x v="43"/>
    <x v="43"/>
    <x v="43"/>
    <x v="43"/>
    <x v="43"/>
    <x v="43"/>
    <x v="43"/>
    <x v="42"/>
    <x v="43"/>
    <x v="43"/>
    <x v="43"/>
    <x v="43"/>
    <x v="43"/>
    <x v="43"/>
    <n v="2.2319909773661717"/>
    <n v="0.7339620790643594"/>
    <n v="-0.15913231450084539"/>
    <n v="-1.6348881679676068"/>
    <n v="2.2491614436853706"/>
    <n v="-0.97150480159980668"/>
    <n v="-0.6299011662483196"/>
    <n v="1.1941785367723419"/>
  </r>
  <r>
    <x v="44"/>
    <n v="26.714654159132188"/>
    <n v="27.705661513897542"/>
    <n v="28.053288506957177"/>
    <n v="4.7690290281579211"/>
    <n v="4.5690290281579209"/>
    <n v="1"/>
    <x v="0"/>
    <n v="15"/>
    <n v="45"/>
    <s v="Christian Wood"/>
    <x v="7"/>
    <x v="25"/>
    <x v="44"/>
    <x v="43"/>
    <x v="44"/>
    <x v="44"/>
    <x v="44"/>
    <x v="44"/>
    <x v="44"/>
    <x v="44"/>
    <x v="44"/>
    <x v="44"/>
    <x v="44"/>
    <x v="43"/>
    <x v="44"/>
    <x v="44"/>
    <x v="44"/>
    <x v="44"/>
    <x v="44"/>
    <x v="44"/>
    <n v="2.2690290281579211"/>
    <n v="0.74614157487741251"/>
    <n v="1.0586866406952402"/>
    <n v="0.27015123018993731"/>
    <n v="1.603959572857113"/>
    <n v="-0.87566981869454208"/>
    <n v="-0.52775531882535953"/>
    <n v="0.91329253904764718"/>
  </r>
  <r>
    <x v="45"/>
    <n v="26.621697793103433"/>
    <n v="27.276524828452484"/>
    <n v="27.599747097640641"/>
    <n v="4.6951609016413105"/>
    <n v="4.4951609016413094"/>
    <n v="1"/>
    <x v="0"/>
    <n v="14"/>
    <n v="46"/>
    <s v="Robert Williams"/>
    <x v="7"/>
    <x v="7"/>
    <x v="45"/>
    <x v="18"/>
    <x v="45"/>
    <x v="45"/>
    <x v="45"/>
    <x v="45"/>
    <x v="45"/>
    <x v="45"/>
    <x v="45"/>
    <x v="45"/>
    <x v="45"/>
    <x v="18"/>
    <x v="45"/>
    <x v="45"/>
    <x v="45"/>
    <x v="45"/>
    <x v="45"/>
    <x v="45"/>
    <n v="2.1951609016413101"/>
    <n v="0.72185097322870051"/>
    <n v="-1.0361408053144627"/>
    <n v="-1.7120096997355103"/>
    <n v="1.3742846098771146"/>
    <n v="-0.67374543757153393"/>
    <n v="0.36868161414027928"/>
    <n v="2.6365058425491479"/>
  </r>
  <r>
    <x v="46"/>
    <n v="26.403305111032395"/>
    <n v="27.618440713569274"/>
    <n v="27.961107516507536"/>
    <n v="4.7540155433358375"/>
    <n v="4.5540155433358365"/>
    <n v="1"/>
    <x v="0"/>
    <n v="13"/>
    <n v="47"/>
    <s v="Anthony Edwards"/>
    <x v="6"/>
    <x v="3"/>
    <x v="46"/>
    <x v="44"/>
    <x v="46"/>
    <x v="46"/>
    <x v="46"/>
    <x v="46"/>
    <x v="46"/>
    <x v="46"/>
    <x v="46"/>
    <x v="46"/>
    <x v="46"/>
    <x v="44"/>
    <x v="46"/>
    <x v="46"/>
    <x v="46"/>
    <x v="46"/>
    <x v="46"/>
    <x v="46"/>
    <n v="2.2540155433358371"/>
    <n v="0.74120457977046039"/>
    <n v="1.0675433225092856"/>
    <n v="1.1161842305574077"/>
    <n v="-0.18841958438138068"/>
    <n v="0.20532482444254055"/>
    <n v="1.1577966601956391"/>
    <n v="-0.26648144951594477"/>
  </r>
  <r>
    <x v="47"/>
    <n v="25.56644954211"/>
    <n v="26.422838118788867"/>
    <n v="26.697511780671462"/>
    <n v="4.5482141594638605"/>
    <n v="4.3482141594638604"/>
    <n v="1"/>
    <x v="0"/>
    <n v="13"/>
    <n v="48"/>
    <s v="Tobias Harris"/>
    <x v="3"/>
    <x v="5"/>
    <x v="47"/>
    <x v="45"/>
    <x v="47"/>
    <x v="47"/>
    <x v="47"/>
    <x v="47"/>
    <x v="47"/>
    <x v="47"/>
    <x v="47"/>
    <x v="47"/>
    <x v="47"/>
    <x v="45"/>
    <x v="47"/>
    <x v="47"/>
    <x v="47"/>
    <x v="47"/>
    <x v="47"/>
    <x v="47"/>
    <n v="2.0482141594638605"/>
    <n v="0.6735293906174814"/>
    <n v="0.5597626418187982"/>
    <n v="-0.35400011860503916"/>
    <n v="0.45859798633440879"/>
    <n v="-7.2661499194648455E-2"/>
    <n v="-0.27619179743187194"/>
    <n v="0.29897384334363714"/>
  </r>
  <r>
    <x v="48"/>
    <n v="24.501045625409848"/>
    <n v="25.337176879379008"/>
    <n v="25.550109693498197"/>
    <n v="4.3613371934367402"/>
    <n v="4.16133719343674"/>
    <n v="1"/>
    <x v="0"/>
    <n v="14"/>
    <n v="49"/>
    <s v="Gordon Hayward"/>
    <x v="9"/>
    <x v="16"/>
    <x v="48"/>
    <x v="46"/>
    <x v="48"/>
    <x v="48"/>
    <x v="48"/>
    <x v="48"/>
    <x v="48"/>
    <x v="48"/>
    <x v="48"/>
    <x v="48"/>
    <x v="48"/>
    <x v="46"/>
    <x v="48"/>
    <x v="48"/>
    <x v="48"/>
    <x v="48"/>
    <x v="48"/>
    <x v="48"/>
    <n v="1.8613371934367402"/>
    <n v="0.6120772575643455"/>
    <n v="0.54939034578277568"/>
    <n v="9.9980893789020253E-2"/>
    <n v="0.13083474824988001"/>
    <n v="0.26416770247141941"/>
    <n v="0.46011527864675816"/>
    <n v="-0.58197954804631435"/>
  </r>
  <r>
    <x v="49"/>
    <n v="24.352725078865976"/>
    <n v="25.229147940979836"/>
    <n v="25.43593721971466"/>
    <n v="4.3427419636188809"/>
    <n v="4.1427419636188807"/>
    <n v="1"/>
    <x v="0"/>
    <n v="16"/>
    <n v="50"/>
    <s v="Tyrese Haliburton"/>
    <x v="1"/>
    <x v="24"/>
    <x v="49"/>
    <x v="47"/>
    <x v="49"/>
    <x v="49"/>
    <x v="49"/>
    <x v="49"/>
    <x v="49"/>
    <x v="49"/>
    <x v="49"/>
    <x v="49"/>
    <x v="49"/>
    <x v="47"/>
    <x v="49"/>
    <x v="49"/>
    <x v="49"/>
    <x v="49"/>
    <x v="49"/>
    <x v="49"/>
    <n v="1.8427419636188807"/>
    <n v="0.60596245079487498"/>
    <n v="-0.17533942661025698"/>
    <n v="0.58068019864838671"/>
    <n v="-1.1256469015623671"/>
    <n v="1.0455849259400718"/>
    <n v="1.5433759005376813"/>
    <n v="-0.3307914882197785"/>
  </r>
  <r>
    <x v="50"/>
    <n v="23.951436043634629"/>
    <n v="24.766661539418628"/>
    <n v="24.947149517641922"/>
    <n v="4.263133286054285"/>
    <n v="4.0631332860542848"/>
    <n v="1"/>
    <x v="0"/>
    <n v="14"/>
    <n v="51"/>
    <s v="Derrick White"/>
    <x v="1"/>
    <x v="26"/>
    <x v="50"/>
    <x v="48"/>
    <x v="50"/>
    <x v="50"/>
    <x v="50"/>
    <x v="50"/>
    <x v="50"/>
    <x v="50"/>
    <x v="50"/>
    <x v="50"/>
    <x v="50"/>
    <x v="48"/>
    <x v="50"/>
    <x v="50"/>
    <x v="50"/>
    <x v="50"/>
    <x v="50"/>
    <x v="50"/>
    <n v="1.7631332860542848"/>
    <n v="0.57978414134407952"/>
    <n v="0.61383833371922858"/>
    <n v="1.1926219043491082"/>
    <n v="-0.89435211192435393"/>
    <n v="0.9032101540795392"/>
    <n v="-0.57847116977295709"/>
    <n v="0.74793298301279598"/>
  </r>
  <r>
    <x v="51"/>
    <n v="23.135914049566978"/>
    <n v="23.916075779837108"/>
    <n v="24.048191499766837"/>
    <n v="4.1167203164037591"/>
    <n v="3.916720316403759"/>
    <n v="1"/>
    <x v="0"/>
    <n v="15"/>
    <n v="52"/>
    <s v="Russell Westbrook"/>
    <x v="2"/>
    <x v="12"/>
    <x v="51"/>
    <x v="49"/>
    <x v="51"/>
    <x v="51"/>
    <x v="51"/>
    <x v="51"/>
    <x v="51"/>
    <x v="51"/>
    <x v="51"/>
    <x v="51"/>
    <x v="51"/>
    <x v="49"/>
    <x v="51"/>
    <x v="51"/>
    <x v="51"/>
    <x v="51"/>
    <x v="51"/>
    <x v="51"/>
    <n v="1.6167203164037593"/>
    <n v="0.53163808309545024"/>
    <n v="0.62248175472674094"/>
    <n v="-0.72149081108125401"/>
    <n v="1.5625460668927775"/>
    <n v="1.673887006338765"/>
    <n v="1.3533838194821701"/>
    <n v="-0.6864012568472202"/>
  </r>
  <r>
    <x v="52"/>
    <n v="23.010125540817317"/>
    <n v="23.311096527212921"/>
    <n v="23.408807470974544"/>
    <n v="4.0125840691695691"/>
    <n v="3.8125840691695689"/>
    <n v="1"/>
    <x v="0"/>
    <n v="16"/>
    <n v="53"/>
    <s v="Richaun Holmes"/>
    <x v="7"/>
    <x v="24"/>
    <x v="52"/>
    <x v="18"/>
    <x v="52"/>
    <x v="52"/>
    <x v="52"/>
    <x v="52"/>
    <x v="52"/>
    <x v="52"/>
    <x v="52"/>
    <x v="52"/>
    <x v="52"/>
    <x v="18"/>
    <x v="52"/>
    <x v="52"/>
    <x v="52"/>
    <x v="52"/>
    <x v="52"/>
    <x v="52"/>
    <n v="1.5125840691695691"/>
    <n v="0.49739419174416932"/>
    <n v="-8.7158108868696432E-2"/>
    <n v="-1.7120096997355103"/>
    <n v="1.2649560953887222"/>
    <n v="-0.9061837721776882"/>
    <n v="-1.122825952175692"/>
    <n v="1.5803967836437973"/>
  </r>
  <r>
    <x v="53"/>
    <n v="22.997997893552569"/>
    <n v="23.857316215095494"/>
    <n v="23.986090316839313"/>
    <n v="4.1066059190343225"/>
    <n v="3.9066059190343223"/>
    <n v="1"/>
    <x v="0"/>
    <n v="13"/>
    <n v="54"/>
    <s v="D'Angelo Russell"/>
    <x v="1"/>
    <x v="3"/>
    <x v="53"/>
    <x v="50"/>
    <x v="53"/>
    <x v="53"/>
    <x v="53"/>
    <x v="53"/>
    <x v="53"/>
    <x v="53"/>
    <x v="53"/>
    <x v="53"/>
    <x v="53"/>
    <x v="50"/>
    <x v="53"/>
    <x v="53"/>
    <x v="53"/>
    <x v="53"/>
    <x v="53"/>
    <x v="53"/>
    <n v="1.6066059190343225"/>
    <n v="0.52831209110129129"/>
    <n v="0.61804470873238682"/>
    <n v="1.2636390562334876"/>
    <n v="-1.0540879027338024"/>
    <n v="1.8819434247591851"/>
    <n v="0.68507111989285774"/>
    <n v="-0.32171414936093246"/>
  </r>
  <r>
    <x v="54"/>
    <n v="22.401747178094581"/>
    <n v="22.71021329852935"/>
    <n v="22.773752404337262"/>
    <n v="3.9091528784474932"/>
    <n v="3.709152878447493"/>
    <n v="1"/>
    <x v="0"/>
    <n v="14"/>
    <n v="55"/>
    <s v="Myles Turner"/>
    <x v="7"/>
    <x v="20"/>
    <x v="54"/>
    <x v="51"/>
    <x v="54"/>
    <x v="54"/>
    <x v="54"/>
    <x v="54"/>
    <x v="54"/>
    <x v="54"/>
    <x v="54"/>
    <x v="54"/>
    <x v="54"/>
    <x v="51"/>
    <x v="54"/>
    <x v="54"/>
    <x v="54"/>
    <x v="54"/>
    <x v="54"/>
    <x v="54"/>
    <n v="1.4091528784474932"/>
    <n v="0.46338214933346966"/>
    <n v="-0.60159971883071683"/>
    <n v="-0.26930956750327989"/>
    <n v="0.4225019497092265"/>
    <n v="-1.2598401772389882"/>
    <n v="-0.65905621420056282"/>
    <n v="4.0450960586148899"/>
  </r>
  <r>
    <x v="55"/>
    <n v="22.317911532772499"/>
    <n v="23.062491113796536"/>
    <n v="23.146064029575097"/>
    <n v="3.9697911391922345"/>
    <n v="3.7697911391922343"/>
    <n v="1"/>
    <x v="0"/>
    <n v="14"/>
    <n v="56"/>
    <s v="C.J. McCollum"/>
    <x v="4"/>
    <x v="4"/>
    <x v="55"/>
    <x v="52"/>
    <x v="55"/>
    <x v="55"/>
    <x v="55"/>
    <x v="55"/>
    <x v="55"/>
    <x v="55"/>
    <x v="55"/>
    <x v="55"/>
    <x v="55"/>
    <x v="52"/>
    <x v="55"/>
    <x v="55"/>
    <x v="55"/>
    <x v="55"/>
    <x v="55"/>
    <x v="55"/>
    <n v="1.4697911391922343"/>
    <n v="0.48332227650171472"/>
    <n v="1.1359600020425729"/>
    <n v="1.5318646253066466"/>
    <n v="-0.64452239858043714"/>
    <n v="0.65470146226782477"/>
    <n v="-0.49804885725540127"/>
    <n v="-0.2582406618871087"/>
  </r>
  <r>
    <x v="56"/>
    <n v="21.655593192454287"/>
    <n v="22.216155378977092"/>
    <n v="22.251597732602932"/>
    <n v="3.8241097345126649"/>
    <n v="3.6241097345126647"/>
    <n v="1"/>
    <x v="0"/>
    <n v="15"/>
    <n v="57"/>
    <s v="Cade Cunningham"/>
    <x v="2"/>
    <x v="27"/>
    <x v="56"/>
    <x v="53"/>
    <x v="56"/>
    <x v="56"/>
    <x v="56"/>
    <x v="56"/>
    <x v="56"/>
    <x v="56"/>
    <x v="56"/>
    <x v="56"/>
    <x v="56"/>
    <x v="53"/>
    <x v="56"/>
    <x v="56"/>
    <x v="56"/>
    <x v="56"/>
    <x v="56"/>
    <x v="56"/>
    <n v="1.3241097345126649"/>
    <n v="0.43541678416598495"/>
    <n v="4.8222786233885567E-2"/>
    <n v="0.38159858601562985"/>
    <n v="6.6371806314983919E-2"/>
    <n v="0.59149509402183875"/>
    <n v="0.88597820142679584"/>
    <n v="0.11513896108323131"/>
  </r>
  <r>
    <x v="57"/>
    <n v="21.006796207106369"/>
    <n v="21.419290305921407"/>
    <n v="21.409415461716499"/>
    <n v="3.6869438103920125"/>
    <n v="3.4869438103920123"/>
    <n v="1"/>
    <x v="0"/>
    <n v="12"/>
    <n v="58"/>
    <s v="DeMar DeRozan"/>
    <x v="6"/>
    <x v="14"/>
    <x v="57"/>
    <x v="54"/>
    <x v="57"/>
    <x v="57"/>
    <x v="57"/>
    <x v="57"/>
    <x v="57"/>
    <x v="57"/>
    <x v="57"/>
    <x v="57"/>
    <x v="57"/>
    <x v="54"/>
    <x v="57"/>
    <x v="57"/>
    <x v="57"/>
    <x v="57"/>
    <x v="57"/>
    <x v="57"/>
    <n v="1.1869438103920127"/>
    <n v="0.39031150019965921"/>
    <n v="0.84294017340244387"/>
    <n v="-1.5819881277600758"/>
    <n v="-0.65152457297094502"/>
    <n v="0.96527166191446589"/>
    <n v="3.9501070876847427E-2"/>
    <n v="-0.83867814041138278"/>
  </r>
  <r>
    <x v="58"/>
    <n v="20.907999570282815"/>
    <n v="21.511205006267684"/>
    <n v="21.506557291221764"/>
    <n v="3.7027652652901732"/>
    <n v="3.5027652652901731"/>
    <n v="1"/>
    <x v="0"/>
    <n v="15"/>
    <n v="59"/>
    <s v="Darius Garland"/>
    <x v="1"/>
    <x v="28"/>
    <x v="58"/>
    <x v="55"/>
    <x v="58"/>
    <x v="58"/>
    <x v="58"/>
    <x v="58"/>
    <x v="58"/>
    <x v="58"/>
    <x v="58"/>
    <x v="58"/>
    <x v="58"/>
    <x v="55"/>
    <x v="58"/>
    <x v="58"/>
    <x v="58"/>
    <x v="58"/>
    <x v="58"/>
    <x v="58"/>
    <n v="1.202765265290173"/>
    <n v="0.39551418607457245"/>
    <n v="0.65902003814839061"/>
    <n v="0.4620407952153171"/>
    <n v="-1.4386515726569982"/>
    <n v="1.3770740474040921"/>
    <n v="0.91222098751730718"/>
    <n v="-1.1031854011907294"/>
  </r>
  <r>
    <x v="59"/>
    <n v="20.841736733414233"/>
    <n v="21.102524758479252"/>
    <n v="21.074635663851307"/>
    <n v="3.6324183448977418"/>
    <n v="3.4324183448977417"/>
    <n v="1"/>
    <x v="0"/>
    <n v="13"/>
    <n v="60"/>
    <s v="Jonathan Isaac"/>
    <x v="3"/>
    <x v="29"/>
    <x v="59"/>
    <x v="56"/>
    <x v="59"/>
    <x v="59"/>
    <x v="59"/>
    <x v="59"/>
    <x v="59"/>
    <x v="59"/>
    <x v="59"/>
    <x v="59"/>
    <x v="59"/>
    <x v="56"/>
    <x v="59"/>
    <x v="59"/>
    <x v="59"/>
    <x v="59"/>
    <x v="59"/>
    <x v="59"/>
    <n v="1.1324183448977421"/>
    <n v="0.37238148864407872"/>
    <n v="-0.76332499302599699"/>
    <n v="-0.72009442407540314"/>
    <n v="0.3499317413408381"/>
    <n v="-1.1024388412548056"/>
    <n v="1.2111385086133573"/>
    <n v="2.4872087503765461"/>
  </r>
  <r>
    <x v="60"/>
    <n v="20.634723884161673"/>
    <n v="21.061293367509339"/>
    <n v="21.031059470524507"/>
    <n v="3.6253211059342103"/>
    <n v="3.4253211059342101"/>
    <n v="1"/>
    <x v="0"/>
    <n v="14"/>
    <n v="61"/>
    <s v="Kyle Lowry"/>
    <x v="2"/>
    <x v="11"/>
    <x v="60"/>
    <x v="57"/>
    <x v="60"/>
    <x v="60"/>
    <x v="60"/>
    <x v="60"/>
    <x v="60"/>
    <x v="60"/>
    <x v="60"/>
    <x v="60"/>
    <x v="60"/>
    <x v="57"/>
    <x v="60"/>
    <x v="60"/>
    <x v="60"/>
    <x v="60"/>
    <x v="60"/>
    <x v="60"/>
    <n v="1.1253211059342103"/>
    <n v="0.37004765113393012"/>
    <n v="-7.6665786655659651E-2"/>
    <n v="0.76471347223221353"/>
    <n v="-0.36506301379380696"/>
    <n v="1.5405693013315054"/>
    <n v="-2.9466036065182357E-2"/>
    <n v="-0.75279613198008222"/>
  </r>
  <r>
    <x v="61"/>
    <n v="20.54300972452425"/>
    <n v="20.588112010026165"/>
    <n v="20.53096859735048"/>
    <n v="3.5438714849501212"/>
    <n v="3.343871484950121"/>
    <n v="1"/>
    <x v="0"/>
    <e v="#N/A"/>
    <n v="62"/>
    <s v="Jonas Valanciunas"/>
    <x v="0"/>
    <x v="21"/>
    <x v="61"/>
    <x v="58"/>
    <x v="61"/>
    <x v="61"/>
    <x v="61"/>
    <x v="61"/>
    <x v="61"/>
    <x v="61"/>
    <x v="61"/>
    <x v="61"/>
    <x v="61"/>
    <x v="58"/>
    <x v="61"/>
    <x v="61"/>
    <x v="61"/>
    <x v="61"/>
    <x v="61"/>
    <x v="61"/>
    <n v="1.0438714849501212"/>
    <n v="0.34326397066088904"/>
    <n v="-0.23555985801713669"/>
    <n v="-1.3656229079033768"/>
    <n v="2.6837042657524641"/>
    <n v="-0.85081703223620819"/>
    <n v="-1.3986412402810424"/>
    <n v="0.56887280374236626"/>
  </r>
  <r>
    <x v="62"/>
    <n v="20.349609207605653"/>
    <n v="20.812499807104096"/>
    <n v="20.768117182339459"/>
    <n v="3.58249578985229"/>
    <n v="3.3824957898522898"/>
    <n v="1"/>
    <x v="0"/>
    <n v="14"/>
    <n v="63"/>
    <s v="Dejounte Murray"/>
    <x v="1"/>
    <x v="26"/>
    <x v="62"/>
    <x v="59"/>
    <x v="62"/>
    <x v="62"/>
    <x v="62"/>
    <x v="62"/>
    <x v="62"/>
    <x v="62"/>
    <x v="62"/>
    <x v="62"/>
    <x v="62"/>
    <x v="59"/>
    <x v="62"/>
    <x v="62"/>
    <x v="62"/>
    <x v="62"/>
    <x v="62"/>
    <x v="62"/>
    <n v="1.0824957898522902"/>
    <n v="0.35596508612949385"/>
    <n v="0.17943237466732126"/>
    <n v="-0.74955877642651469"/>
    <n v="0.60368900463109509"/>
    <n v="0.98533280228698672"/>
    <n v="1.7189778417799833"/>
    <n v="-0.97796192721962838"/>
  </r>
  <r>
    <x v="63"/>
    <n v="20.347827591716676"/>
    <n v="20.503251648847893"/>
    <n v="20.441282282688316"/>
    <n v="3.5292643070779688"/>
    <n v="3.3292643070779686"/>
    <n v="1"/>
    <x v="0"/>
    <n v="13"/>
    <n v="64"/>
    <s v="John Collins"/>
    <x v="5"/>
    <x v="15"/>
    <x v="63"/>
    <x v="60"/>
    <x v="63"/>
    <x v="63"/>
    <x v="63"/>
    <x v="63"/>
    <x v="63"/>
    <x v="63"/>
    <x v="63"/>
    <x v="63"/>
    <x v="63"/>
    <x v="60"/>
    <x v="63"/>
    <x v="63"/>
    <x v="63"/>
    <x v="63"/>
    <x v="63"/>
    <x v="63"/>
    <n v="1.029264307077969"/>
    <n v="0.33846058446935573"/>
    <n v="0.25043494637257591"/>
    <n v="-0.45617839156048812"/>
    <n v="0.85368380437998037"/>
    <n v="-1.1900974805252571"/>
    <n v="-1.1627218392121987"/>
    <n v="0.72053476541928707"/>
  </r>
  <r>
    <x v="64"/>
    <n v="19.597942799083778"/>
    <n v="19.854196797633548"/>
    <n v="19.7553161047136"/>
    <n v="3.4175412419291629"/>
    <n v="3.2175412419291627"/>
    <n v="1"/>
    <x v="0"/>
    <n v="14"/>
    <n v="65"/>
    <s v="Kawhi Leonard"/>
    <x v="3"/>
    <x v="9"/>
    <x v="64"/>
    <x v="61"/>
    <x v="64"/>
    <x v="64"/>
    <x v="64"/>
    <x v="64"/>
    <x v="64"/>
    <x v="64"/>
    <x v="64"/>
    <x v="64"/>
    <x v="64"/>
    <x v="61"/>
    <x v="64"/>
    <x v="64"/>
    <x v="64"/>
    <x v="64"/>
    <x v="64"/>
    <x v="64"/>
    <n v="0.91754124192916298"/>
    <n v="0.3017218637453033"/>
    <n v="0.23184415859431071"/>
    <n v="-0.29445017329763234"/>
    <n v="-0.37852300541908268"/>
    <n v="1.8128723614678408E-2"/>
    <n v="0.32175534188034044"/>
    <n v="-0.68633649858986423"/>
  </r>
  <r>
    <x v="65"/>
    <n v="19.539469063836979"/>
    <n v="19.456454350844883"/>
    <n v="19.334954303963688"/>
    <n v="3.3490770663485074"/>
    <n v="3.1490770663485077"/>
    <n v="1"/>
    <x v="0"/>
    <n v="13"/>
    <n v="66"/>
    <s v="Clint Capela"/>
    <x v="0"/>
    <x v="15"/>
    <x v="65"/>
    <x v="18"/>
    <x v="65"/>
    <x v="65"/>
    <x v="65"/>
    <x v="65"/>
    <x v="65"/>
    <x v="65"/>
    <x v="65"/>
    <x v="65"/>
    <x v="65"/>
    <x v="18"/>
    <x v="65"/>
    <x v="65"/>
    <x v="65"/>
    <x v="65"/>
    <x v="65"/>
    <x v="65"/>
    <n v="0.84907706634850788"/>
    <n v="0.27920828319763374"/>
    <n v="-0.32501407754482903"/>
    <n v="-1.7120096997355103"/>
    <n v="3.6616147458474493"/>
    <n v="-1.3874709143283996"/>
    <n v="-0.89029450904410146"/>
    <n v="2.4486618649563177"/>
  </r>
  <r>
    <x v="66"/>
    <n v="18.71836563328625"/>
    <n v="18.592330616986594"/>
    <n v="18.421688416029884"/>
    <n v="3.2003337790379618"/>
    <n v="3.0003337790379616"/>
    <n v="1"/>
    <x v="0"/>
    <n v="15"/>
    <n v="67"/>
    <s v="Isaiah Stewart"/>
    <x v="7"/>
    <x v="27"/>
    <x v="66"/>
    <x v="62"/>
    <x v="66"/>
    <x v="66"/>
    <x v="66"/>
    <x v="66"/>
    <x v="66"/>
    <x v="66"/>
    <x v="66"/>
    <x v="66"/>
    <x v="66"/>
    <x v="62"/>
    <x v="66"/>
    <x v="66"/>
    <x v="66"/>
    <x v="66"/>
    <x v="66"/>
    <x v="66"/>
    <n v="0.70033377903796179"/>
    <n v="0.2302959293806203"/>
    <n v="-0.71081113736464463"/>
    <n v="-1.0735917952120082"/>
    <n v="1.4276245147698481"/>
    <n v="-1.1504059727177469"/>
    <n v="-0.65082538771760878"/>
    <n v="2.0999522824113503"/>
  </r>
  <r>
    <x v="67"/>
    <n v="18.115425030303335"/>
    <n v="18.350093656785042"/>
    <n v="18.165675597632816"/>
    <n v="3.1586370632127698"/>
    <n v="2.9586370632127696"/>
    <n v="1"/>
    <x v="0"/>
    <n v="13"/>
    <n v="68"/>
    <s v="Kemba Walker"/>
    <x v="2"/>
    <x v="23"/>
    <x v="67"/>
    <x v="63"/>
    <x v="67"/>
    <x v="67"/>
    <x v="67"/>
    <x v="67"/>
    <x v="67"/>
    <x v="67"/>
    <x v="67"/>
    <x v="67"/>
    <x v="67"/>
    <x v="63"/>
    <x v="67"/>
    <x v="67"/>
    <x v="67"/>
    <x v="67"/>
    <x v="67"/>
    <x v="67"/>
    <n v="0.65863706321276971"/>
    <n v="0.21658449033469399"/>
    <n v="0.45421425050366315"/>
    <n v="1.1335052034326423"/>
    <n v="-0.84105780292688359"/>
    <n v="0.69037134774726494"/>
    <n v="-0.15818068877817251"/>
    <n v="-0.65731265712110154"/>
  </r>
  <r>
    <x v="68"/>
    <n v="17.509536832191834"/>
    <n v="17.720577923778663"/>
    <n v="17.500359714795774"/>
    <n v="3.0502773042196991"/>
    <n v="2.8502773042196989"/>
    <n v="1"/>
    <x v="0"/>
    <n v="14"/>
    <n v="69"/>
    <s v="Terry Rozier"/>
    <x v="1"/>
    <x v="16"/>
    <x v="68"/>
    <x v="64"/>
    <x v="68"/>
    <x v="68"/>
    <x v="68"/>
    <x v="68"/>
    <x v="68"/>
    <x v="68"/>
    <x v="68"/>
    <x v="68"/>
    <x v="68"/>
    <x v="64"/>
    <x v="68"/>
    <x v="68"/>
    <x v="68"/>
    <x v="68"/>
    <x v="68"/>
    <x v="68"/>
    <n v="0.55027730421969911"/>
    <n v="0.18095175041595221"/>
    <n v="0.42319156832271759"/>
    <n v="1.1163386501004213"/>
    <n v="-0.52067409008279242"/>
    <n v="0.39902099328929136"/>
    <n v="0.46025350036180956"/>
    <n v="-0.58213878047132839"/>
  </r>
  <r>
    <x v="69"/>
    <n v="17.506011887827128"/>
    <n v="17.496174919045473"/>
    <n v="17.263195057302084"/>
    <n v="3.0116503815944577"/>
    <n v="2.8116503815944576"/>
    <n v="1"/>
    <x v="0"/>
    <e v="#N/A"/>
    <n v="70"/>
    <s v="Mikal Bridges"/>
    <x v="9"/>
    <x v="19"/>
    <x v="69"/>
    <x v="65"/>
    <x v="69"/>
    <x v="69"/>
    <x v="69"/>
    <x v="69"/>
    <x v="69"/>
    <x v="69"/>
    <x v="69"/>
    <x v="69"/>
    <x v="69"/>
    <x v="65"/>
    <x v="69"/>
    <x v="69"/>
    <x v="69"/>
    <x v="69"/>
    <x v="69"/>
    <x v="69"/>
    <n v="0.51165038159445753"/>
    <n v="0.16824977414213443"/>
    <n v="-0.41118983424430716"/>
    <n v="0.2153499120859374"/>
    <n v="-0.73590478541127025"/>
    <n v="-0.78588416787776183"/>
    <n v="0.75319887547023812"/>
    <n v="0.26863409516253245"/>
  </r>
  <r>
    <x v="70"/>
    <n v="17.400866757267885"/>
    <n v="17.626721550076322"/>
    <n v="17.401165790234998"/>
    <n v="3.0341216253365371"/>
    <n v="2.8341216253365369"/>
    <n v="1"/>
    <x v="0"/>
    <n v="14"/>
    <n v="71"/>
    <s v="Caris LeVert"/>
    <x v="6"/>
    <x v="20"/>
    <x v="70"/>
    <x v="66"/>
    <x v="70"/>
    <x v="70"/>
    <x v="70"/>
    <x v="70"/>
    <x v="70"/>
    <x v="70"/>
    <x v="70"/>
    <x v="70"/>
    <x v="70"/>
    <x v="66"/>
    <x v="70"/>
    <x v="70"/>
    <x v="70"/>
    <x v="70"/>
    <x v="70"/>
    <x v="70"/>
    <n v="0.53412162533653706"/>
    <n v="0.1756391591993989"/>
    <n v="0.72305564709540249"/>
    <n v="4.7907149764450485E-2"/>
    <n v="-0.55656574701389605"/>
    <n v="0.61464097801783879"/>
    <n v="1.141100227967329"/>
    <n v="-0.24271945696447125"/>
  </r>
  <r>
    <x v="71"/>
    <n v="17.143204451300718"/>
    <n v="17.248674833903348"/>
    <n v="17.001619803476128"/>
    <n v="2.9690477139078451"/>
    <n v="2.7690477139078449"/>
    <n v="1"/>
    <x v="0"/>
    <n v="15"/>
    <n v="72"/>
    <s v="Jamal Murray"/>
    <x v="1"/>
    <x v="0"/>
    <x v="71"/>
    <x v="67"/>
    <x v="71"/>
    <x v="71"/>
    <x v="71"/>
    <x v="71"/>
    <x v="71"/>
    <x v="71"/>
    <x v="71"/>
    <x v="71"/>
    <x v="71"/>
    <x v="67"/>
    <x v="71"/>
    <x v="71"/>
    <x v="71"/>
    <x v="71"/>
    <x v="71"/>
    <x v="71"/>
    <n v="0.46904771390784494"/>
    <n v="0.15424042425405718"/>
    <n v="0.33008365185566879"/>
    <n v="0.5372178500941176"/>
    <n v="-0.93766689281730009"/>
    <n v="0.30738053001435683"/>
    <n v="0.39359607827828813"/>
    <n v="-0.77829322403544887"/>
  </r>
  <r>
    <x v="72"/>
    <n v="17.047182178478067"/>
    <n v="17.158258751551738"/>
    <n v="16.906061817395077"/>
    <n v="2.9534842190195949"/>
    <n v="2.7534842190195947"/>
    <n v="1"/>
    <x v="0"/>
    <n v="15"/>
    <n v="73"/>
    <s v="Mike Conley"/>
    <x v="2"/>
    <x v="17"/>
    <x v="72"/>
    <x v="68"/>
    <x v="72"/>
    <x v="72"/>
    <x v="72"/>
    <x v="72"/>
    <x v="72"/>
    <x v="72"/>
    <x v="72"/>
    <x v="72"/>
    <x v="72"/>
    <x v="68"/>
    <x v="72"/>
    <x v="72"/>
    <x v="72"/>
    <x v="72"/>
    <x v="72"/>
    <x v="72"/>
    <n v="0.45348421901959474"/>
    <n v="0.14912256527455214"/>
    <n v="-0.27992386674965181"/>
    <n v="0.62579029437637823"/>
    <n v="-0.99504783320631218"/>
    <n v="1.1204188611847801"/>
    <n v="1.1704545073557389"/>
    <n v="-0.89353576544064128"/>
  </r>
  <r>
    <x v="73"/>
    <n v="17.023023911390684"/>
    <n v="17.020704584466934"/>
    <n v="16.760685034395735"/>
    <n v="2.929806754561926"/>
    <n v="2.7298067545619262"/>
    <n v="1"/>
    <x v="0"/>
    <n v="13"/>
    <n v="74"/>
    <s v="Ben Simmons"/>
    <x v="2"/>
    <x v="5"/>
    <x v="73"/>
    <x v="69"/>
    <x v="73"/>
    <x v="73"/>
    <x v="73"/>
    <x v="73"/>
    <x v="73"/>
    <x v="73"/>
    <x v="73"/>
    <x v="73"/>
    <x v="73"/>
    <x v="69"/>
    <x v="73"/>
    <x v="73"/>
    <x v="73"/>
    <x v="73"/>
    <x v="73"/>
    <x v="73"/>
    <n v="0.42980675456192641"/>
    <n v="0.14133652974996871"/>
    <n v="-0.42410006853573362"/>
    <n v="-1.6710469463445734"/>
    <n v="0.60389803038339374"/>
    <n v="1.6798386895980177"/>
    <n v="2.1616764240722266"/>
    <n v="-0.33919986003278219"/>
  </r>
  <r>
    <x v="74"/>
    <n v="16.98327476476728"/>
    <n v="17.147025163474137"/>
    <n v="16.894189382478185"/>
    <n v="2.951550559806817"/>
    <n v="2.7515505598068168"/>
    <n v="1"/>
    <x v="0"/>
    <n v="12"/>
    <n v="75"/>
    <s v="Ja Morant"/>
    <x v="2"/>
    <x v="22"/>
    <x v="74"/>
    <x v="70"/>
    <x v="74"/>
    <x v="74"/>
    <x v="74"/>
    <x v="74"/>
    <x v="74"/>
    <x v="74"/>
    <x v="74"/>
    <x v="74"/>
    <x v="74"/>
    <x v="70"/>
    <x v="74"/>
    <x v="74"/>
    <x v="74"/>
    <x v="74"/>
    <x v="74"/>
    <x v="74"/>
    <n v="0.4515505598068168"/>
    <n v="0.14848670583318146"/>
    <n v="1.2842361076890825"/>
    <n v="-9.7696085947395678E-2"/>
    <n v="-0.52570951930863807"/>
    <n v="2.0259584104072319"/>
    <n v="-0.36314883047693425"/>
    <n v="-0.83094168726591389"/>
  </r>
  <r>
    <x v="75"/>
    <n v="16.66541373903415"/>
    <n v="16.799701964626603"/>
    <n v="16.527114139469617"/>
    <n v="2.8917651467559256"/>
    <n v="2.6917651467559254"/>
    <n v="1"/>
    <x v="0"/>
    <n v="15"/>
    <n v="76"/>
    <s v="Kevin Porter"/>
    <x v="1"/>
    <x v="25"/>
    <x v="75"/>
    <x v="71"/>
    <x v="75"/>
    <x v="75"/>
    <x v="75"/>
    <x v="75"/>
    <x v="75"/>
    <x v="75"/>
    <x v="75"/>
    <x v="75"/>
    <x v="75"/>
    <x v="71"/>
    <x v="75"/>
    <x v="75"/>
    <x v="75"/>
    <x v="75"/>
    <x v="75"/>
    <x v="75"/>
    <n v="0.39176514675592544"/>
    <n v="0.128827026871426"/>
    <n v="0.56368751549709728"/>
    <n v="0.57974571527469509"/>
    <n v="-0.5867156840670168"/>
    <n v="2.0954386936520919"/>
    <n v="0.10287825127660906"/>
    <n v="-0.42852449080075777"/>
  </r>
  <r>
    <x v="76"/>
    <n v="16.499540508935794"/>
    <n v="16.569768179964814"/>
    <n v="16.284104170194123"/>
    <n v="2.8521862002992151"/>
    <n v="2.6521862002992149"/>
    <n v="1"/>
    <x v="0"/>
    <n v="16"/>
    <n v="77"/>
    <s v="Buddy Hield"/>
    <x v="6"/>
    <x v="24"/>
    <x v="76"/>
    <x v="72"/>
    <x v="76"/>
    <x v="76"/>
    <x v="76"/>
    <x v="76"/>
    <x v="76"/>
    <x v="76"/>
    <x v="76"/>
    <x v="76"/>
    <x v="76"/>
    <x v="72"/>
    <x v="76"/>
    <x v="76"/>
    <x v="76"/>
    <x v="76"/>
    <x v="76"/>
    <x v="76"/>
    <n v="0.35218620029921499"/>
    <n v="0.11581198956924858"/>
    <n v="0.12864244750875217"/>
    <n v="2.3446086644106399"/>
    <n v="-0.45134269120355702"/>
    <n v="-8.9666308506798811E-2"/>
    <n v="-0.24757990241623906"/>
    <n v="-0.45960942942305594"/>
  </r>
  <r>
    <x v="77"/>
    <n v="15.821018469119652"/>
    <n v="15.80310486229444"/>
    <n v="15.473841208856074"/>
    <n v="2.7202189626658582"/>
    <n v="2.520218962665858"/>
    <n v="1"/>
    <x v="0"/>
    <n v="13"/>
    <n v="78"/>
    <s v="Bogdan Bogdanovic"/>
    <x v="6"/>
    <x v="15"/>
    <x v="77"/>
    <x v="73"/>
    <x v="77"/>
    <x v="77"/>
    <x v="77"/>
    <x v="77"/>
    <x v="77"/>
    <x v="77"/>
    <x v="77"/>
    <x v="77"/>
    <x v="77"/>
    <x v="73"/>
    <x v="77"/>
    <x v="77"/>
    <x v="77"/>
    <x v="77"/>
    <x v="77"/>
    <x v="77"/>
    <n v="0.22021896266585794"/>
    <n v="7.2416228079183728E-2"/>
    <n v="2.0483499745172499E-2"/>
    <n v="1.2701663679875668"/>
    <n v="-0.8472939940294627"/>
    <n v="2.7021238602032312E-2"/>
    <n v="0.5532421591626161"/>
    <n v="-0.63954675299549324"/>
  </r>
  <r>
    <x v="78"/>
    <n v="15.290967648253597"/>
    <n v="15.198463163575568"/>
    <n v="14.834813930439891"/>
    <n v="2.6161408192373541"/>
    <n v="2.4161408192373539"/>
    <n v="1"/>
    <x v="0"/>
    <n v="14"/>
    <n v="79"/>
    <s v="Marcus Smart"/>
    <x v="1"/>
    <x v="7"/>
    <x v="78"/>
    <x v="74"/>
    <x v="78"/>
    <x v="78"/>
    <x v="78"/>
    <x v="78"/>
    <x v="78"/>
    <x v="78"/>
    <x v="78"/>
    <x v="78"/>
    <x v="78"/>
    <x v="74"/>
    <x v="78"/>
    <x v="78"/>
    <x v="78"/>
    <x v="78"/>
    <x v="78"/>
    <x v="78"/>
    <n v="0.11614081923735403"/>
    <n v="3.8191443431494158E-2"/>
    <n v="-0.6588316011071208"/>
    <n v="0.28962570341095117"/>
    <n v="-0.81870940124807678"/>
    <n v="1.1506363336476935"/>
    <n v="1.7190159662172093"/>
    <n v="-0.33944004550969237"/>
  </r>
  <r>
    <x v="79"/>
    <n v="15.254652042284564"/>
    <n v="15.255322171851851"/>
    <n v="14.894906473493442"/>
    <n v="2.6259280701516068"/>
    <n v="2.4259280701516066"/>
    <n v="1"/>
    <x v="0"/>
    <n v="15"/>
    <n v="80"/>
    <s v="Collin Sexton"/>
    <x v="1"/>
    <x v="28"/>
    <x v="79"/>
    <x v="75"/>
    <x v="79"/>
    <x v="79"/>
    <x v="79"/>
    <x v="79"/>
    <x v="79"/>
    <x v="79"/>
    <x v="79"/>
    <x v="79"/>
    <x v="79"/>
    <x v="75"/>
    <x v="79"/>
    <x v="79"/>
    <x v="79"/>
    <x v="79"/>
    <x v="79"/>
    <x v="79"/>
    <n v="0.12592807015160679"/>
    <n v="4.1409857440419175E-2"/>
    <n v="1.4481834860073979"/>
    <n v="-5.3773029295518054E-2"/>
    <n v="-1.0144979801486034"/>
    <n v="-2.4498197025915176E-2"/>
    <n v="0.33383666692023545"/>
    <n v="-0.96531332105653656"/>
  </r>
  <r>
    <x v="80"/>
    <n v="14.946350625645348"/>
    <n v="14.796981310134663"/>
    <n v="14.410500065416313"/>
    <n v="2.5470329723672158"/>
    <n v="2.3470329723672156"/>
    <n v="1"/>
    <x v="0"/>
    <n v="14"/>
    <n v="81"/>
    <s v="Malcolm Brogdon"/>
    <x v="1"/>
    <x v="20"/>
    <x v="80"/>
    <x v="76"/>
    <x v="80"/>
    <x v="80"/>
    <x v="80"/>
    <x v="80"/>
    <x v="80"/>
    <x v="80"/>
    <x v="80"/>
    <x v="80"/>
    <x v="80"/>
    <x v="76"/>
    <x v="80"/>
    <x v="80"/>
    <x v="80"/>
    <x v="80"/>
    <x v="80"/>
    <x v="80"/>
    <n v="4.703297236721582E-2"/>
    <n v="1.5466199699405945E-2"/>
    <n v="0.63597617082642122"/>
    <n v="0.7296916788615142"/>
    <n v="-0.12197463355401791"/>
    <n v="0.78694616110402049"/>
    <n v="-1.1629532103439153"/>
    <n v="-0.72257826685371229"/>
  </r>
  <r>
    <x v="81"/>
    <n v="14.782772916364651"/>
    <n v="14.602371821061739"/>
    <n v="14.204823261418619"/>
    <n v="2.513534465136908"/>
    <n v="2.3135344651369079"/>
    <n v="1"/>
    <x v="0"/>
    <n v="14"/>
    <n v="82"/>
    <s v="Norman Powell"/>
    <x v="6"/>
    <x v="4"/>
    <x v="81"/>
    <x v="77"/>
    <x v="81"/>
    <x v="81"/>
    <x v="81"/>
    <x v="81"/>
    <x v="81"/>
    <x v="81"/>
    <x v="81"/>
    <x v="81"/>
    <x v="81"/>
    <x v="77"/>
    <x v="81"/>
    <x v="81"/>
    <x v="81"/>
    <x v="81"/>
    <x v="81"/>
    <x v="81"/>
    <n v="1.3534465136907925E-2"/>
    <n v="4.4506381395100492E-3"/>
    <n v="0.3082623130869962"/>
    <n v="0.51901218192036758"/>
    <n v="-0.78173368160269407"/>
    <n v="-0.82804192429746815"/>
    <n v="0.49630172364720548"/>
    <n v="-0.61430373032415631"/>
  </r>
  <r>
    <x v="82"/>
    <n v="13.953713378648109"/>
    <n v="13.555761256879773"/>
    <n v="13.09869263594584"/>
    <n v="2.3333793672607275"/>
    <n v="2.1333793672607273"/>
    <n v="1"/>
    <x v="0"/>
    <n v="12"/>
    <n v="83"/>
    <s v="Kyle Anderson"/>
    <x v="3"/>
    <x v="22"/>
    <x v="82"/>
    <x v="78"/>
    <x v="82"/>
    <x v="82"/>
    <x v="82"/>
    <x v="82"/>
    <x v="82"/>
    <x v="82"/>
    <x v="82"/>
    <x v="82"/>
    <x v="82"/>
    <x v="78"/>
    <x v="82"/>
    <x v="82"/>
    <x v="82"/>
    <x v="82"/>
    <x v="82"/>
    <x v="82"/>
    <n v="-0.16662063273927244"/>
    <n v="-5.4791093360353413E-2"/>
    <n v="-0.71935354896384629"/>
    <n v="-0.41329626588641116"/>
    <n v="-2.5135493167929696E-2"/>
    <n v="-3.7878141927519704E-2"/>
    <n v="0.87028290184187906"/>
    <n v="0.53444797831914737"/>
  </r>
  <r>
    <x v="83"/>
    <n v="13.603175775338892"/>
    <n v="13.13311144682015"/>
    <n v="12.652007006394026"/>
    <n v="2.2606278391332109"/>
    <n v="2.0606278391332107"/>
    <n v="1"/>
    <x v="0"/>
    <n v="14"/>
    <n v="84"/>
    <s v="Robert Covington"/>
    <x v="3"/>
    <x v="4"/>
    <x v="83"/>
    <x v="79"/>
    <x v="83"/>
    <x v="83"/>
    <x v="83"/>
    <x v="83"/>
    <x v="83"/>
    <x v="83"/>
    <x v="83"/>
    <x v="83"/>
    <x v="83"/>
    <x v="79"/>
    <x v="83"/>
    <x v="83"/>
    <x v="83"/>
    <x v="83"/>
    <x v="83"/>
    <x v="83"/>
    <n v="-0.23937216086678903"/>
    <n v="-7.871451571333779E-2"/>
    <n v="-1.3033595480468025"/>
    <n v="0.15398417961367725"/>
    <n v="0.42864643911426215"/>
    <n v="-1.0524851207786743"/>
    <n v="1.3560938975045951"/>
    <n v="0.8716040235645407"/>
  </r>
  <r>
    <x v="84"/>
    <n v="12.703536886664159"/>
    <n v="12.175763825925449"/>
    <n v="11.640215649670228"/>
    <n v="2.0958377440909186"/>
    <n v="1.8958377440909184"/>
    <n v="1"/>
    <x v="0"/>
    <n v="15"/>
    <n v="85"/>
    <s v="Kelly Olynyk"/>
    <x v="7"/>
    <x v="27"/>
    <x v="84"/>
    <x v="80"/>
    <x v="84"/>
    <x v="84"/>
    <x v="84"/>
    <x v="84"/>
    <x v="84"/>
    <x v="84"/>
    <x v="84"/>
    <x v="84"/>
    <x v="84"/>
    <x v="80"/>
    <x v="84"/>
    <x v="84"/>
    <x v="84"/>
    <x v="84"/>
    <x v="84"/>
    <x v="84"/>
    <n v="-0.4041622559090815"/>
    <n v="-0.13290365984203822"/>
    <n v="-0.4279207474771976"/>
    <n v="0.21983817549575757"/>
    <n v="0.20047832844748312"/>
    <n v="-0.54728118601432318"/>
    <n v="7.4303916509630766E-2"/>
    <n v="-0.30253816554592411"/>
  </r>
  <r>
    <x v="85"/>
    <n v="12.192240661771709"/>
    <n v="11.612769594980072"/>
    <n v="11.04520430340132"/>
    <n v="1.9989284597297732"/>
    <n v="1.798928459729773"/>
    <n v="1"/>
    <x v="0"/>
    <n v="14"/>
    <n v="86"/>
    <s v="PJ Washington"/>
    <x v="5"/>
    <x v="16"/>
    <x v="85"/>
    <x v="81"/>
    <x v="85"/>
    <x v="85"/>
    <x v="85"/>
    <x v="85"/>
    <x v="85"/>
    <x v="85"/>
    <x v="85"/>
    <x v="85"/>
    <x v="85"/>
    <x v="81"/>
    <x v="85"/>
    <x v="85"/>
    <x v="85"/>
    <x v="85"/>
    <x v="85"/>
    <x v="85"/>
    <n v="-0.50107154027022693"/>
    <n v="-0.164771055611836"/>
    <n v="-0.58864710783477547"/>
    <n v="-9.0054826020551397E-4"/>
    <n v="0.22660654748478301"/>
    <n v="-0.71392831727339734"/>
    <n v="0.43350759849937015"/>
    <n v="0.83554730753456163"/>
  </r>
  <r>
    <x v="86"/>
    <n v="12.07758643618433"/>
    <n v="11.731208872940543"/>
    <n v="11.170379145978375"/>
    <n v="2.0193156414032449"/>
    <n v="1.819315641403245"/>
    <n v="1"/>
    <x v="0"/>
    <n v="15"/>
    <n v="87"/>
    <s v="Jalen Green"/>
    <x v="4"/>
    <x v="25"/>
    <x v="86"/>
    <x v="82"/>
    <x v="86"/>
    <x v="86"/>
    <x v="86"/>
    <x v="86"/>
    <x v="86"/>
    <x v="86"/>
    <x v="86"/>
    <x v="86"/>
    <x v="86"/>
    <x v="82"/>
    <x v="86"/>
    <x v="86"/>
    <x v="86"/>
    <x v="86"/>
    <x v="86"/>
    <x v="86"/>
    <n v="-0.48068435859675479"/>
    <n v="-0.15806698807793326"/>
    <n v="0.23096303422279696"/>
    <n v="0.65423511776617993"/>
    <n v="-0.46199207272202436"/>
    <n v="2.7554903046900271E-2"/>
    <n v="1.1372447820732619"/>
    <n v="-0.97301780345873423"/>
  </r>
  <r>
    <x v="87"/>
    <n v="11.569318064093741"/>
    <n v="10.871804570481464"/>
    <n v="10.262101080434425"/>
    <n v="1.871384718934735"/>
    <n v="1.6713847189347348"/>
    <n v="1"/>
    <x v="0"/>
    <n v="14"/>
    <n v="88"/>
    <s v="Miles Bridges"/>
    <x v="3"/>
    <x v="16"/>
    <x v="87"/>
    <x v="83"/>
    <x v="87"/>
    <x v="87"/>
    <x v="87"/>
    <x v="87"/>
    <x v="87"/>
    <x v="87"/>
    <x v="87"/>
    <x v="87"/>
    <x v="87"/>
    <x v="83"/>
    <x v="87"/>
    <x v="87"/>
    <x v="87"/>
    <x v="87"/>
    <x v="87"/>
    <x v="87"/>
    <n v="-0.62861528106526499"/>
    <n v="-0.20671220596363432"/>
    <n v="-0.28210198093082023"/>
    <n v="0.3439576802496972"/>
    <n v="0.2327165310135052"/>
    <n v="-0.58793576089291055"/>
    <n v="-1.0962293355127726"/>
    <n v="0.19185022941546914"/>
  </r>
  <r>
    <x v="88"/>
    <n v="11.468448416028684"/>
    <n v="10.870026970927634"/>
    <n v="10.260222389951442"/>
    <n v="1.8710787372902107"/>
    <n v="1.6710787372902105"/>
    <n v="1"/>
    <x v="0"/>
    <n v="14"/>
    <n v="89"/>
    <s v="T.J. Warren"/>
    <x v="9"/>
    <x v="20"/>
    <x v="88"/>
    <x v="84"/>
    <x v="88"/>
    <x v="88"/>
    <x v="88"/>
    <x v="88"/>
    <x v="88"/>
    <x v="88"/>
    <x v="88"/>
    <x v="88"/>
    <x v="88"/>
    <x v="84"/>
    <x v="88"/>
    <x v="88"/>
    <x v="88"/>
    <x v="88"/>
    <x v="88"/>
    <x v="88"/>
    <n v="-0.62892126270978932"/>
    <n v="-0.2068128241678511"/>
    <n v="0.25795441919268364"/>
    <n v="-0.52610350863573885"/>
    <n v="-0.72367097263091695"/>
    <n v="-1.0645221391317732"/>
    <n v="0.46933927443118617"/>
    <n v="-0.42099025860966061"/>
  </r>
  <r>
    <x v="89"/>
    <n v="11.323688432255267"/>
    <n v="10.590197290835238"/>
    <n v="9.9644789781616137"/>
    <n v="1.8229111139821959"/>
    <n v="1.6229111139821955"/>
    <n v="1"/>
    <x v="0"/>
    <n v="14"/>
    <n v="90"/>
    <s v="Thaddeus Young"/>
    <x v="10"/>
    <x v="26"/>
    <x v="89"/>
    <x v="85"/>
    <x v="89"/>
    <x v="89"/>
    <x v="89"/>
    <x v="89"/>
    <x v="89"/>
    <x v="89"/>
    <x v="89"/>
    <x v="89"/>
    <x v="89"/>
    <x v="85"/>
    <x v="89"/>
    <x v="89"/>
    <x v="89"/>
    <x v="89"/>
    <x v="89"/>
    <x v="89"/>
    <n v="-0.67708888601780426"/>
    <n v="-0.22265213951690219"/>
    <n v="-0.6429713624198653"/>
    <n v="-1.4785119408485969"/>
    <n v="0.49551535314434514"/>
    <n v="7.1629530426230423E-2"/>
    <n v="0.684626568971476"/>
    <n v="7.4543271549750309E-2"/>
  </r>
  <r>
    <x v="90"/>
    <n v="11.232081988397315"/>
    <n v="10.243261824127565"/>
    <n v="9.5978135173672356"/>
    <n v="1.7631924420134193"/>
    <n v="1.5631924420134191"/>
    <n v="1"/>
    <x v="0"/>
    <n v="15"/>
    <n v="91"/>
    <s v="Daniel Gafford"/>
    <x v="7"/>
    <x v="6"/>
    <x v="90"/>
    <x v="18"/>
    <x v="90"/>
    <x v="90"/>
    <x v="90"/>
    <x v="90"/>
    <x v="90"/>
    <x v="90"/>
    <x v="90"/>
    <x v="90"/>
    <x v="90"/>
    <x v="18"/>
    <x v="90"/>
    <x v="90"/>
    <x v="90"/>
    <x v="90"/>
    <x v="90"/>
    <x v="90"/>
    <n v="-0.73680755798658071"/>
    <n v="-0.24228987151566148"/>
    <n v="-0.87729152826974577"/>
    <n v="-1.7120096997355103"/>
    <n v="0.53739976306637316"/>
    <n v="-1.3664104646743309"/>
    <n v="-0.90966398052295827"/>
    <n v="2.9303764127225596"/>
  </r>
  <r>
    <x v="91"/>
    <n v="10.922088859288712"/>
    <n v="10.210102758029308"/>
    <n v="9.5627687167712967"/>
    <n v="1.7574847079212419"/>
    <n v="1.5574847079212417"/>
    <n v="1"/>
    <x v="0"/>
    <n v="13"/>
    <n v="92"/>
    <s v="Matisse Thybulle"/>
    <x v="6"/>
    <x v="5"/>
    <x v="91"/>
    <x v="86"/>
    <x v="91"/>
    <x v="91"/>
    <x v="91"/>
    <x v="91"/>
    <x v="91"/>
    <x v="91"/>
    <x v="91"/>
    <x v="91"/>
    <x v="91"/>
    <x v="86"/>
    <x v="91"/>
    <x v="91"/>
    <x v="91"/>
    <x v="91"/>
    <x v="91"/>
    <x v="91"/>
    <n v="-0.7425152920787581"/>
    <n v="-0.24416678787577353"/>
    <n v="-1.8348539668107038"/>
    <n v="-0.81337791867922282"/>
    <n v="-1.265558622922722"/>
    <n v="-1.1526387936794285"/>
    <n v="3.4793419603311788"/>
    <n v="1.3825059104848993"/>
  </r>
  <r>
    <x v="92"/>
    <n v="10.496269094187161"/>
    <n v="9.4616948970702008"/>
    <n v="8.7717993880807548"/>
    <n v="1.6286598173108804"/>
    <n v="1.4286598173108802"/>
    <n v="1"/>
    <x v="0"/>
    <n v="14"/>
    <n v="93"/>
    <s v="Jakob Poeltl"/>
    <x v="0"/>
    <x v="26"/>
    <x v="92"/>
    <x v="18"/>
    <x v="92"/>
    <x v="92"/>
    <x v="92"/>
    <x v="92"/>
    <x v="92"/>
    <x v="92"/>
    <x v="92"/>
    <x v="92"/>
    <x v="92"/>
    <x v="18"/>
    <x v="92"/>
    <x v="92"/>
    <x v="92"/>
    <x v="92"/>
    <x v="92"/>
    <x v="92"/>
    <n v="-0.87134018268911961"/>
    <n v="-0.28652922818419946"/>
    <n v="-1.0346278651814869"/>
    <n v="-1.7120096997355103"/>
    <n v="1.308328388729797"/>
    <n v="-0.73387032092128279"/>
    <n v="-0.73978742971415623"/>
    <n v="2.365492255175321"/>
  </r>
  <r>
    <x v="93"/>
    <n v="10.371341645756724"/>
    <n v="9.7157347538205876"/>
    <n v="9.0402863260680011"/>
    <n v="1.6723881885155873"/>
    <n v="1.4723881885155872"/>
    <n v="1"/>
    <x v="0"/>
    <n v="13"/>
    <n v="94"/>
    <s v="Jalen Suggs"/>
    <x v="1"/>
    <x v="29"/>
    <x v="93"/>
    <x v="87"/>
    <x v="93"/>
    <x v="93"/>
    <x v="93"/>
    <x v="93"/>
    <x v="93"/>
    <x v="93"/>
    <x v="93"/>
    <x v="93"/>
    <x v="93"/>
    <x v="87"/>
    <x v="93"/>
    <x v="93"/>
    <x v="93"/>
    <x v="93"/>
    <x v="93"/>
    <x v="93"/>
    <n v="-0.82761181148441265"/>
    <n v="-0.27214970489357304"/>
    <n v="-0.4797633188768593"/>
    <n v="-0.40437930785221943"/>
    <n v="6.5628848114709162E-2"/>
    <n v="0.61153535129520453"/>
    <n v="1.3196497781279835"/>
    <n v="-0.64716293355004517"/>
  </r>
  <r>
    <x v="94"/>
    <n v="10.129184130202521"/>
    <n v="9.3769260628678452"/>
    <n v="8.6822098054740309"/>
    <n v="1.6140683941538712"/>
    <n v="1.414068394153871"/>
    <n v="1"/>
    <x v="0"/>
    <n v="15"/>
    <n v="95"/>
    <s v="Jae'Sean Tate"/>
    <x v="9"/>
    <x v="25"/>
    <x v="94"/>
    <x v="88"/>
    <x v="94"/>
    <x v="94"/>
    <x v="94"/>
    <x v="94"/>
    <x v="94"/>
    <x v="94"/>
    <x v="94"/>
    <x v="94"/>
    <x v="94"/>
    <x v="88"/>
    <x v="94"/>
    <x v="94"/>
    <x v="94"/>
    <x v="94"/>
    <x v="94"/>
    <x v="94"/>
    <n v="-0.88593160584612884"/>
    <n v="-0.29132743363638453"/>
    <n v="-0.56173245824449758"/>
    <n v="-0.63953033822734351"/>
    <n v="-5.0230416403408439E-2"/>
    <n v="-0.17376282001416093"/>
    <n v="1.3016090798794786"/>
    <n v="-0.25467729843003883"/>
  </r>
  <r>
    <x v="95"/>
    <n v="10.104387466536695"/>
    <n v="9.362479769783759"/>
    <n v="8.6669419611088685"/>
    <n v="1.6115817258231864"/>
    <n v="1.411581725823186"/>
    <n v="1"/>
    <x v="0"/>
    <n v="15"/>
    <n v="96"/>
    <s v="Jerami Grant"/>
    <x v="3"/>
    <x v="27"/>
    <x v="95"/>
    <x v="89"/>
    <x v="95"/>
    <x v="95"/>
    <x v="95"/>
    <x v="95"/>
    <x v="95"/>
    <x v="95"/>
    <x v="95"/>
    <x v="95"/>
    <x v="95"/>
    <x v="89"/>
    <x v="95"/>
    <x v="95"/>
    <x v="95"/>
    <x v="95"/>
    <x v="95"/>
    <x v="95"/>
    <n v="-0.88841827417681374"/>
    <n v="-0.29214514315064372"/>
    <n v="0.67305250222386348"/>
    <n v="5.2240321003712564E-2"/>
    <n v="-0.63299773548074123"/>
    <n v="-0.71096856127420138"/>
    <n v="-1.1828011014808861"/>
    <n v="0.663066314401492"/>
  </r>
  <r>
    <x v="96"/>
    <n v="9.6137167749727528"/>
    <n v="8.8774758975056951"/>
    <n v="8.1543562344217282"/>
    <n v="1.5280970725329968"/>
    <n v="1.3280970725329968"/>
    <n v="1"/>
    <x v="0"/>
    <n v="14"/>
    <n v="97"/>
    <s v="Andrew Wiggins"/>
    <x v="6"/>
    <x v="2"/>
    <x v="96"/>
    <x v="90"/>
    <x v="96"/>
    <x v="96"/>
    <x v="96"/>
    <x v="96"/>
    <x v="96"/>
    <x v="96"/>
    <x v="96"/>
    <x v="96"/>
    <x v="96"/>
    <x v="90"/>
    <x v="96"/>
    <x v="96"/>
    <x v="96"/>
    <x v="96"/>
    <x v="96"/>
    <x v="96"/>
    <n v="-0.97190292746700302"/>
    <n v="-0.31959801832809659"/>
    <n v="0.37939137168560511"/>
    <n v="0.14429748341544987"/>
    <n v="-0.34358180871730937"/>
    <n v="-0.54567262297128183"/>
    <n v="6.7779390545026751E-3"/>
    <n v="0.32928825420305907"/>
  </r>
  <r>
    <x v="97"/>
    <n v="9.2751462694777889"/>
    <n v="8.5172162345205198"/>
    <n v="7.7736088389835132"/>
    <n v="1.4660848809241132"/>
    <n v="1.266084880924113"/>
    <n v="1"/>
    <x v="0"/>
    <n v="13"/>
    <n v="98"/>
    <s v="Evan Fournier"/>
    <x v="6"/>
    <x v="23"/>
    <x v="97"/>
    <x v="91"/>
    <x v="97"/>
    <x v="97"/>
    <x v="97"/>
    <x v="97"/>
    <x v="97"/>
    <x v="97"/>
    <x v="97"/>
    <x v="97"/>
    <x v="97"/>
    <x v="91"/>
    <x v="97"/>
    <x v="97"/>
    <x v="97"/>
    <x v="97"/>
    <x v="97"/>
    <x v="97"/>
    <n v="-1.0339151190758868"/>
    <n v="-0.33998994533055371"/>
    <n v="-0.15848153697681433"/>
    <n v="0.84050773126135747"/>
    <n v="-1.1156290958157982"/>
    <n v="-0.24777925844593149"/>
    <n v="0.3514672513782568"/>
    <n v="-0.40101521436009185"/>
  </r>
  <r>
    <x v="98"/>
    <n v="9.2369585078209564"/>
    <n v="8.3985082133090998"/>
    <n v="7.6481499699018185"/>
    <n v="1.4456514399557943"/>
    <n v="1.2456514399557941"/>
    <n v="1"/>
    <x v="0"/>
    <n v="13"/>
    <n v="99"/>
    <s v="Tyrese Maxey"/>
    <x v="4"/>
    <x v="5"/>
    <x v="98"/>
    <x v="92"/>
    <x v="98"/>
    <x v="98"/>
    <x v="98"/>
    <x v="98"/>
    <x v="98"/>
    <x v="98"/>
    <x v="98"/>
    <x v="98"/>
    <x v="98"/>
    <x v="92"/>
    <x v="98"/>
    <x v="98"/>
    <x v="98"/>
    <x v="98"/>
    <x v="98"/>
    <x v="98"/>
    <n v="-1.0543485600442057"/>
    <n v="-0.34670922465006226"/>
    <n v="0.10865357279666073"/>
    <n v="-0.50633104962521802"/>
    <n v="-0.87431815482073183"/>
    <n v="0.44914168967207596"/>
    <n v="-0.55097656695398933"/>
    <n v="-0.26682991710710702"/>
  </r>
  <r>
    <x v="99"/>
    <n v="9.1456196116152721"/>
    <n v="8.4390059302364033"/>
    <n v="7.6909507656209311"/>
    <n v="1.4526223901893252"/>
    <n v="1.252622390189325"/>
    <n v="1"/>
    <x v="0"/>
    <e v="#N/A"/>
    <n v="100"/>
    <s v="Nickeil Alexander-Walker"/>
    <x v="4"/>
    <x v="21"/>
    <x v="99"/>
    <x v="93"/>
    <x v="99"/>
    <x v="99"/>
    <x v="99"/>
    <x v="99"/>
    <x v="99"/>
    <x v="99"/>
    <x v="99"/>
    <x v="99"/>
    <x v="99"/>
    <x v="93"/>
    <x v="99"/>
    <x v="99"/>
    <x v="99"/>
    <x v="99"/>
    <x v="99"/>
    <x v="99"/>
    <n v="-1.0473776098106748"/>
    <n v="-0.34441691559579624"/>
    <n v="-0.18837131049917386"/>
    <n v="0.61286386170376184"/>
    <n v="-0.520660516981994"/>
    <n v="-0.41340332258266377"/>
    <n v="1.2415984961521034"/>
    <n v="-2.6682223996390968E-2"/>
  </r>
  <r>
    <x v="100"/>
    <n v="8.0043369893125345"/>
    <n v="7.0910095362167329"/>
    <n v="6.2662946944131628"/>
    <n v="1.2205891673151008"/>
    <n v="1.0205891673151006"/>
    <n v="1"/>
    <x v="0"/>
    <n v="15"/>
    <n v="101"/>
    <s v="Bojan Bogdanovic"/>
    <x v="3"/>
    <x v="17"/>
    <x v="100"/>
    <x v="94"/>
    <x v="100"/>
    <x v="100"/>
    <x v="100"/>
    <x v="100"/>
    <x v="100"/>
    <x v="100"/>
    <x v="100"/>
    <x v="100"/>
    <x v="100"/>
    <x v="94"/>
    <x v="100"/>
    <x v="100"/>
    <x v="100"/>
    <x v="100"/>
    <x v="100"/>
    <x v="100"/>
    <n v="-1.2794108326848992"/>
    <n v="-0.42071811412202592"/>
    <n v="0.4546789663180254"/>
    <n v="0.68499735275807172"/>
    <n v="-0.65212671382230281"/>
    <n v="-0.75439976343631532"/>
    <n v="-0.77013982711537021"/>
    <n v="-1.1083694701085474"/>
  </r>
  <r>
    <x v="101"/>
    <n v="7.8099392132614947"/>
    <n v="6.5685798826435731"/>
    <n v="5.7141548066182448"/>
    <n v="1.1306623420050057"/>
    <n v="0.93066234200500553"/>
    <n v="1"/>
    <x v="0"/>
    <n v="14"/>
    <n v="102"/>
    <s v="Chris Boucher"/>
    <x v="7"/>
    <x v="13"/>
    <x v="101"/>
    <x v="95"/>
    <x v="101"/>
    <x v="101"/>
    <x v="101"/>
    <x v="101"/>
    <x v="101"/>
    <x v="101"/>
    <x v="101"/>
    <x v="101"/>
    <x v="101"/>
    <x v="95"/>
    <x v="101"/>
    <x v="101"/>
    <x v="101"/>
    <x v="101"/>
    <x v="101"/>
    <x v="101"/>
    <n v="-1.3693376579949943"/>
    <n v="-0.45028941630808611"/>
    <n v="-0.72626698634034259"/>
    <n v="-0.43193204340087521"/>
    <n v="0.32484865106503036"/>
    <n v="-1.2648289882541668"/>
    <n v="-1.458945673821346"/>
    <n v="1.8818657240910786"/>
  </r>
  <r>
    <x v="102"/>
    <n v="7.3207765434574679"/>
    <n v="5.9066371906235338"/>
    <n v="5.0145678647230545"/>
    <n v="1.0167208679262489"/>
    <n v="0.81672086792624854"/>
    <n v="1"/>
    <x v="0"/>
    <n v="13"/>
    <n v="103"/>
    <s v="Nerlens Noel"/>
    <x v="0"/>
    <x v="23"/>
    <x v="102"/>
    <x v="18"/>
    <x v="102"/>
    <x v="102"/>
    <x v="102"/>
    <x v="102"/>
    <x v="102"/>
    <x v="102"/>
    <x v="102"/>
    <x v="102"/>
    <x v="102"/>
    <x v="18"/>
    <x v="102"/>
    <x v="102"/>
    <x v="102"/>
    <x v="102"/>
    <x v="102"/>
    <x v="102"/>
    <n v="-1.4832791320737513"/>
    <n v="-0.48775763282623136"/>
    <n v="-2.005495097229637"/>
    <n v="-1.7120096997355103"/>
    <n v="0.20903708560240414"/>
    <n v="-1.3562597116206316"/>
    <n v="0.24840443985240537"/>
    <n v="2.6021105628513608"/>
  </r>
  <r>
    <x v="103"/>
    <n v="6.9449871709253799"/>
    <n v="5.9672560476585286"/>
    <n v="5.0786340766860247"/>
    <n v="1.0271553088692538"/>
    <n v="0.82715530886925359"/>
    <n v="1"/>
    <x v="0"/>
    <n v="14"/>
    <n v="104"/>
    <s v="Klay Thompson"/>
    <x v="4"/>
    <x v="2"/>
    <x v="103"/>
    <x v="96"/>
    <x v="103"/>
    <x v="103"/>
    <x v="103"/>
    <x v="103"/>
    <x v="103"/>
    <x v="103"/>
    <x v="103"/>
    <x v="103"/>
    <x v="103"/>
    <x v="96"/>
    <x v="103"/>
    <x v="103"/>
    <x v="103"/>
    <x v="103"/>
    <x v="103"/>
    <x v="103"/>
    <n v="-1.4728446911307462"/>
    <n v="-0.48432639853986359"/>
    <n v="0.27161811272446212"/>
    <n v="1.0852498386425615"/>
    <n v="-1.0854219714732307"/>
    <n v="-0.77761132814740075"/>
    <n v="-0.37669626198859735"/>
    <n v="-0.3179348672734908"/>
  </r>
  <r>
    <x v="104"/>
    <n v="6.8865399545019201"/>
    <n v="5.7168596422807596"/>
    <n v="4.8139977907785445"/>
    <n v="0.98405409198641647"/>
    <n v="0.78405409198641607"/>
    <n v="1"/>
    <x v="0"/>
    <n v="16"/>
    <n v="105"/>
    <s v="Harrison Barnes"/>
    <x v="3"/>
    <x v="24"/>
    <x v="104"/>
    <x v="97"/>
    <x v="104"/>
    <x v="104"/>
    <x v="104"/>
    <x v="104"/>
    <x v="104"/>
    <x v="104"/>
    <x v="104"/>
    <x v="104"/>
    <x v="104"/>
    <x v="97"/>
    <x v="104"/>
    <x v="104"/>
    <x v="104"/>
    <x v="104"/>
    <x v="104"/>
    <x v="104"/>
    <n v="-1.5159459080135838"/>
    <n v="-0.4984996900425297"/>
    <n v="-0.20936418503524212"/>
    <n v="-1.2349425064672475E-2"/>
    <n v="0.21136967027776812"/>
    <n v="-0.14325586665726719"/>
    <n v="-1.0822899273707809"/>
    <n v="-0.83491920759930893"/>
  </r>
  <r>
    <x v="105"/>
    <n v="6.8091327182687476"/>
    <n v="5.3858941382007055"/>
    <n v="4.4642104939876699"/>
    <n v="0.92708436052972631"/>
    <n v="0.72708436052972614"/>
    <n v="1"/>
    <x v="0"/>
    <n v="15"/>
    <n v="106"/>
    <s v="Jarrett Allen"/>
    <x v="0"/>
    <x v="28"/>
    <x v="105"/>
    <x v="98"/>
    <x v="105"/>
    <x v="105"/>
    <x v="105"/>
    <x v="105"/>
    <x v="105"/>
    <x v="105"/>
    <x v="105"/>
    <x v="105"/>
    <x v="105"/>
    <x v="98"/>
    <x v="105"/>
    <x v="105"/>
    <x v="105"/>
    <x v="105"/>
    <x v="105"/>
    <x v="105"/>
    <n v="-1.5729156394702737"/>
    <n v="-0.51723346762841937"/>
    <n v="-0.59955798808648308"/>
    <n v="-1.6067223740034051"/>
    <n v="1.8726575486613042"/>
    <n v="-0.95199564764350331"/>
    <n v="-1.5620684125547368"/>
    <n v="1.4101589483317147"/>
  </r>
  <r>
    <x v="106"/>
    <n v="6.2914340876130446"/>
    <n v="5.0723875961368643"/>
    <n v="4.1328750390145705"/>
    <n v="0.87311987392579171"/>
    <n v="0.67311987392579153"/>
    <n v="1"/>
    <x v="0"/>
    <n v="14"/>
    <n v="107"/>
    <s v="Larry Nance Jr."/>
    <x v="5"/>
    <x v="4"/>
    <x v="106"/>
    <x v="99"/>
    <x v="106"/>
    <x v="106"/>
    <x v="106"/>
    <x v="106"/>
    <x v="106"/>
    <x v="106"/>
    <x v="106"/>
    <x v="106"/>
    <x v="106"/>
    <x v="99"/>
    <x v="106"/>
    <x v="106"/>
    <x v="106"/>
    <x v="106"/>
    <x v="106"/>
    <x v="106"/>
    <n v="-1.6268801260742083"/>
    <n v="-0.53497900835197698"/>
    <n v="-1.1664092161007"/>
    <n v="-0.63685071607189991"/>
    <n v="0.15507329003155304"/>
    <n v="-0.48141589127859391"/>
    <n v="1.3764331016272857"/>
    <n v="-0.50220410311430064"/>
  </r>
  <r>
    <x v="107"/>
    <n v="5.9853930869837715"/>
    <n v="4.6576192711161513"/>
    <n v="3.6945191094238465"/>
    <n v="0.80172500104062316"/>
    <n v="0.60172500104062299"/>
    <n v="1"/>
    <x v="0"/>
    <n v="14"/>
    <n v="108"/>
    <s v="Al Horford"/>
    <x v="7"/>
    <x v="7"/>
    <x v="107"/>
    <x v="100"/>
    <x v="107"/>
    <x v="107"/>
    <x v="107"/>
    <x v="107"/>
    <x v="107"/>
    <x v="107"/>
    <x v="107"/>
    <x v="107"/>
    <x v="107"/>
    <x v="100"/>
    <x v="107"/>
    <x v="107"/>
    <x v="107"/>
    <x v="107"/>
    <x v="107"/>
    <x v="107"/>
    <n v="-1.6982749989593768"/>
    <n v="-0.55845631174106558"/>
    <n v="-0.90970092654279167"/>
    <n v="-0.23067861404128734"/>
    <n v="0.42165370259822677"/>
    <n v="-0.1547676750666111"/>
    <n v="-0.90103385889306387"/>
    <n v="0.39185610725961578"/>
  </r>
  <r>
    <x v="108"/>
    <n v="5.9227682758504772"/>
    <n v="4.5408799225686991"/>
    <n v="3.5711408701386307"/>
    <n v="0.78163043150032263"/>
    <n v="0.58163043150032245"/>
    <n v="1"/>
    <x v="0"/>
    <n v="14"/>
    <n v="109"/>
    <s v="Brook Lopez"/>
    <x v="0"/>
    <x v="8"/>
    <x v="108"/>
    <x v="101"/>
    <x v="108"/>
    <x v="108"/>
    <x v="108"/>
    <x v="108"/>
    <x v="108"/>
    <x v="108"/>
    <x v="108"/>
    <x v="108"/>
    <x v="108"/>
    <x v="101"/>
    <x v="108"/>
    <x v="108"/>
    <x v="108"/>
    <x v="108"/>
    <x v="108"/>
    <x v="108"/>
    <n v="-1.7183695684996774"/>
    <n v="-0.56506415746591987"/>
    <n v="-0.55538714216440577"/>
    <n v="-0.28951723251147465"/>
    <n v="-0.35638527801657011"/>
    <n v="-1.3914926737748092"/>
    <n v="-1.2908774076239551"/>
    <n v="1.5639162276548486"/>
  </r>
  <r>
    <x v="109"/>
    <n v="5.7841882546750609"/>
    <n v="4.5566187655844406"/>
    <n v="3.5877747709084238"/>
    <n v="0.78433958894722355"/>
    <n v="0.58433958894722338"/>
    <n v="1"/>
    <x v="0"/>
    <n v="13"/>
    <n v="110"/>
    <s v="Danny Green"/>
    <x v="6"/>
    <x v="5"/>
    <x v="109"/>
    <x v="102"/>
    <x v="109"/>
    <x v="109"/>
    <x v="109"/>
    <x v="109"/>
    <x v="109"/>
    <x v="109"/>
    <x v="109"/>
    <x v="109"/>
    <x v="109"/>
    <x v="102"/>
    <x v="109"/>
    <x v="109"/>
    <x v="109"/>
    <x v="109"/>
    <x v="109"/>
    <x v="109"/>
    <n v="-1.7156604110527764"/>
    <n v="-0.56417328521222176"/>
    <n v="-1.2692726859601786"/>
    <n v="0.58547942136198505"/>
    <n v="-0.7852453142413075"/>
    <n v="-0.94028273498929404"/>
    <n v="1.1680924320084605"/>
    <n v="0.28343912795927134"/>
  </r>
  <r>
    <x v="110"/>
    <n v="5.6161916699346293"/>
    <n v="4.4620920528186065"/>
    <n v="3.4878723855381009"/>
    <n v="0.76806852330634423"/>
    <n v="0.56806852330634405"/>
    <n v="1"/>
    <x v="0"/>
    <n v="13"/>
    <n v="111"/>
    <s v="R.J. Barrett"/>
    <x v="6"/>
    <x v="23"/>
    <x v="110"/>
    <x v="103"/>
    <x v="110"/>
    <x v="110"/>
    <x v="110"/>
    <x v="110"/>
    <x v="110"/>
    <x v="110"/>
    <x v="110"/>
    <x v="110"/>
    <x v="110"/>
    <x v="103"/>
    <x v="110"/>
    <x v="110"/>
    <x v="110"/>
    <x v="110"/>
    <x v="110"/>
    <x v="110"/>
    <n v="-1.7319314766936558"/>
    <n v="-0.56952381990858725"/>
    <n v="0.38167777646502032"/>
    <n v="0.32447888842743328"/>
    <n v="0.35095007192895883"/>
    <n v="-0.27087891116410789"/>
    <n v="-0.60337322939807658"/>
    <n v="-0.69824371560269005"/>
  </r>
  <r>
    <x v="111"/>
    <n v="5.5124033637530792"/>
    <n v="3.9495401465514881"/>
    <n v="2.9461719861066853"/>
    <n v="0.67984197371829591"/>
    <n v="0.47984197371829596"/>
    <n v="1"/>
    <x v="0"/>
    <n v="13"/>
    <n v="112"/>
    <s v="Mitchell Robinson"/>
    <x v="0"/>
    <x v="23"/>
    <x v="111"/>
    <x v="18"/>
    <x v="111"/>
    <x v="111"/>
    <x v="111"/>
    <x v="111"/>
    <x v="111"/>
    <x v="111"/>
    <x v="111"/>
    <x v="111"/>
    <x v="111"/>
    <x v="18"/>
    <x v="111"/>
    <x v="111"/>
    <x v="111"/>
    <x v="111"/>
    <x v="111"/>
    <x v="111"/>
    <n v="-1.8201580262817039"/>
    <n v="-0.59853600787035566"/>
    <n v="-1.4664571090463905"/>
    <n v="-1.7120096997355103"/>
    <n v="0.82071745716034739"/>
    <n v="-1.4505086374385052"/>
    <n v="2.8918816372514439E-2"/>
    <n v="1.7622083665247816"/>
  </r>
  <r>
    <x v="112"/>
    <n v="5.4650616905858538"/>
    <n v="4.2774339880909524"/>
    <n v="3.292712936908381"/>
    <n v="0.7362829739691481"/>
    <n v="0.53628297396914792"/>
    <n v="1"/>
    <x v="0"/>
    <n v="15"/>
    <n v="113"/>
    <s v="Saddiq Bey"/>
    <x v="9"/>
    <x v="27"/>
    <x v="112"/>
    <x v="104"/>
    <x v="112"/>
    <x v="112"/>
    <x v="112"/>
    <x v="112"/>
    <x v="112"/>
    <x v="112"/>
    <x v="112"/>
    <x v="112"/>
    <x v="112"/>
    <x v="104"/>
    <x v="112"/>
    <x v="112"/>
    <x v="112"/>
    <x v="112"/>
    <x v="112"/>
    <x v="112"/>
    <n v="-1.7637170260308519"/>
    <n v="-0.57997609687220686"/>
    <n v="-0.16902971213822851"/>
    <n v="1.1359142967839835"/>
    <n v="-0.11564561851538553"/>
    <n v="-0.90738934784784131"/>
    <n v="-0.30506558622339175"/>
    <n v="-0.72771702504037739"/>
  </r>
  <r>
    <x v="113"/>
    <n v="5.2947401305419444"/>
    <n v="3.9729951285949099"/>
    <n v="2.9709608377063437"/>
    <n v="0.68387932507927651"/>
    <n v="0.48387932507927633"/>
    <n v="1"/>
    <x v="0"/>
    <n v="14"/>
    <n v="114"/>
    <s v="Josh Giddey"/>
    <x v="1"/>
    <x v="18"/>
    <x v="113"/>
    <x v="105"/>
    <x v="113"/>
    <x v="113"/>
    <x v="113"/>
    <x v="113"/>
    <x v="113"/>
    <x v="113"/>
    <x v="113"/>
    <x v="113"/>
    <x v="113"/>
    <x v="105"/>
    <x v="113"/>
    <x v="113"/>
    <x v="113"/>
    <x v="113"/>
    <x v="113"/>
    <x v="113"/>
    <n v="-1.8161206749207235"/>
    <n v="-0.59720837580155794"/>
    <n v="-1.1404176322324928"/>
    <n v="-0.68132062198981425"/>
    <n v="0.45067054140687279"/>
    <n v="1.1164126743887668"/>
    <n v="0.25213191216134134"/>
    <n v="-0.42451526641840792"/>
  </r>
  <r>
    <x v="114"/>
    <n v="5.2207891952673986"/>
    <n v="4.0163765653214867"/>
    <n v="3.0168093484919982"/>
    <n v="0.69134665557158259"/>
    <n v="0.49134665557158264"/>
    <n v="1"/>
    <x v="0"/>
    <n v="15"/>
    <n v="115"/>
    <s v="Will Barton"/>
    <x v="9"/>
    <x v="0"/>
    <x v="114"/>
    <x v="106"/>
    <x v="114"/>
    <x v="114"/>
    <x v="114"/>
    <x v="114"/>
    <x v="114"/>
    <x v="114"/>
    <x v="114"/>
    <x v="114"/>
    <x v="114"/>
    <x v="106"/>
    <x v="114"/>
    <x v="114"/>
    <x v="114"/>
    <x v="114"/>
    <x v="114"/>
    <x v="114"/>
    <n v="-1.8086533444284172"/>
    <n v="-0.59475283836042492"/>
    <n v="-0.17826128378739184"/>
    <n v="0.41872044137026743"/>
    <n v="-0.56519548137094378"/>
    <n v="5.6663651941003701E-2"/>
    <n v="-0.11619913075457891"/>
    <n v="-0.4824533409041688"/>
  </r>
  <r>
    <x v="115"/>
    <n v="4.9376373838134562"/>
    <n v="3.2912594519037199"/>
    <n v="2.2504552969898413"/>
    <n v="0.56653084632014949"/>
    <n v="0.36653084632014954"/>
    <n v="1"/>
    <x v="0"/>
    <n v="14"/>
    <n v="116"/>
    <s v="Derrick Favors"/>
    <x v="7"/>
    <x v="18"/>
    <x v="115"/>
    <x v="18"/>
    <x v="115"/>
    <x v="115"/>
    <x v="115"/>
    <x v="115"/>
    <x v="115"/>
    <x v="115"/>
    <x v="115"/>
    <x v="115"/>
    <x v="115"/>
    <x v="18"/>
    <x v="115"/>
    <x v="115"/>
    <x v="115"/>
    <x v="115"/>
    <x v="115"/>
    <x v="115"/>
    <n v="-1.9334691536798503"/>
    <n v="-0.6357969428336363"/>
    <n v="-1.2396429865662582"/>
    <n v="-1.7120096997355103"/>
    <n v="1.3220654312949023"/>
    <n v="-1.3461137790777786"/>
    <n v="-0.93099684576492037"/>
    <n v="0.96627010351112796"/>
  </r>
  <r>
    <x v="116"/>
    <n v="4.6824929159518112"/>
    <n v="3.446437816754587"/>
    <n v="2.41445855440631"/>
    <n v="0.59324199797933819"/>
    <n v="0.39324199797933801"/>
    <n v="1"/>
    <x v="0"/>
    <e v="#N/A"/>
    <n v="117"/>
    <s v="Devonte' Graham"/>
    <x v="1"/>
    <x v="21"/>
    <x v="116"/>
    <x v="107"/>
    <x v="116"/>
    <x v="116"/>
    <x v="116"/>
    <x v="116"/>
    <x v="116"/>
    <x v="116"/>
    <x v="116"/>
    <x v="116"/>
    <x v="116"/>
    <x v="107"/>
    <x v="116"/>
    <x v="116"/>
    <x v="116"/>
    <x v="116"/>
    <x v="116"/>
    <x v="116"/>
    <n v="-1.9067580020206618"/>
    <n v="-0.62701331753909506"/>
    <n v="-0.43644275945028588"/>
    <n v="1.1636000645586879"/>
    <n v="-1.1955340145611983"/>
    <n v="1.1479258592703874"/>
    <n v="-0.56012061477928887"/>
    <n v="-0.98403020765560556"/>
  </r>
  <r>
    <x v="117"/>
    <n v="4.6777878573067682"/>
    <n v="3.148775461719453"/>
    <n v="2.0998683350613927"/>
    <n v="0.54200480189072175"/>
    <n v="0.34200480189072158"/>
    <n v="1"/>
    <x v="0"/>
    <n v="15"/>
    <n v="118"/>
    <s v="Evan Mobley"/>
    <x v="7"/>
    <x v="28"/>
    <x v="117"/>
    <x v="108"/>
    <x v="117"/>
    <x v="117"/>
    <x v="117"/>
    <x v="117"/>
    <x v="117"/>
    <x v="117"/>
    <x v="117"/>
    <x v="117"/>
    <x v="117"/>
    <x v="108"/>
    <x v="117"/>
    <x v="117"/>
    <x v="117"/>
    <x v="117"/>
    <x v="117"/>
    <x v="117"/>
    <n v="-1.9579951981092782"/>
    <n v="-0.64386202317813213"/>
    <n v="-0.84504255162045905"/>
    <n v="-1.2786969046516927"/>
    <n v="0.51839519900403452"/>
    <n v="-0.48872949124762155"/>
    <n v="-0.65079132383121818"/>
    <n v="1.5443596885367434"/>
  </r>
  <r>
    <x v="118"/>
    <n v="4.4491307493961756"/>
    <n v="3.0509653323902457"/>
    <n v="1.9964958073657157"/>
    <n v="0.52516855541507312"/>
    <n v="0.32516855541507317"/>
    <n v="1"/>
    <x v="0"/>
    <n v="15"/>
    <n v="119"/>
    <s v="Joe Ingles"/>
    <x v="11"/>
    <x v="17"/>
    <x v="118"/>
    <x v="109"/>
    <x v="118"/>
    <x v="118"/>
    <x v="118"/>
    <x v="118"/>
    <x v="118"/>
    <x v="118"/>
    <x v="118"/>
    <x v="118"/>
    <x v="118"/>
    <x v="109"/>
    <x v="118"/>
    <x v="118"/>
    <x v="118"/>
    <x v="118"/>
    <x v="118"/>
    <x v="118"/>
    <n v="-1.9748314445849267"/>
    <n v="-0.64939841046294489"/>
    <n v="-0.94035137182068429"/>
    <n v="0.7186082086753145"/>
    <n v="-0.87509489813576635"/>
    <n v="0.48707498769111784"/>
    <n v="-0.59382529861991273"/>
    <n v="-0.9170045702757692"/>
  </r>
  <r>
    <x v="119"/>
    <n v="4.2178786749101"/>
    <n v="2.5786264119450593"/>
    <n v="1.4972952800754771"/>
    <n v="0.44386394474544755"/>
    <n v="0.24386394474544737"/>
    <n v="1"/>
    <x v="0"/>
    <n v="14"/>
    <n v="120"/>
    <s v="Dwight Powell"/>
    <x v="0"/>
    <x v="10"/>
    <x v="119"/>
    <x v="110"/>
    <x v="119"/>
    <x v="119"/>
    <x v="119"/>
    <x v="119"/>
    <x v="119"/>
    <x v="119"/>
    <x v="119"/>
    <x v="119"/>
    <x v="119"/>
    <x v="110"/>
    <x v="119"/>
    <x v="119"/>
    <x v="119"/>
    <x v="119"/>
    <x v="119"/>
    <x v="119"/>
    <n v="-2.0561360552545525"/>
    <n v="-0.67613440612320286"/>
    <n v="-1.1014433660689791"/>
    <n v="-1.5749706702094666"/>
    <n v="0.31869732178310606"/>
    <n v="-0.87411362099385426"/>
    <n v="-0.30314503186688851"/>
    <n v="0.3145467745100064"/>
  </r>
  <r>
    <x v="120"/>
    <n v="4.1090996912719593"/>
    <n v="2.4204050965153141"/>
    <n v="1.3300760214621068"/>
    <n v="0.4166290041258458"/>
    <n v="0.21662900412584563"/>
    <n v="1"/>
    <x v="0"/>
    <n v="14"/>
    <n v="121"/>
    <s v="Mason Plumlee"/>
    <x v="0"/>
    <x v="16"/>
    <x v="120"/>
    <x v="18"/>
    <x v="120"/>
    <x v="120"/>
    <x v="120"/>
    <x v="120"/>
    <x v="120"/>
    <x v="120"/>
    <x v="120"/>
    <x v="120"/>
    <x v="120"/>
    <x v="18"/>
    <x v="120"/>
    <x v="120"/>
    <x v="120"/>
    <x v="120"/>
    <x v="120"/>
    <x v="120"/>
    <n v="-2.0833709958741542"/>
    <n v="-0.68509027281041746"/>
    <n v="-1.110579554344616"/>
    <n v="-1.7120096997355103"/>
    <n v="1.4180533355856577"/>
    <n v="-0.15246894522807367"/>
    <n v="-1.083130169901751"/>
    <n v="0.46012398060671816"/>
  </r>
  <r>
    <x v="121"/>
    <n v="4.061212593866796"/>
    <n v="2.8048294784944083"/>
    <n v="1.7363623677287123"/>
    <n v="0.48280071548781223"/>
    <n v="0.28280071548781205"/>
    <n v="1"/>
    <x v="0"/>
    <n v="15"/>
    <n v="122"/>
    <s v="Spencer Dinwiddie"/>
    <x v="1"/>
    <x v="6"/>
    <x v="121"/>
    <x v="111"/>
    <x v="121"/>
    <x v="121"/>
    <x v="121"/>
    <x v="121"/>
    <x v="121"/>
    <x v="121"/>
    <x v="121"/>
    <x v="121"/>
    <x v="121"/>
    <x v="111"/>
    <x v="121"/>
    <x v="121"/>
    <x v="121"/>
    <x v="121"/>
    <x v="121"/>
    <x v="121"/>
    <n v="-2.0171992845121878"/>
    <n v="-0.66333054020442506"/>
    <n v="0.6078125645326613"/>
    <n v="0.36063918630902853"/>
    <n v="-0.69622742878924793"/>
    <n v="1.848849728855837"/>
    <n v="-1.3147294140015517"/>
    <n v="-0.70246130467151957"/>
  </r>
  <r>
    <x v="122"/>
    <n v="3.9159760613884562"/>
    <n v="2.3652522733445052"/>
    <n v="1.2717866931500057"/>
    <n v="0.40713544214918951"/>
    <n v="0.20713544214918933"/>
    <n v="1"/>
    <x v="0"/>
    <n v="13"/>
    <n v="123"/>
    <s v="Jaden McDaniels"/>
    <x v="9"/>
    <x v="3"/>
    <x v="122"/>
    <x v="112"/>
    <x v="122"/>
    <x v="122"/>
    <x v="122"/>
    <x v="122"/>
    <x v="122"/>
    <x v="122"/>
    <x v="122"/>
    <x v="122"/>
    <x v="122"/>
    <x v="112"/>
    <x v="122"/>
    <x v="122"/>
    <x v="122"/>
    <x v="122"/>
    <x v="122"/>
    <x v="122"/>
    <n v="-2.0928645578508105"/>
    <n v="-0.6882121109167415"/>
    <n v="-1.0734324620485136"/>
    <n v="-9.3229630324608737E-2"/>
    <n v="-9.870353122383077E-2"/>
    <n v="-0.74487707022151106"/>
    <n v="-0.48655797291294423"/>
    <n v="0.89749710151895545"/>
  </r>
  <r>
    <x v="123"/>
    <n v="3.4715285263370292"/>
    <n v="2.134334583855197"/>
    <n v="1.0277368650201146"/>
    <n v="0.36738713425416725"/>
    <n v="0.16738713425416707"/>
    <n v="1"/>
    <x v="0"/>
    <n v="15"/>
    <n v="124"/>
    <s v="Jordan Clarkson"/>
    <x v="4"/>
    <x v="17"/>
    <x v="123"/>
    <x v="113"/>
    <x v="123"/>
    <x v="123"/>
    <x v="123"/>
    <x v="123"/>
    <x v="123"/>
    <x v="123"/>
    <x v="123"/>
    <x v="123"/>
    <x v="123"/>
    <x v="113"/>
    <x v="123"/>
    <x v="123"/>
    <x v="123"/>
    <x v="123"/>
    <x v="123"/>
    <x v="123"/>
    <n v="-2.1326128657458328"/>
    <n v="-0.70128284059161983"/>
    <n v="0.12308747328916941"/>
    <n v="0.94416934423060372"/>
    <n v="-0.7925161528771002"/>
    <n v="-0.5419324005397741"/>
    <n v="-0.33590357833406292"/>
    <n v="-1.0302188244607229"/>
  </r>
  <r>
    <x v="124"/>
    <n v="3.2907482102070342"/>
    <n v="1.6296742376467732"/>
    <n v="0.49437681352938784"/>
    <n v="0.28051897414108184"/>
    <n v="8.0518974141081667E-2"/>
    <n v="1"/>
    <x v="0"/>
    <n v="15"/>
    <n v="125"/>
    <s v="Montrezl Harrell"/>
    <x v="7"/>
    <x v="6"/>
    <x v="124"/>
    <x v="18"/>
    <x v="124"/>
    <x v="124"/>
    <x v="124"/>
    <x v="124"/>
    <x v="124"/>
    <x v="124"/>
    <x v="124"/>
    <x v="124"/>
    <x v="124"/>
    <x v="18"/>
    <x v="124"/>
    <x v="124"/>
    <x v="124"/>
    <x v="124"/>
    <x v="124"/>
    <x v="124"/>
    <n v="-2.2194810258589182"/>
    <n v="-0.72984833930897242"/>
    <n v="-7.5480273864895212E-2"/>
    <n v="-1.7120096997355103"/>
    <n v="0.6544524016178489"/>
    <n v="-1.1268050873724096"/>
    <n v="-0.71411965722911741"/>
    <n v="0.37576368030663837"/>
  </r>
  <r>
    <x v="125"/>
    <n v="3.2801283470614266"/>
    <n v="1.6712934715566221"/>
    <n v="0.53836290617157434"/>
    <n v="0.28768297325895897"/>
    <n v="8.7682973258958796E-2"/>
    <n v="1"/>
    <x v="0"/>
    <n v="14"/>
    <n v="126"/>
    <s v="Isaiah Roby"/>
    <x v="5"/>
    <x v="18"/>
    <x v="125"/>
    <x v="114"/>
    <x v="125"/>
    <x v="125"/>
    <x v="125"/>
    <x v="125"/>
    <x v="125"/>
    <x v="125"/>
    <x v="125"/>
    <x v="125"/>
    <x v="125"/>
    <x v="114"/>
    <x v="125"/>
    <x v="125"/>
    <x v="125"/>
    <x v="125"/>
    <x v="125"/>
    <x v="125"/>
    <n v="-2.212317026741041"/>
    <n v="-0.72749254856416523"/>
    <n v="-0.92533060435283454"/>
    <n v="-1.037952663592427"/>
    <n v="0.32840773819876012"/>
    <n v="-0.69514030093067558"/>
    <n v="0.20353094684708103"/>
    <n v="-4.9971105337379217E-2"/>
  </r>
  <r>
    <x v="126"/>
    <n v="3.261577837182041"/>
    <n v="1.8460474252665251"/>
    <n v="0.72305500343896634"/>
    <n v="0.31776370883749205"/>
    <n v="0.11776370883749188"/>
    <n v="1"/>
    <x v="0"/>
    <n v="14"/>
    <n v="127"/>
    <s v="Reggie Jackson"/>
    <x v="2"/>
    <x v="9"/>
    <x v="126"/>
    <x v="115"/>
    <x v="126"/>
    <x v="126"/>
    <x v="126"/>
    <x v="126"/>
    <x v="126"/>
    <x v="126"/>
    <x v="126"/>
    <x v="126"/>
    <x v="126"/>
    <x v="115"/>
    <x v="126"/>
    <x v="126"/>
    <x v="126"/>
    <x v="126"/>
    <x v="126"/>
    <x v="126"/>
    <n v="-2.1822362911625079"/>
    <n v="-0.71760087810093676"/>
    <n v="-0.2062460229482441"/>
    <n v="0.72238604602858303"/>
    <n v="-0.75575874811707955"/>
    <n v="0.40527381626254461"/>
    <n v="-0.70891975630888504"/>
    <n v="-0.99831501578491777"/>
  </r>
  <r>
    <x v="127"/>
    <n v="3.2418593319228792"/>
    <n v="1.7289314693178226"/>
    <n v="0.59927873933481624"/>
    <n v="0.29760431313782032"/>
    <n v="9.7604313137820142E-2"/>
    <n v="1"/>
    <x v="0"/>
    <n v="13"/>
    <n v="128"/>
    <s v="De'Andre Hunter"/>
    <x v="3"/>
    <x v="15"/>
    <x v="127"/>
    <x v="116"/>
    <x v="127"/>
    <x v="127"/>
    <x v="127"/>
    <x v="127"/>
    <x v="127"/>
    <x v="127"/>
    <x v="127"/>
    <x v="127"/>
    <x v="127"/>
    <x v="116"/>
    <x v="127"/>
    <x v="127"/>
    <x v="127"/>
    <x v="127"/>
    <x v="127"/>
    <x v="127"/>
    <n v="-2.2023956868621797"/>
    <n v="-0.72423004109059741"/>
    <n v="-6.2893220669038116E-2"/>
    <n v="4.9359232908490463E-3"/>
    <n v="-0.26808773295476124"/>
    <n v="-0.86867208201396617"/>
    <n v="-0.81705336842787002"/>
    <n v="-0.49782521142641573"/>
  </r>
  <r>
    <x v="128"/>
    <n v="3.1299266934678425"/>
    <n v="1.7247251784896596"/>
    <n v="0.59483323948615952"/>
    <n v="0.2968802761733782"/>
    <n v="9.6880276173378466E-2"/>
    <n v="1"/>
    <x v="0"/>
    <n v="14"/>
    <n v="129"/>
    <s v="Jordan Poole"/>
    <x v="1"/>
    <x v="2"/>
    <x v="128"/>
    <x v="117"/>
    <x v="128"/>
    <x v="128"/>
    <x v="128"/>
    <x v="128"/>
    <x v="128"/>
    <x v="128"/>
    <x v="128"/>
    <x v="128"/>
    <x v="128"/>
    <x v="117"/>
    <x v="128"/>
    <x v="128"/>
    <x v="128"/>
    <x v="128"/>
    <x v="128"/>
    <x v="128"/>
    <n v="-2.2031197238266214"/>
    <n v="-0.72446813151351119"/>
    <n v="0.20076106700961041"/>
    <n v="1.0739209478562601"/>
    <n v="-1.344709707793049"/>
    <n v="-0.34638410149266968"/>
    <n v="-0.93881011278231796"/>
    <n v="-0.80729024479262323"/>
  </r>
  <r>
    <x v="129"/>
    <n v="2.4769659304692278"/>
    <n v="0.71786214699515727"/>
    <n v="-0.46928943699658893"/>
    <n v="0.12356699786859071"/>
    <n v="-7.6433002131409467E-2"/>
    <n v="1"/>
    <x v="0"/>
    <n v="13"/>
    <n v="130"/>
    <s v="Wendell Carter Jr."/>
    <x v="0"/>
    <x v="29"/>
    <x v="129"/>
    <x v="118"/>
    <x v="129"/>
    <x v="129"/>
    <x v="129"/>
    <x v="129"/>
    <x v="129"/>
    <x v="129"/>
    <x v="129"/>
    <x v="129"/>
    <x v="129"/>
    <x v="118"/>
    <x v="129"/>
    <x v="129"/>
    <x v="129"/>
    <x v="129"/>
    <x v="129"/>
    <x v="129"/>
    <n v="-2.3764330021314093"/>
    <n v="-0.78146001694852718"/>
    <n v="-0.65601531250558642"/>
    <n v="-1.3722793438274068"/>
    <n v="1.3315578904796439"/>
    <n v="-0.79691657680382155"/>
    <n v="-0.77687951896589824"/>
    <n v="0.34921279479065986"/>
  </r>
  <r>
    <x v="130"/>
    <n v="2.3922844146392879"/>
    <n v="0.90919172389104952"/>
    <n v="-0.26707907164573846"/>
    <n v="0.15650092748091859"/>
    <n v="-4.3499072519081583E-2"/>
    <n v="1"/>
    <x v="0"/>
    <n v="13"/>
    <n v="131"/>
    <s v="Malik Beasley"/>
    <x v="6"/>
    <x v="3"/>
    <x v="130"/>
    <x v="119"/>
    <x v="130"/>
    <x v="130"/>
    <x v="130"/>
    <x v="130"/>
    <x v="130"/>
    <x v="130"/>
    <x v="130"/>
    <x v="130"/>
    <x v="130"/>
    <x v="119"/>
    <x v="130"/>
    <x v="130"/>
    <x v="130"/>
    <x v="130"/>
    <x v="130"/>
    <x v="130"/>
    <n v="-2.3434990725190814"/>
    <n v="-0.7706301096168463"/>
    <n v="-5.0444763654516889E-2"/>
    <n v="1.1925499451863661"/>
    <n v="-0.66202554206901942"/>
    <n v="-0.64882207779392065"/>
    <n v="-0.60974483440995964"/>
    <n v="-0.86645173690828114"/>
  </r>
  <r>
    <x v="131"/>
    <n v="1.9615229512238006"/>
    <n v="0.26878422544564484"/>
    <n v="-0.94390612753021863"/>
    <n v="4.6266347866057433E-2"/>
    <n v="-0.15373365213394319"/>
    <n v="1"/>
    <x v="0"/>
    <n v="14"/>
    <n v="132"/>
    <s v="Dorian Finney-Smith"/>
    <x v="3"/>
    <x v="10"/>
    <x v="131"/>
    <x v="120"/>
    <x v="131"/>
    <x v="131"/>
    <x v="131"/>
    <x v="131"/>
    <x v="131"/>
    <x v="131"/>
    <x v="131"/>
    <x v="131"/>
    <x v="131"/>
    <x v="120"/>
    <x v="131"/>
    <x v="131"/>
    <x v="131"/>
    <x v="131"/>
    <x v="131"/>
    <x v="131"/>
    <n v="-2.453733652133943"/>
    <n v="-0.80687936064848975"/>
    <n v="-0.86003005759688189"/>
    <n v="0.53199473632053884"/>
    <n v="6.4508525315343955E-3"/>
    <n v="-0.82804604667548332"/>
    <n v="-0.57848268824921134"/>
    <n v="-0.4904209036632648"/>
  </r>
  <r>
    <x v="132"/>
    <n v="1.5482770428049095"/>
    <n v="4.6934566063270053E-2"/>
    <n v="-1.178372232585583"/>
    <n v="8.078937507680628E-3"/>
    <n v="-0.19192106249231911"/>
    <n v="1"/>
    <x v="0"/>
    <n v="12"/>
    <n v="133"/>
    <s v="Dillon Brooks"/>
    <x v="6"/>
    <x v="22"/>
    <x v="132"/>
    <x v="121"/>
    <x v="132"/>
    <x v="132"/>
    <x v="132"/>
    <x v="132"/>
    <x v="132"/>
    <x v="132"/>
    <x v="132"/>
    <x v="132"/>
    <x v="132"/>
    <x v="121"/>
    <x v="132"/>
    <x v="132"/>
    <x v="132"/>
    <x v="132"/>
    <x v="132"/>
    <x v="132"/>
    <n v="-2.4919210624923189"/>
    <n v="-0.81943680885725967"/>
    <n v="0.23724344140979303"/>
    <n v="0.27563114422918672"/>
    <n v="-1.1625896036457615"/>
    <n v="-0.68053624172411664"/>
    <n v="0.45199293418071357"/>
    <n v="-0.49951915110567657"/>
  </r>
  <r>
    <x v="133"/>
    <n v="1.5366489720639582"/>
    <n v="-0.32603667121608126"/>
    <n v="-1.5725541012710205"/>
    <n v="-5.6121321936078772E-2"/>
    <n v="-0.25612132193607895"/>
    <n v="1"/>
    <x v="0"/>
    <n v="15"/>
    <n v="134"/>
    <s v="Alperen Sengun"/>
    <x v="0"/>
    <x v="25"/>
    <x v="133"/>
    <x v="122"/>
    <x v="133"/>
    <x v="133"/>
    <x v="133"/>
    <x v="133"/>
    <x v="133"/>
    <x v="133"/>
    <x v="133"/>
    <x v="133"/>
    <x v="133"/>
    <x v="122"/>
    <x v="133"/>
    <x v="133"/>
    <x v="133"/>
    <x v="133"/>
    <x v="133"/>
    <x v="133"/>
    <n v="-2.5561213219360788"/>
    <n v="-0.8405482543674101"/>
    <n v="-0.86101663323120847"/>
    <n v="-1.4128399873899222"/>
    <n v="0.27535959618987421"/>
    <n v="-0.69176458412203956"/>
    <n v="-0.63702055796582457"/>
    <n v="0.58182445521357518"/>
  </r>
  <r>
    <x v="134"/>
    <n v="1.4675720359392206"/>
    <n v="-0.25194878288410971"/>
    <n v="-1.4942528829714929"/>
    <n v="-4.3368430621324894E-2"/>
    <n v="-0.24336843062132463"/>
    <n v="1"/>
    <x v="0"/>
    <n v="13"/>
    <n v="135"/>
    <s v="Chuma Okeke"/>
    <x v="5"/>
    <x v="29"/>
    <x v="134"/>
    <x v="123"/>
    <x v="134"/>
    <x v="134"/>
    <x v="134"/>
    <x v="134"/>
    <x v="134"/>
    <x v="134"/>
    <x v="134"/>
    <x v="134"/>
    <x v="134"/>
    <x v="123"/>
    <x v="134"/>
    <x v="134"/>
    <x v="134"/>
    <x v="134"/>
    <x v="134"/>
    <x v="134"/>
    <n v="-2.5433684306213244"/>
    <n v="-0.83635462692071483"/>
    <n v="-1.1490872433634727"/>
    <n v="-0.49098863653697628"/>
    <n v="-0.47090077539318048"/>
    <n v="-0.62081753917308913"/>
    <n v="0.83084895536703207"/>
    <n v="0.18904044058240957"/>
  </r>
  <r>
    <x v="135"/>
    <n v="1.405100500015372"/>
    <n v="-0.25564462791067388"/>
    <n v="-1.4981589082981956"/>
    <n v="-4.4004603564043343E-2"/>
    <n v="-0.24400460356404396"/>
    <n v="1"/>
    <x v="0"/>
    <n v="14"/>
    <n v="136"/>
    <s v="Tyler Herro"/>
    <x v="1"/>
    <x v="11"/>
    <x v="135"/>
    <x v="124"/>
    <x v="135"/>
    <x v="135"/>
    <x v="135"/>
    <x v="135"/>
    <x v="135"/>
    <x v="135"/>
    <x v="135"/>
    <x v="135"/>
    <x v="135"/>
    <x v="124"/>
    <x v="135"/>
    <x v="135"/>
    <x v="135"/>
    <x v="135"/>
    <x v="135"/>
    <x v="135"/>
    <n v="-2.5440046035640438"/>
    <n v="-0.83656382436838272"/>
    <n v="-8.9528886791201912E-2"/>
    <n v="0.37811614127134757"/>
    <n v="-0.455544451102949"/>
    <n v="-0.25977175645286055"/>
    <n v="-1.0789654895308556"/>
    <n v="-0.58018645247767842"/>
  </r>
  <r>
    <x v="136"/>
    <n v="1.2557408040115834"/>
    <n v="-0.41190657746426818"/>
    <n v="-1.663307373173865"/>
    <n v="-7.0902274750989314E-2"/>
    <n v="-0.27090227475098949"/>
    <n v="1"/>
    <x v="0"/>
    <n v="14"/>
    <n v="137"/>
    <s v="Duncan Robinson"/>
    <x v="6"/>
    <x v="11"/>
    <x v="136"/>
    <x v="125"/>
    <x v="136"/>
    <x v="136"/>
    <x v="136"/>
    <x v="136"/>
    <x v="136"/>
    <x v="136"/>
    <x v="136"/>
    <x v="136"/>
    <x v="136"/>
    <x v="125"/>
    <x v="136"/>
    <x v="136"/>
    <x v="136"/>
    <x v="136"/>
    <x v="136"/>
    <x v="136"/>
    <n v="-2.5709022747509893"/>
    <n v="-0.84540878425691068"/>
    <n v="-0.4592445952179498"/>
    <n v="1.9078564044660129"/>
    <n v="-1.0103555981790682"/>
    <n v="-0.88194433568209951"/>
    <n v="-1.1378089526046333"/>
    <n v="-0.65139294292054206"/>
  </r>
  <r>
    <x v="137"/>
    <n v="1.2147023176030685"/>
    <n v="-0.47614596703933343"/>
    <n v="-1.7312000150049696"/>
    <n v="-8.1959924952951013E-2"/>
    <n v="-0.28195992495295119"/>
    <n v="1"/>
    <x v="0"/>
    <n v="12"/>
    <n v="138"/>
    <s v="De'Anthony Melton"/>
    <x v="2"/>
    <x v="22"/>
    <x v="137"/>
    <x v="126"/>
    <x v="137"/>
    <x v="137"/>
    <x v="137"/>
    <x v="137"/>
    <x v="137"/>
    <x v="137"/>
    <x v="137"/>
    <x v="137"/>
    <x v="137"/>
    <x v="126"/>
    <x v="137"/>
    <x v="137"/>
    <x v="137"/>
    <x v="137"/>
    <x v="137"/>
    <x v="137"/>
    <n v="-2.581959924952951"/>
    <n v="-0.84904495304706196"/>
    <n v="-1.1163193173268491"/>
    <n v="0.14734614688545616"/>
    <n v="-0.99216078964889676"/>
    <n v="-0.39542105372612457"/>
    <n v="0.86994850412821778"/>
    <n v="-0.32194178444739613"/>
  </r>
  <r>
    <x v="138"/>
    <n v="1.0930771887051143"/>
    <n v="-0.72167908365047118"/>
    <n v="-1.9906964400803604"/>
    <n v="-0.12422401454724685"/>
    <n v="-0.32422401454724703"/>
    <n v="1"/>
    <x v="0"/>
    <n v="12"/>
    <n v="139"/>
    <s v="Patrick Williams"/>
    <x v="3"/>
    <x v="14"/>
    <x v="138"/>
    <x v="127"/>
    <x v="138"/>
    <x v="138"/>
    <x v="138"/>
    <x v="138"/>
    <x v="138"/>
    <x v="138"/>
    <x v="138"/>
    <x v="138"/>
    <x v="138"/>
    <x v="127"/>
    <x v="138"/>
    <x v="138"/>
    <x v="138"/>
    <x v="138"/>
    <x v="138"/>
    <x v="138"/>
    <n v="-2.6242240145472469"/>
    <n v="-0.86294296580023033"/>
    <n v="-1.044176659582672"/>
    <n v="-0.81304332802089452"/>
    <n v="-0.19059755541350826"/>
    <n v="-1.0524343240509992"/>
    <n v="0.49650307906453733"/>
    <n v="0.12872318005552727"/>
  </r>
  <r>
    <x v="139"/>
    <n v="1.0586282357950765"/>
    <n v="-0.93365853473278504"/>
    <n v="-2.2147310245165719"/>
    <n v="-0.16071244688723763"/>
    <n v="-0.3607124468872378"/>
    <n v="1"/>
    <x v="0"/>
    <n v="13"/>
    <n v="140"/>
    <s v="Mo Bamba"/>
    <x v="0"/>
    <x v="29"/>
    <x v="139"/>
    <x v="128"/>
    <x v="139"/>
    <x v="139"/>
    <x v="139"/>
    <x v="139"/>
    <x v="139"/>
    <x v="139"/>
    <x v="139"/>
    <x v="139"/>
    <x v="139"/>
    <x v="128"/>
    <x v="139"/>
    <x v="139"/>
    <x v="139"/>
    <x v="139"/>
    <x v="139"/>
    <x v="139"/>
    <n v="-2.6607124468872376"/>
    <n v="-0.8749417265181888"/>
    <n v="-1.1175033635767142"/>
    <n v="-0.67373492691741865"/>
    <n v="0.82256219237110795"/>
    <n v="-1.1945598053650446"/>
    <n v="-1.7338780043635857"/>
    <n v="2.1315532840922535"/>
  </r>
  <r>
    <x v="140"/>
    <n v="1"/>
    <n v="-1.9616264991171537"/>
    <n v="-3.3011588576802797"/>
    <n v="-0.33765855805322964"/>
    <n v="-0.53765855805322982"/>
    <n v="1"/>
    <x v="0"/>
    <n v="14"/>
    <n v="141"/>
    <s v="Eric Bledsoe"/>
    <x v="1"/>
    <x v="9"/>
    <x v="140"/>
    <x v="129"/>
    <x v="140"/>
    <x v="140"/>
    <x v="140"/>
    <x v="140"/>
    <x v="140"/>
    <x v="140"/>
    <x v="140"/>
    <x v="140"/>
    <x v="140"/>
    <x v="129"/>
    <x v="140"/>
    <x v="140"/>
    <x v="140"/>
    <x v="140"/>
    <x v="140"/>
    <x v="140"/>
    <n v="-2.8376585580532296"/>
    <n v="-0.93312822321585831"/>
    <n v="-0.45537442285067681"/>
    <n v="6.6584777195255976E-2"/>
    <n v="-0.96355821600199498"/>
    <n v="0.54278150628431787"/>
    <n v="2.4631801116830289E-3"/>
    <n v="-0.66457340690107591"/>
  </r>
  <r>
    <x v="141"/>
    <n v="1"/>
    <n v="-1.0859461489093682"/>
    <n v="-2.375679136150207"/>
    <n v="-0.18692600804955584"/>
    <n v="-0.38692600804955601"/>
    <n v="1"/>
    <x v="0"/>
    <n v="14"/>
    <n v="142"/>
    <s v="Ivica Zubac"/>
    <x v="0"/>
    <x v="9"/>
    <x v="141"/>
    <x v="18"/>
    <x v="141"/>
    <x v="141"/>
    <x v="141"/>
    <x v="141"/>
    <x v="141"/>
    <x v="141"/>
    <x v="141"/>
    <x v="141"/>
    <x v="141"/>
    <x v="18"/>
    <x v="141"/>
    <x v="141"/>
    <x v="141"/>
    <x v="141"/>
    <x v="141"/>
    <x v="141"/>
    <n v="-2.6869260080495558"/>
    <n v="-0.8835617254543312"/>
    <n v="-1.0019525922834631"/>
    <n v="-1.7120096997355103"/>
    <n v="0.99801608634202488"/>
    <n v="-1.0382950549026666"/>
    <n v="-2.0062836326153812"/>
    <n v="0.5681831283015244"/>
  </r>
  <r>
    <x v="142"/>
    <n v="1"/>
    <n v="-3.1504423868903939"/>
    <n v="-4.5575819309008168"/>
    <n v="-0.54229173293995858"/>
    <n v="-0.74229173293995832"/>
    <n v="1"/>
    <x v="0"/>
    <n v="14"/>
    <n v="143"/>
    <s v="Dennis Schroder"/>
    <x v="2"/>
    <x v="7"/>
    <x v="142"/>
    <x v="130"/>
    <x v="142"/>
    <x v="142"/>
    <x v="142"/>
    <x v="142"/>
    <x v="142"/>
    <x v="142"/>
    <x v="142"/>
    <x v="142"/>
    <x v="142"/>
    <x v="130"/>
    <x v="142"/>
    <x v="142"/>
    <x v="142"/>
    <x v="142"/>
    <x v="142"/>
    <x v="142"/>
    <n v="-3.0422917329399581"/>
    <n v="-1.0004192615795693"/>
    <n v="-0.40201321762311076"/>
    <n v="-0.52546534106994314"/>
    <n v="-1.1107063196524343"/>
    <n v="0.42429089198259529"/>
    <n v="-0.62576572196286384"/>
    <n v="-0.89671857450793824"/>
  </r>
  <r>
    <x v="143"/>
    <n v="1"/>
    <n v="-1.9522588046387552"/>
    <n v="-3.2912584285166129"/>
    <n v="-0.33604607870954073"/>
    <n v="-0.53604607870954091"/>
    <n v="1"/>
    <x v="0"/>
    <n v="14"/>
    <n v="144"/>
    <s v="Tim Hardaway Jr."/>
    <x v="6"/>
    <x v="10"/>
    <x v="143"/>
    <x v="131"/>
    <x v="143"/>
    <x v="143"/>
    <x v="143"/>
    <x v="143"/>
    <x v="143"/>
    <x v="143"/>
    <x v="143"/>
    <x v="143"/>
    <x v="143"/>
    <x v="131"/>
    <x v="143"/>
    <x v="143"/>
    <x v="143"/>
    <x v="143"/>
    <x v="143"/>
    <x v="143"/>
    <n v="-2.8360460787095407"/>
    <n v="-0.9325979797231454"/>
    <n v="0.40361367137809184"/>
    <n v="1.5312215392264161"/>
    <n v="-0.88112135489034338"/>
    <n v="-0.76695240449219371"/>
    <n v="-1.7946955589861868"/>
    <n v="-1.0089612957213536"/>
  </r>
  <r>
    <x v="144"/>
    <n v="1"/>
    <n v="-4.7249791098743641"/>
    <n v="-6.2216615320707058"/>
    <n v="-0.81331978018743456"/>
    <n v="-1.0133197801874347"/>
    <n v="1"/>
    <x v="0"/>
    <n v="14"/>
    <n v="145"/>
    <s v="Keldon Johnson"/>
    <x v="3"/>
    <x v="26"/>
    <x v="144"/>
    <x v="132"/>
    <x v="144"/>
    <x v="144"/>
    <x v="144"/>
    <x v="144"/>
    <x v="144"/>
    <x v="144"/>
    <x v="144"/>
    <x v="144"/>
    <x v="144"/>
    <x v="132"/>
    <x v="144"/>
    <x v="144"/>
    <x v="144"/>
    <x v="144"/>
    <x v="144"/>
    <x v="144"/>
    <n v="-3.3133197801874346"/>
    <n v="-1.0895434162288185"/>
    <n v="0.1328425499674607"/>
    <n v="-0.61270545761242057"/>
    <n v="0.31608042794913632"/>
    <n v="-0.66776798944968718"/>
    <n v="-1.2237016541089911"/>
    <n v="-0.61438334653666327"/>
  </r>
  <r>
    <x v="145"/>
    <n v="1"/>
    <n v="-6.5545507832183487"/>
    <n v="-8.1552797551630967"/>
    <n v="-1.1282474860246046"/>
    <n v="-1.3282474860246047"/>
    <n v="1"/>
    <x v="0"/>
    <n v="15"/>
    <n v="146"/>
    <s v="Kyle Kuzma"/>
    <x v="3"/>
    <x v="6"/>
    <x v="145"/>
    <x v="133"/>
    <x v="145"/>
    <x v="145"/>
    <x v="145"/>
    <x v="145"/>
    <x v="145"/>
    <x v="145"/>
    <x v="145"/>
    <x v="145"/>
    <x v="145"/>
    <x v="133"/>
    <x v="145"/>
    <x v="145"/>
    <x v="145"/>
    <x v="145"/>
    <x v="145"/>
    <x v="145"/>
    <n v="-3.6282474860246046"/>
    <n v="-1.1931034198646653"/>
    <n v="-0.58011355180035273"/>
    <n v="0.1955230366843185"/>
    <n v="9.7553505091719561E-2"/>
    <n v="-0.64668202590262058"/>
    <n v="-1.3982756802188672"/>
    <n v="-0.21956654871445183"/>
  </r>
  <r>
    <x v="146"/>
    <n v="1"/>
    <n v="-4.3159466294388382"/>
    <n v="-5.7893676408118679"/>
    <n v="-0.74291222930914325"/>
    <n v="-0.94291222930914342"/>
    <n v="1"/>
    <x v="0"/>
    <n v="14"/>
    <n v="147"/>
    <s v="Donte DiVincenzo"/>
    <x v="1"/>
    <x v="8"/>
    <x v="146"/>
    <x v="134"/>
    <x v="146"/>
    <x v="146"/>
    <x v="146"/>
    <x v="146"/>
    <x v="146"/>
    <x v="146"/>
    <x v="146"/>
    <x v="146"/>
    <x v="146"/>
    <x v="134"/>
    <x v="146"/>
    <x v="146"/>
    <x v="146"/>
    <x v="146"/>
    <x v="146"/>
    <x v="146"/>
    <n v="-3.2429122293091432"/>
    <n v="-1.066390781227829"/>
    <n v="-1.0582030040042323"/>
    <n v="5.901382392073564E-2"/>
    <n v="3.9442832885790008E-2"/>
    <n v="-0.33095213482719249"/>
    <n v="-0.10065248524639141"/>
    <n v="-0.81892000683476873"/>
  </r>
  <r>
    <x v="147"/>
    <n v="1"/>
    <n v="-5.9817569517817963"/>
    <n v="-7.5499115115040292"/>
    <n v="-1.0296513775035909"/>
    <n v="-1.2296513775035911"/>
    <n v="1"/>
    <x v="0"/>
    <n v="13"/>
    <n v="148"/>
    <s v="Joe Harris"/>
    <x v="6"/>
    <x v="1"/>
    <x v="147"/>
    <x v="135"/>
    <x v="147"/>
    <x v="147"/>
    <x v="147"/>
    <x v="147"/>
    <x v="147"/>
    <x v="147"/>
    <x v="147"/>
    <x v="147"/>
    <x v="147"/>
    <x v="135"/>
    <x v="147"/>
    <x v="147"/>
    <x v="147"/>
    <x v="147"/>
    <x v="147"/>
    <x v="147"/>
    <n v="-3.5296513775035909"/>
    <n v="-1.1606813332471233"/>
    <n v="-0.82487142124013069"/>
    <n v="0.63809275487732231"/>
    <n v="-0.84725664020924574"/>
    <n v="-0.77248082650239946"/>
    <n v="-0.89034237096042268"/>
    <n v="-0.87705940320073827"/>
  </r>
  <r>
    <x v="148"/>
    <n v="1"/>
    <n v="-2.0683017886062829"/>
    <n v="-3.413900701421678"/>
    <n v="-0.35602078166971385"/>
    <n v="-0.55602078166971403"/>
    <n v="1"/>
    <x v="0"/>
    <n v="15"/>
    <n v="149"/>
    <s v="Killian Hayes"/>
    <x v="2"/>
    <x v="27"/>
    <x v="148"/>
    <x v="136"/>
    <x v="148"/>
    <x v="148"/>
    <x v="148"/>
    <x v="148"/>
    <x v="148"/>
    <x v="148"/>
    <x v="148"/>
    <x v="148"/>
    <x v="148"/>
    <x v="136"/>
    <x v="148"/>
    <x v="148"/>
    <x v="148"/>
    <x v="148"/>
    <x v="148"/>
    <x v="148"/>
    <n v="-2.8560207816697138"/>
    <n v="-0.93916640883509539"/>
    <n v="-1.3387541594673058"/>
    <n v="-0.76084181755709601"/>
    <n v="-1.0819511553497625"/>
    <n v="1.1509109897851915"/>
    <n v="0.63371241344620388"/>
    <n v="-0.52889167272559967"/>
  </r>
  <r>
    <x v="149"/>
    <n v="1"/>
    <n v="-1.2814863966438514"/>
    <n v="-2.582339630448486"/>
    <n v="-0.22058472856598055"/>
    <n v="-0.42058472856598073"/>
    <n v="1"/>
    <x v="0"/>
    <n v="15"/>
    <n v="150"/>
    <s v="Lauri Markkanen"/>
    <x v="5"/>
    <x v="28"/>
    <x v="149"/>
    <x v="137"/>
    <x v="149"/>
    <x v="149"/>
    <x v="149"/>
    <x v="149"/>
    <x v="149"/>
    <x v="149"/>
    <x v="149"/>
    <x v="149"/>
    <x v="149"/>
    <x v="137"/>
    <x v="149"/>
    <x v="149"/>
    <x v="149"/>
    <x v="149"/>
    <x v="149"/>
    <x v="149"/>
    <n v="-2.7205847285659805"/>
    <n v="-0.89462997113247145"/>
    <n v="-0.30815691759895747"/>
    <n v="0.89681741154256267"/>
    <n v="-2.0740592734989311E-2"/>
    <n v="-1.2257730775691249"/>
    <n v="-1.2959916110808558"/>
    <n v="-0.58978193687200031"/>
  </r>
  <r>
    <x v="150"/>
    <n v="1"/>
    <n v="-3.7401072763606367"/>
    <n v="-5.180780678678464"/>
    <n v="-0.64379188926571596"/>
    <n v="-0.84379188926571613"/>
    <n v="1"/>
    <x v="0"/>
    <n v="13"/>
    <n v="151"/>
    <s v="Derrick Rose"/>
    <x v="2"/>
    <x v="23"/>
    <x v="150"/>
    <x v="138"/>
    <x v="150"/>
    <x v="150"/>
    <x v="150"/>
    <x v="150"/>
    <x v="150"/>
    <x v="150"/>
    <x v="150"/>
    <x v="150"/>
    <x v="150"/>
    <x v="138"/>
    <x v="150"/>
    <x v="150"/>
    <x v="150"/>
    <x v="150"/>
    <x v="150"/>
    <x v="150"/>
    <n v="-3.143791889265716"/>
    <n v="-1.0337963076866823"/>
    <n v="-0.5728213309007163"/>
    <n v="-0.86875625114228339"/>
    <n v="-1.3091056546515552"/>
    <n v="0.12652871470986654"/>
    <n v="-0.41634170540820548"/>
    <n v="-0.58303844367265756"/>
  </r>
  <r>
    <x v="151"/>
    <n v="1"/>
    <n v="-6.7891269421583296"/>
    <n v="-8.403196107519129"/>
    <n v="-1.1686255333322784"/>
    <n v="-1.3686255333322785"/>
    <n v="1"/>
    <x v="0"/>
    <n v="13"/>
    <n v="152"/>
    <s v="Seth Curry"/>
    <x v="1"/>
    <x v="5"/>
    <x v="151"/>
    <x v="139"/>
    <x v="151"/>
    <x v="151"/>
    <x v="151"/>
    <x v="151"/>
    <x v="151"/>
    <x v="151"/>
    <x v="151"/>
    <x v="151"/>
    <x v="151"/>
    <x v="139"/>
    <x v="151"/>
    <x v="151"/>
    <x v="151"/>
    <x v="151"/>
    <x v="151"/>
    <x v="151"/>
    <n v="-3.6686255333322784"/>
    <n v="-1.2063812314019999"/>
    <n v="-0.76892080897571091"/>
    <n v="0.52857979333920002"/>
    <n v="-1.2514632242471846"/>
    <n v="-0.4333023751042519"/>
    <n v="-0.7397817493697022"/>
    <n v="-1.1173364110721489"/>
  </r>
  <r>
    <x v="152"/>
    <n v="1"/>
    <n v="-7.0867055927877098"/>
    <n v="-8.7176978622432433"/>
    <n v="-1.2198483212198625"/>
    <n v="-1.4198483212198632"/>
    <n v="1"/>
    <x v="0"/>
    <n v="14"/>
    <n v="153"/>
    <s v="T.J. McConnell"/>
    <x v="2"/>
    <x v="20"/>
    <x v="152"/>
    <x v="140"/>
    <x v="152"/>
    <x v="152"/>
    <x v="152"/>
    <x v="152"/>
    <x v="152"/>
    <x v="152"/>
    <x v="152"/>
    <x v="152"/>
    <x v="152"/>
    <x v="140"/>
    <x v="152"/>
    <x v="152"/>
    <x v="152"/>
    <x v="152"/>
    <x v="152"/>
    <x v="152"/>
    <n v="-3.719848321219863"/>
    <n v="-1.2232251990858696"/>
    <n v="-1.6998021561824836"/>
    <n v="-1.5416459146763124"/>
    <n v="-1.1670251501119979"/>
    <n v="0.69379163325664073"/>
    <n v="0.50959865263514725"/>
    <n v="-0.82719748256787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364A5-B7E9-E24C-88E7-83D782D0B6B0}" name="Draaitabel1" cacheId="1" applyNumberFormats="0" applyBorderFormats="0" applyFontFormats="0" applyPatternFormats="0" applyAlignmentFormats="0" applyWidthHeightFormats="1" dataCaption="Waarden" updatedVersion="7" minRefreshableVersion="3" useAutoFormatting="1" rowGrandTotals="0" colGrandTotals="0" itemPrintTitles="1" createdVersion="6" indent="0" compact="0" compactData="0" gridDropZones="1" multipleFieldFilters="0">
  <location ref="B6:AB8" firstHeaderRow="2" firstDataRow="2" firstDataCol="21" rowPageCount="1" colPageCount="1"/>
  <pivotFields count="39"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compact="0" numFmtId="164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outline="0" showAll="0" defaultSubtotal="0"/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">
        <item x="0"/>
        <item x="5"/>
        <item x="7"/>
        <item x="2"/>
        <item x="1"/>
        <item x="9"/>
        <item x="3"/>
        <item x="4"/>
        <item x="6"/>
        <item x="8"/>
        <item x="10"/>
        <item x="11"/>
      </items>
    </pivotField>
    <pivotField axis="axisRow" compact="0" outline="0" showAll="0" defaultSubtotal="0">
      <items count="30">
        <item x="15"/>
        <item x="1"/>
        <item x="7"/>
        <item x="16"/>
        <item x="14"/>
        <item x="28"/>
        <item x="10"/>
        <item sd="0" x="0"/>
        <item x="27"/>
        <item x="2"/>
        <item x="25"/>
        <item x="20"/>
        <item x="9"/>
        <item x="12"/>
        <item x="22"/>
        <item x="11"/>
        <item x="8"/>
        <item x="3"/>
        <item x="23"/>
        <item x="18"/>
        <item x="29"/>
        <item x="5"/>
        <item x="4"/>
        <item x="24"/>
        <item x="26"/>
        <item x="13"/>
        <item x="17"/>
        <item x="6"/>
        <item x="19"/>
        <item x="21"/>
      </items>
    </pivotField>
    <pivotField axis="axisRow" compact="0" outline="0" showAll="0" defaultSubtotal="0">
      <items count="153"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41"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105"/>
        <item x="120"/>
        <item x="140"/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1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85"/>
        <item x="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outline="0" showAll="0" defaultSubtotal="0">
      <items count="1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</items>
    </pivotField>
    <pivotField axis="axisRow" compact="0" numFmtId="2" outline="0" showAll="0" defaultSubtotal="0">
      <items count="153">
        <item x="15"/>
        <item x="116"/>
        <item x="121"/>
        <item x="99"/>
        <item x="86"/>
        <item x="132"/>
        <item x="78"/>
        <item x="56"/>
        <item x="112"/>
        <item x="68"/>
        <item x="67"/>
        <item x="50"/>
        <item x="53"/>
        <item x="76"/>
        <item x="123"/>
        <item x="36"/>
        <item x="20"/>
        <item x="148"/>
        <item x="75"/>
        <item x="17"/>
        <item x="126"/>
        <item x="114"/>
        <item x="80"/>
        <item x="113"/>
        <item x="70"/>
        <item x="130"/>
        <item x="140"/>
        <item x="46"/>
        <item x="128"/>
        <item x="110"/>
        <item x="60"/>
        <item x="137"/>
        <item x="72"/>
        <item x="19"/>
        <item x="93"/>
        <item x="109"/>
        <item x="143"/>
        <item x="34"/>
        <item x="83"/>
        <item x="146"/>
        <item x="135"/>
        <item x="145"/>
        <item x="11"/>
        <item x="134"/>
        <item x="62"/>
        <item x="55"/>
        <item x="100"/>
        <item x="77"/>
        <item x="8"/>
        <item x="35"/>
        <item x="95"/>
        <item x="5"/>
        <item x="142"/>
        <item x="51"/>
        <item x="136"/>
        <item x="74"/>
        <item x="42"/>
        <item x="85"/>
        <item x="107"/>
        <item x="103"/>
        <item x="31"/>
        <item x="149"/>
        <item x="97"/>
        <item x="32"/>
        <item x="1"/>
        <item x="58"/>
        <item x="91"/>
        <item x="2"/>
        <item x="41"/>
        <item x="59"/>
        <item x="122"/>
        <item x="21"/>
        <item x="82"/>
        <item x="12"/>
        <item x="79"/>
        <item x="71"/>
        <item x="151"/>
        <item x="127"/>
        <item x="98"/>
        <item x="81"/>
        <item x="139"/>
        <item x="40"/>
        <item x="131"/>
        <item x="7"/>
        <item x="118"/>
        <item x="150"/>
        <item x="96"/>
        <item x="54"/>
        <item x="27"/>
        <item x="13"/>
        <item x="84"/>
        <item x="49"/>
        <item x="147"/>
        <item x="39"/>
        <item x="138"/>
        <item x="28"/>
        <item x="104"/>
        <item x="87"/>
        <item x="108"/>
        <item x="48"/>
        <item x="117"/>
        <item x="106"/>
        <item x="37"/>
        <item x="125"/>
        <item x="101"/>
        <item x="94"/>
        <item x="129"/>
        <item x="152"/>
        <item x="23"/>
        <item x="144"/>
        <item x="64"/>
        <item x="47"/>
        <item x="22"/>
        <item x="33"/>
        <item x="57"/>
        <item x="133"/>
        <item x="38"/>
        <item x="16"/>
        <item x="3"/>
        <item x="9"/>
        <item x="14"/>
        <item x="6"/>
        <item x="102"/>
        <item x="69"/>
        <item x="29"/>
        <item x="66"/>
        <item x="44"/>
        <item x="30"/>
        <item x="89"/>
        <item x="88"/>
        <item x="25"/>
        <item x="73"/>
        <item x="115"/>
        <item x="120"/>
        <item x="119"/>
        <item x="63"/>
        <item x="4"/>
        <item x="92"/>
        <item x="105"/>
        <item x="18"/>
        <item x="141"/>
        <item x="111"/>
        <item x="61"/>
        <item x="65"/>
        <item x="90"/>
        <item x="124"/>
        <item x="43"/>
        <item x="45"/>
        <item x="0"/>
        <item x="24"/>
        <item x="52"/>
        <item x="10"/>
        <item x="26"/>
      </items>
    </pivotField>
    <pivotField axis="axisRow" compact="0" numFmtId="2" outline="0" showAll="0" defaultSubtotal="0">
      <items count="153">
        <item x="10"/>
        <item x="26"/>
        <item x="73"/>
        <item x="65"/>
        <item x="24"/>
        <item x="29"/>
        <item x="92"/>
        <item x="124"/>
        <item x="105"/>
        <item x="51"/>
        <item x="111"/>
        <item x="90"/>
        <item x="39"/>
        <item x="120"/>
        <item x="12"/>
        <item x="44"/>
        <item x="45"/>
        <item x="25"/>
        <item x="144"/>
        <item x="89"/>
        <item x="117"/>
        <item x="38"/>
        <item x="75"/>
        <item x="96"/>
        <item x="94"/>
        <item x="129"/>
        <item x="139"/>
        <item x="19"/>
        <item x="121"/>
        <item x="106"/>
        <item x="74"/>
        <item x="93"/>
        <item x="140"/>
        <item x="113"/>
        <item x="145"/>
        <item x="110"/>
        <item x="115"/>
        <item x="146"/>
        <item x="99"/>
        <item x="133"/>
        <item x="119"/>
        <item x="70"/>
        <item x="125"/>
        <item x="53"/>
        <item x="85"/>
        <item x="33"/>
        <item x="54"/>
        <item x="138"/>
        <item x="18"/>
        <item x="122"/>
        <item x="91"/>
        <item x="66"/>
        <item x="102"/>
        <item x="141"/>
        <item x="134"/>
        <item x="61"/>
        <item x="82"/>
        <item x="28"/>
        <item x="131"/>
        <item x="43"/>
        <item x="31"/>
        <item x="14"/>
        <item x="59"/>
        <item x="52"/>
        <item x="62"/>
        <item x="41"/>
        <item x="27"/>
        <item x="36"/>
        <item x="152"/>
        <item x="30"/>
        <item x="109"/>
        <item x="114"/>
        <item x="83"/>
        <item x="137"/>
        <item x="147"/>
        <item x="46"/>
        <item x="101"/>
        <item x="97"/>
        <item x="78"/>
        <item x="107"/>
        <item x="103"/>
        <item x="55"/>
        <item x="148"/>
        <item x="136"/>
        <item x="34"/>
        <item x="88"/>
        <item x="130"/>
        <item x="132"/>
        <item x="149"/>
        <item x="135"/>
        <item x="118"/>
        <item x="86"/>
        <item x="151"/>
        <item x="21"/>
        <item x="126"/>
        <item x="76"/>
        <item x="49"/>
        <item x="22"/>
        <item x="84"/>
        <item x="143"/>
        <item x="77"/>
        <item x="108"/>
        <item x="63"/>
        <item x="69"/>
        <item x="104"/>
        <item x="127"/>
        <item x="87"/>
        <item x="116"/>
        <item x="72"/>
        <item x="68"/>
        <item x="56"/>
        <item x="35"/>
        <item x="150"/>
        <item x="112"/>
        <item x="79"/>
        <item x="142"/>
        <item x="123"/>
        <item x="58"/>
        <item x="16"/>
        <item x="32"/>
        <item x="98"/>
        <item x="48"/>
        <item x="71"/>
        <item x="95"/>
        <item x="128"/>
        <item x="80"/>
        <item x="60"/>
        <item x="50"/>
        <item x="23"/>
        <item x="47"/>
        <item x="81"/>
        <item x="3"/>
        <item x="15"/>
        <item x="40"/>
        <item x="67"/>
        <item x="64"/>
        <item x="11"/>
        <item x="8"/>
        <item x="20"/>
        <item x="100"/>
        <item x="42"/>
        <item x="9"/>
        <item x="13"/>
        <item x="0"/>
        <item x="1"/>
        <item x="6"/>
        <item x="4"/>
        <item x="37"/>
        <item x="57"/>
        <item x="17"/>
        <item x="7"/>
        <item x="2"/>
        <item x="5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</pivotFields>
  <rowFields count="21">
    <field x="0"/>
    <field x="11"/>
    <field x="12"/>
    <field x="13"/>
    <field x="14"/>
    <field x="15"/>
    <field x="16"/>
    <field x="17"/>
    <field x="18"/>
    <field x="19"/>
    <field x="20"/>
    <field x="21"/>
    <field x="22"/>
    <field x="23"/>
    <field x="24"/>
    <field x="25"/>
    <field x="26"/>
    <field x="27"/>
    <field x="28"/>
    <field x="29"/>
    <field x="30"/>
  </rowFields>
  <rowItems count="1">
    <i>
      <x v="2"/>
      <x v="3"/>
      <x v="9"/>
      <x v="3"/>
      <x v="3"/>
      <x v="2"/>
      <x v="2"/>
      <x v="6"/>
      <x v="3"/>
      <x v="2"/>
      <x v="2"/>
      <x v="2"/>
      <x v="4"/>
      <x v="2"/>
      <x v="2"/>
      <x v="2"/>
      <x v="2"/>
      <x v="2"/>
      <x v="2"/>
      <x v="67"/>
      <x v="151"/>
    </i>
  </rowItems>
  <colItems count="1">
    <i/>
  </colItem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1963-6F25-3649-B17E-357EE1B58666}">
  <dimension ref="A1:AA221"/>
  <sheetViews>
    <sheetView workbookViewId="0">
      <selection activeCell="B3" sqref="B3:B221"/>
    </sheetView>
  </sheetViews>
  <sheetFormatPr defaultColWidth="8.85546875" defaultRowHeight="15"/>
  <cols>
    <col min="1" max="1" width="8.85546875" style="17"/>
    <col min="2" max="2" width="14.140625" style="24" bestFit="1" customWidth="1"/>
    <col min="3" max="3" width="8.85546875" style="17"/>
    <col min="4" max="4" width="27.140625" style="17" customWidth="1"/>
    <col min="5" max="5" width="9.7109375" style="17" bestFit="1" customWidth="1"/>
    <col min="6" max="6" width="10.42578125" style="17" customWidth="1"/>
    <col min="7" max="16" width="8.85546875" style="22"/>
    <col min="17" max="16384" width="8.85546875" style="17"/>
  </cols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14</v>
      </c>
    </row>
    <row r="2" spans="1:27">
      <c r="A2" s="17" t="s">
        <v>15</v>
      </c>
      <c r="B2" s="19" t="s">
        <v>16</v>
      </c>
      <c r="C2" s="18" t="s">
        <v>17</v>
      </c>
      <c r="D2" s="20" t="s">
        <v>18</v>
      </c>
      <c r="E2" s="20" t="s">
        <v>19</v>
      </c>
      <c r="F2" s="20" t="s">
        <v>20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27">
      <c r="A3" s="17">
        <f>_xlfn.FLOOR.MATH(C3/12)+1</f>
        <v>1</v>
      </c>
      <c r="B3" s="21">
        <v>67.341720095923691</v>
      </c>
      <c r="C3" s="17">
        <v>1</v>
      </c>
      <c r="D3" s="17" t="s">
        <v>21</v>
      </c>
      <c r="E3" s="17" t="s">
        <v>22</v>
      </c>
      <c r="F3" s="17" t="s">
        <v>23</v>
      </c>
      <c r="G3" s="22">
        <v>26.821052631578947</v>
      </c>
      <c r="H3" s="22">
        <v>1.1289473684210527</v>
      </c>
      <c r="I3" s="22">
        <v>10.729078947368421</v>
      </c>
      <c r="J3" s="22">
        <v>7.7136842105263161</v>
      </c>
      <c r="K3" s="22">
        <v>1.1921052631578946</v>
      </c>
      <c r="L3" s="22">
        <v>0.63118421052631579</v>
      </c>
      <c r="M3" s="22">
        <v>0.56402768449026075</v>
      </c>
      <c r="N3" s="22">
        <v>18.022631578947369</v>
      </c>
      <c r="O3" s="22">
        <v>0.8750026841890528</v>
      </c>
      <c r="P3" s="22">
        <v>6.1275000000000004</v>
      </c>
    </row>
    <row r="4" spans="1:27">
      <c r="A4" s="17">
        <f t="shared" ref="A4:A67" si="0">_xlfn.FLOOR.MATH(C4/12)+1</f>
        <v>1</v>
      </c>
      <c r="B4" s="21">
        <v>64.783779313481148</v>
      </c>
      <c r="C4" s="17">
        <v>2</v>
      </c>
      <c r="D4" s="17" t="s">
        <v>24</v>
      </c>
      <c r="E4" s="17" t="s">
        <v>25</v>
      </c>
      <c r="F4" s="17" t="s">
        <v>26</v>
      </c>
      <c r="G4" s="22">
        <v>25.374459459459459</v>
      </c>
      <c r="H4" s="22">
        <v>2.9529729729729732</v>
      </c>
      <c r="I4" s="22">
        <v>7.7999999999999989</v>
      </c>
      <c r="J4" s="22">
        <v>10.5</v>
      </c>
      <c r="K4" s="22">
        <v>1.2749999999999999</v>
      </c>
      <c r="L4" s="22">
        <v>0.82499999999999996</v>
      </c>
      <c r="M4" s="22">
        <v>0.46559225065258064</v>
      </c>
      <c r="N4" s="22">
        <v>17.549864864864865</v>
      </c>
      <c r="O4" s="22">
        <v>0.86600061600061595</v>
      </c>
      <c r="P4" s="22">
        <v>7.0200000000000005</v>
      </c>
    </row>
    <row r="5" spans="1:27">
      <c r="A5" s="17">
        <f t="shared" si="0"/>
        <v>1</v>
      </c>
      <c r="B5" s="21">
        <v>64.520374848874582</v>
      </c>
      <c r="C5" s="17">
        <v>3</v>
      </c>
      <c r="D5" s="17" t="s">
        <v>27</v>
      </c>
      <c r="E5" s="17" t="s">
        <v>28</v>
      </c>
      <c r="F5" s="17" t="s">
        <v>29</v>
      </c>
      <c r="G5" s="22">
        <v>31.462361111111111</v>
      </c>
      <c r="H5" s="22">
        <v>5.4933333333333332</v>
      </c>
      <c r="I5" s="22">
        <v>5.4719444444444445</v>
      </c>
      <c r="J5" s="22">
        <v>5.9095833333333339</v>
      </c>
      <c r="K5" s="22">
        <v>1.2402777777777778</v>
      </c>
      <c r="L5" s="22">
        <v>0.14597222222222223</v>
      </c>
      <c r="M5" s="22">
        <v>0.46887219592508739</v>
      </c>
      <c r="N5" s="22">
        <v>21.595555555555556</v>
      </c>
      <c r="O5" s="22">
        <v>0.91300008870753124</v>
      </c>
      <c r="P5" s="22">
        <v>6.262777777777778</v>
      </c>
    </row>
    <row r="6" spans="1:27">
      <c r="A6" s="17">
        <f t="shared" si="0"/>
        <v>1</v>
      </c>
      <c r="B6" s="21">
        <v>51.130890643420507</v>
      </c>
      <c r="C6" s="17">
        <v>4</v>
      </c>
      <c r="D6" s="17" t="s">
        <v>30</v>
      </c>
      <c r="E6" s="17" t="s">
        <v>22</v>
      </c>
      <c r="F6" s="17" t="s">
        <v>31</v>
      </c>
      <c r="G6" s="22">
        <v>24.803783783783786</v>
      </c>
      <c r="H6" s="22">
        <v>2.4886486486486485</v>
      </c>
      <c r="I6" s="22">
        <v>10.505945945945946</v>
      </c>
      <c r="J6" s="22">
        <v>4.9612162162162159</v>
      </c>
      <c r="K6" s="22">
        <v>0.72959459459459464</v>
      </c>
      <c r="L6" s="22">
        <v>1.2402702702702704</v>
      </c>
      <c r="M6" s="22">
        <v>0.50213571149132541</v>
      </c>
      <c r="N6" s="22">
        <v>16.925810810810809</v>
      </c>
      <c r="O6" s="22">
        <v>0.84899879164508885</v>
      </c>
      <c r="P6" s="22">
        <v>6.2627027027027022</v>
      </c>
    </row>
    <row r="7" spans="1:27">
      <c r="A7" s="17">
        <f t="shared" si="0"/>
        <v>1</v>
      </c>
      <c r="B7" s="21">
        <v>50.740011103360231</v>
      </c>
      <c r="C7" s="17">
        <v>5</v>
      </c>
      <c r="D7" s="17" t="s">
        <v>32</v>
      </c>
      <c r="E7" s="17" t="s">
        <v>33</v>
      </c>
      <c r="F7" s="17" t="s">
        <v>26</v>
      </c>
      <c r="G7" s="22">
        <v>25.923731343283581</v>
      </c>
      <c r="H7" s="22">
        <v>2.2064179104477613</v>
      </c>
      <c r="I7" s="22">
        <v>7.0125373134328362</v>
      </c>
      <c r="J7" s="22">
        <v>4.7458208955223888</v>
      </c>
      <c r="K7" s="22">
        <v>0.70835820895522394</v>
      </c>
      <c r="L7" s="22">
        <v>1.204179104477612</v>
      </c>
      <c r="M7" s="22">
        <v>0.53846018771346038</v>
      </c>
      <c r="N7" s="22">
        <v>16.999552238805972</v>
      </c>
      <c r="O7" s="22">
        <v>0.88401131596917371</v>
      </c>
      <c r="P7" s="22">
        <v>6.12</v>
      </c>
    </row>
    <row r="8" spans="1:27">
      <c r="A8" s="17">
        <f t="shared" si="0"/>
        <v>1</v>
      </c>
      <c r="B8" s="21">
        <v>50.282926724878145</v>
      </c>
      <c r="C8" s="17">
        <v>6</v>
      </c>
      <c r="D8" s="17" t="s">
        <v>34</v>
      </c>
      <c r="E8" s="17" t="s">
        <v>28</v>
      </c>
      <c r="F8" s="17" t="s">
        <v>35</v>
      </c>
      <c r="G8" s="22">
        <v>27.821184210526319</v>
      </c>
      <c r="H8" s="22">
        <v>3.8598684210526319</v>
      </c>
      <c r="I8" s="22">
        <v>4.1663157894736846</v>
      </c>
      <c r="J8" s="22">
        <v>7.4235526315789482</v>
      </c>
      <c r="K8" s="22">
        <v>0.90894736842105261</v>
      </c>
      <c r="L8" s="22">
        <v>0.22723684210526315</v>
      </c>
      <c r="M8" s="22">
        <v>0.45991432703819302</v>
      </c>
      <c r="N8" s="22">
        <v>19.013552631578946</v>
      </c>
      <c r="O8" s="22">
        <v>0.92000374076498648</v>
      </c>
      <c r="P8" s="22">
        <v>7.0348684210526313</v>
      </c>
    </row>
    <row r="9" spans="1:27">
      <c r="A9" s="17">
        <f t="shared" si="0"/>
        <v>1</v>
      </c>
      <c r="B9" s="21">
        <v>50.171879830316691</v>
      </c>
      <c r="C9" s="17">
        <v>7</v>
      </c>
      <c r="D9" s="17" t="s">
        <v>36</v>
      </c>
      <c r="E9" s="17" t="s">
        <v>22</v>
      </c>
      <c r="F9" s="17" t="s">
        <v>37</v>
      </c>
      <c r="G9" s="22">
        <v>27.557903225806452</v>
      </c>
      <c r="H9" s="22">
        <v>1.1251612903225807</v>
      </c>
      <c r="I9" s="22">
        <v>10.63241935483871</v>
      </c>
      <c r="J9" s="22">
        <v>2.8701612903225806</v>
      </c>
      <c r="K9" s="22">
        <v>0.91322580645161289</v>
      </c>
      <c r="L9" s="22">
        <v>1.3698387096774194</v>
      </c>
      <c r="M9" s="22">
        <v>0.50390117035110538</v>
      </c>
      <c r="N9" s="22">
        <v>17.612580645161291</v>
      </c>
      <c r="O9" s="22">
        <v>0.84999921052216065</v>
      </c>
      <c r="P9" s="22">
        <v>10.215</v>
      </c>
    </row>
    <row r="10" spans="1:27">
      <c r="A10" s="17">
        <f t="shared" si="0"/>
        <v>1</v>
      </c>
      <c r="B10" s="21">
        <v>46.66108422424243</v>
      </c>
      <c r="C10" s="17">
        <v>8</v>
      </c>
      <c r="D10" s="23" t="s">
        <v>38</v>
      </c>
      <c r="E10" s="17" t="s">
        <v>39</v>
      </c>
      <c r="F10" s="17" t="s">
        <v>40</v>
      </c>
      <c r="G10" s="22">
        <v>31.474242424242419</v>
      </c>
      <c r="H10" s="22">
        <v>2.5018181818181819</v>
      </c>
      <c r="I10" s="22">
        <v>4.4887878787878783</v>
      </c>
      <c r="J10" s="22">
        <v>5.6700000000000008</v>
      </c>
      <c r="K10" s="22">
        <v>1.1812121212121212</v>
      </c>
      <c r="L10" s="22">
        <v>0.315</v>
      </c>
      <c r="M10" s="22">
        <v>0.47584982406301451</v>
      </c>
      <c r="N10" s="22">
        <v>23.46742424242424</v>
      </c>
      <c r="O10" s="22">
        <v>0.88400621431309645</v>
      </c>
      <c r="P10" s="22">
        <v>7.5095454545454547</v>
      </c>
    </row>
    <row r="11" spans="1:27">
      <c r="A11" s="17">
        <f t="shared" si="0"/>
        <v>1</v>
      </c>
      <c r="B11" s="21">
        <v>45.653833333785911</v>
      </c>
      <c r="C11" s="17">
        <v>9</v>
      </c>
      <c r="D11" s="17" t="s">
        <v>41</v>
      </c>
      <c r="E11" s="17" t="s">
        <v>33</v>
      </c>
      <c r="F11" s="17" t="s">
        <v>42</v>
      </c>
      <c r="G11" s="22">
        <v>27.752000000000002</v>
      </c>
      <c r="H11" s="22">
        <v>3.0920000000000001</v>
      </c>
      <c r="I11" s="22">
        <v>7.5749333333333331</v>
      </c>
      <c r="J11" s="22">
        <v>4.6965333333333339</v>
      </c>
      <c r="K11" s="22">
        <v>1.212</v>
      </c>
      <c r="L11" s="22">
        <v>0.53026666666666666</v>
      </c>
      <c r="M11" s="22">
        <v>0.46078024616854618</v>
      </c>
      <c r="N11" s="22">
        <v>21.210400000000003</v>
      </c>
      <c r="O11" s="22">
        <v>0.86100446779371809</v>
      </c>
      <c r="P11" s="22">
        <v>5.9388000000000005</v>
      </c>
    </row>
    <row r="12" spans="1:27">
      <c r="A12" s="17">
        <f t="shared" si="0"/>
        <v>1</v>
      </c>
      <c r="B12" s="21">
        <v>45.135629550970023</v>
      </c>
      <c r="C12" s="17">
        <v>10</v>
      </c>
      <c r="D12" s="17" t="s">
        <v>43</v>
      </c>
      <c r="E12" s="17" t="s">
        <v>25</v>
      </c>
      <c r="F12" s="17" t="s">
        <v>26</v>
      </c>
      <c r="G12" s="22">
        <v>24.186530612244901</v>
      </c>
      <c r="H12" s="22">
        <v>2.5183673469387755</v>
      </c>
      <c r="I12" s="22">
        <v>4.6748979591836735</v>
      </c>
      <c r="J12" s="22">
        <v>5.1000000000000005</v>
      </c>
      <c r="K12" s="22">
        <v>1.3459183673469388</v>
      </c>
      <c r="L12" s="22">
        <v>0.63755102040816325</v>
      </c>
      <c r="M12" s="22">
        <v>0.50097161108753441</v>
      </c>
      <c r="N12" s="22">
        <v>18.273877551020409</v>
      </c>
      <c r="O12" s="22">
        <v>0.91897928415880292</v>
      </c>
      <c r="P12" s="22">
        <v>3.6548979591836734</v>
      </c>
    </row>
    <row r="13" spans="1:27">
      <c r="A13" s="17">
        <f t="shared" si="0"/>
        <v>1</v>
      </c>
      <c r="B13" s="21">
        <v>43.97324460727026</v>
      </c>
      <c r="C13" s="17">
        <v>11</v>
      </c>
      <c r="D13" s="17" t="s">
        <v>44</v>
      </c>
      <c r="E13" s="17" t="s">
        <v>45</v>
      </c>
      <c r="F13" s="17" t="s">
        <v>46</v>
      </c>
      <c r="G13" s="22">
        <v>27.862361111111113</v>
      </c>
      <c r="H13" s="22">
        <v>1.0938888888888889</v>
      </c>
      <c r="I13" s="22">
        <v>11.368472222222222</v>
      </c>
      <c r="J13" s="22">
        <v>5.8630555555555555</v>
      </c>
      <c r="K13" s="22">
        <v>1.1440277777777779</v>
      </c>
      <c r="L13" s="22">
        <v>1.2155555555555555</v>
      </c>
      <c r="M13" s="22">
        <v>0.57533038960228422</v>
      </c>
      <c r="N13" s="22">
        <v>17.803055555555559</v>
      </c>
      <c r="O13" s="22">
        <v>0.69200293694741022</v>
      </c>
      <c r="P13" s="22">
        <v>9.0797222222222231</v>
      </c>
    </row>
    <row r="14" spans="1:27">
      <c r="A14" s="17">
        <f t="shared" si="0"/>
        <v>2</v>
      </c>
      <c r="B14" s="21">
        <v>43.524657175161451</v>
      </c>
      <c r="C14" s="17">
        <v>12</v>
      </c>
      <c r="D14" s="17" t="s">
        <v>47</v>
      </c>
      <c r="E14" s="17" t="s">
        <v>48</v>
      </c>
      <c r="F14" s="17" t="s">
        <v>49</v>
      </c>
      <c r="G14" s="22">
        <v>26.182499999999997</v>
      </c>
      <c r="H14" s="22">
        <v>3.2467647058823528</v>
      </c>
      <c r="I14" s="22">
        <v>6.8722058823529411</v>
      </c>
      <c r="J14" s="22">
        <v>5.4697058823529412</v>
      </c>
      <c r="K14" s="22">
        <v>1.1920588235294118</v>
      </c>
      <c r="L14" s="22">
        <v>0.42073529411764704</v>
      </c>
      <c r="M14" s="22">
        <v>0.45674081538894734</v>
      </c>
      <c r="N14" s="22">
        <v>19.846176470588233</v>
      </c>
      <c r="O14" s="22">
        <v>0.86500291113110683</v>
      </c>
      <c r="P14" s="22">
        <v>5.5567647058823528</v>
      </c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.75">
      <c r="A15" s="17">
        <f t="shared" si="0"/>
        <v>2</v>
      </c>
      <c r="B15" s="21">
        <v>43.319669682775604</v>
      </c>
      <c r="C15" s="17">
        <v>13</v>
      </c>
      <c r="D15" s="17" t="s">
        <v>50</v>
      </c>
      <c r="E15" s="17" t="s">
        <v>28</v>
      </c>
      <c r="F15" s="17" t="s">
        <v>51</v>
      </c>
      <c r="G15" s="22">
        <v>28.40733333333333</v>
      </c>
      <c r="H15" s="22">
        <v>3.2225333333333332</v>
      </c>
      <c r="I15" s="22">
        <v>7.9410666666666669</v>
      </c>
      <c r="J15" s="22">
        <v>8.8712</v>
      </c>
      <c r="K15" s="22">
        <v>1.0730666666666666</v>
      </c>
      <c r="L15" s="22">
        <v>0.50080000000000002</v>
      </c>
      <c r="M15" s="22">
        <v>0.47186089558294031</v>
      </c>
      <c r="N15" s="22">
        <v>21.0336</v>
      </c>
      <c r="O15" s="22">
        <v>0.74600540691712502</v>
      </c>
      <c r="P15" s="22">
        <v>7.1513333333333335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>
      <c r="A16" s="17">
        <f t="shared" si="0"/>
        <v>2</v>
      </c>
      <c r="B16" s="21">
        <v>42.071874400178054</v>
      </c>
      <c r="C16" s="17">
        <v>14</v>
      </c>
      <c r="D16" s="17" t="s">
        <v>52</v>
      </c>
      <c r="E16" s="17" t="s">
        <v>48</v>
      </c>
      <c r="F16" s="17" t="s">
        <v>53</v>
      </c>
      <c r="G16" s="22">
        <v>20.908437499999998</v>
      </c>
      <c r="H16" s="22">
        <v>0.55843750000000003</v>
      </c>
      <c r="I16" s="22">
        <v>6.9417187499999997</v>
      </c>
      <c r="J16" s="22">
        <v>6.5251562500000002</v>
      </c>
      <c r="K16" s="22">
        <v>1.8048437500000001</v>
      </c>
      <c r="L16" s="22">
        <v>0.34703125000000001</v>
      </c>
      <c r="M16" s="22">
        <v>0.47837849824810397</v>
      </c>
      <c r="N16" s="22">
        <v>14.091875</v>
      </c>
      <c r="O16" s="22">
        <v>0.85499747111232161</v>
      </c>
      <c r="P16" s="22">
        <v>8.0321874999999991</v>
      </c>
    </row>
    <row r="17" spans="1:16">
      <c r="A17" s="17">
        <f t="shared" si="0"/>
        <v>2</v>
      </c>
      <c r="B17" s="21">
        <v>40.855788136632846</v>
      </c>
      <c r="C17" s="17">
        <v>15</v>
      </c>
      <c r="D17" s="17" t="s">
        <v>54</v>
      </c>
      <c r="E17" s="17" t="s">
        <v>45</v>
      </c>
      <c r="F17" s="17" t="s">
        <v>55</v>
      </c>
      <c r="G17" s="22">
        <v>23.060149253731343</v>
      </c>
      <c r="H17" s="22">
        <v>0.89268656716417916</v>
      </c>
      <c r="I17" s="22">
        <v>7.2929850746268654</v>
      </c>
      <c r="J17" s="22">
        <v>2.8050746268656717</v>
      </c>
      <c r="K17" s="22">
        <v>1.3323880597014925</v>
      </c>
      <c r="L17" s="22">
        <v>2.1037313432835818</v>
      </c>
      <c r="M17" s="22">
        <v>0.50373799451938162</v>
      </c>
      <c r="N17" s="22">
        <v>16.830000000000002</v>
      </c>
      <c r="O17" s="22">
        <v>0.79400595765968585</v>
      </c>
      <c r="P17" s="22">
        <v>6.5637313432835818</v>
      </c>
    </row>
    <row r="18" spans="1:16">
      <c r="A18" s="17">
        <f t="shared" si="0"/>
        <v>2</v>
      </c>
      <c r="B18" s="21">
        <v>39.144783937109686</v>
      </c>
      <c r="C18" s="17">
        <v>16</v>
      </c>
      <c r="D18" s="17" t="s">
        <v>56</v>
      </c>
      <c r="E18" s="17" t="s">
        <v>25</v>
      </c>
      <c r="F18" s="17" t="s">
        <v>57</v>
      </c>
      <c r="G18" s="22">
        <v>20.545151515151517</v>
      </c>
      <c r="H18" s="22">
        <v>3.5696969696969698</v>
      </c>
      <c r="I18" s="22">
        <v>4.0904545454545449</v>
      </c>
      <c r="J18" s="22">
        <v>6.2872727272727271</v>
      </c>
      <c r="K18" s="22">
        <v>1.7422727272727272</v>
      </c>
      <c r="L18" s="22">
        <v>0.68181818181818177</v>
      </c>
      <c r="M18" s="22">
        <v>0.39914810779918913</v>
      </c>
      <c r="N18" s="22">
        <v>16.967575757575759</v>
      </c>
      <c r="O18" s="22">
        <v>0.87898435376790784</v>
      </c>
      <c r="P18" s="22">
        <v>3.9025757575757574</v>
      </c>
    </row>
    <row r="19" spans="1:16">
      <c r="A19" s="17">
        <f t="shared" si="0"/>
        <v>2</v>
      </c>
      <c r="B19" s="21">
        <v>36.662839927641841</v>
      </c>
      <c r="C19" s="17">
        <v>17</v>
      </c>
      <c r="D19" s="17" t="s">
        <v>58</v>
      </c>
      <c r="E19" s="17" t="s">
        <v>39</v>
      </c>
      <c r="F19" s="17" t="s">
        <v>59</v>
      </c>
      <c r="G19" s="22">
        <v>26.807826086956517</v>
      </c>
      <c r="H19" s="22">
        <v>3.3911594202898554</v>
      </c>
      <c r="I19" s="22">
        <v>5.0079710144927541</v>
      </c>
      <c r="J19" s="22">
        <v>4.1978260869565212</v>
      </c>
      <c r="K19" s="22">
        <v>0.95739130434782616</v>
      </c>
      <c r="L19" s="22">
        <v>0.44188405797101449</v>
      </c>
      <c r="M19" s="22">
        <v>0.4959481603974768</v>
      </c>
      <c r="N19" s="22">
        <v>19.368550724637682</v>
      </c>
      <c r="O19" s="22">
        <v>0.83501208702659135</v>
      </c>
      <c r="P19" s="22">
        <v>5.0359420289855077</v>
      </c>
    </row>
    <row r="20" spans="1:16">
      <c r="A20" s="17">
        <f t="shared" si="0"/>
        <v>2</v>
      </c>
      <c r="B20" s="21">
        <v>35.970891064120636</v>
      </c>
      <c r="C20" s="17">
        <v>18</v>
      </c>
      <c r="D20" s="17" t="s">
        <v>60</v>
      </c>
      <c r="E20" s="17" t="s">
        <v>28</v>
      </c>
      <c r="F20" s="17" t="s">
        <v>61</v>
      </c>
      <c r="G20" s="22">
        <v>24.267066666666665</v>
      </c>
      <c r="H20" s="22">
        <v>2.3825333333333334</v>
      </c>
      <c r="I20" s="22">
        <v>3.8250666666666664</v>
      </c>
      <c r="J20" s="22">
        <v>9.35</v>
      </c>
      <c r="K20" s="22">
        <v>0.92080000000000006</v>
      </c>
      <c r="L20" s="22">
        <v>0.14173333333333335</v>
      </c>
      <c r="M20" s="22">
        <v>0.44275504269841759</v>
      </c>
      <c r="N20" s="22">
        <v>17.424533333333333</v>
      </c>
      <c r="O20" s="22">
        <v>0.88199821457851302</v>
      </c>
      <c r="P20" s="22">
        <v>7.3185333333333329</v>
      </c>
    </row>
    <row r="21" spans="1:16">
      <c r="A21" s="17">
        <f t="shared" si="0"/>
        <v>2</v>
      </c>
      <c r="B21" s="21">
        <v>34.264428005359662</v>
      </c>
      <c r="C21" s="17">
        <v>19</v>
      </c>
      <c r="D21" s="17" t="s">
        <v>62</v>
      </c>
      <c r="E21" s="17" t="s">
        <v>63</v>
      </c>
      <c r="F21" s="17" t="s">
        <v>53</v>
      </c>
      <c r="G21" s="22">
        <v>18.415131578947371</v>
      </c>
      <c r="H21" s="22">
        <v>0</v>
      </c>
      <c r="I21" s="22">
        <v>9.1630263157894731</v>
      </c>
      <c r="J21" s="22">
        <v>4.6509210526315794</v>
      </c>
      <c r="K21" s="22">
        <v>1.2494736842105263</v>
      </c>
      <c r="L21" s="22">
        <v>1.110657894736842</v>
      </c>
      <c r="M21" s="22">
        <v>0.56399536647009274</v>
      </c>
      <c r="N21" s="22">
        <v>12.494736842105263</v>
      </c>
      <c r="O21" s="22">
        <v>0.78598951726778843</v>
      </c>
      <c r="P21" s="22">
        <v>5.4977631578947364</v>
      </c>
    </row>
    <row r="22" spans="1:16">
      <c r="A22" s="17">
        <f t="shared" si="0"/>
        <v>2</v>
      </c>
      <c r="B22" s="21">
        <v>33.637372662495359</v>
      </c>
      <c r="C22" s="17">
        <v>20</v>
      </c>
      <c r="D22" s="17" t="s">
        <v>64</v>
      </c>
      <c r="E22" s="17" t="s">
        <v>28</v>
      </c>
      <c r="F22" s="17" t="s">
        <v>65</v>
      </c>
      <c r="G22" s="22">
        <v>18.928108108108106</v>
      </c>
      <c r="H22" s="22">
        <v>2.1720270270270268</v>
      </c>
      <c r="I22" s="22">
        <v>6.587567567567568</v>
      </c>
      <c r="J22" s="22">
        <v>6.8</v>
      </c>
      <c r="K22" s="22">
        <v>1.8416216216216217</v>
      </c>
      <c r="L22" s="22">
        <v>0.42499999999999999</v>
      </c>
      <c r="M22" s="22">
        <v>0.44635033917467493</v>
      </c>
      <c r="N22" s="22">
        <v>15.299459459459461</v>
      </c>
      <c r="O22" s="22">
        <v>0.75000817821976518</v>
      </c>
      <c r="P22" s="22">
        <v>4.1309459459459461</v>
      </c>
    </row>
    <row r="23" spans="1:16">
      <c r="A23" s="17">
        <f t="shared" si="0"/>
        <v>2</v>
      </c>
      <c r="B23" s="21">
        <v>32.845561575356896</v>
      </c>
      <c r="C23" s="17">
        <v>21</v>
      </c>
      <c r="D23" s="17" t="s">
        <v>66</v>
      </c>
      <c r="E23" s="17" t="s">
        <v>25</v>
      </c>
      <c r="F23" s="17" t="s">
        <v>67</v>
      </c>
      <c r="G23" s="22">
        <v>27.516891891891891</v>
      </c>
      <c r="H23" s="22">
        <v>3.2322972972972974</v>
      </c>
      <c r="I23" s="22">
        <v>4.7685135135135139</v>
      </c>
      <c r="J23" s="22">
        <v>5.418783783783784</v>
      </c>
      <c r="K23" s="22">
        <v>1.0114864864864863</v>
      </c>
      <c r="L23" s="22">
        <v>0.21675675675675674</v>
      </c>
      <c r="M23" s="22">
        <v>0.44466964716309743</v>
      </c>
      <c r="N23" s="22">
        <v>20.735405405405405</v>
      </c>
      <c r="O23" s="22">
        <v>0.85400003949681058</v>
      </c>
      <c r="P23" s="22">
        <v>6.8428378378378376</v>
      </c>
    </row>
    <row r="24" spans="1:16">
      <c r="A24" s="17">
        <f t="shared" si="0"/>
        <v>2</v>
      </c>
      <c r="B24" s="21">
        <v>32.350393355582639</v>
      </c>
      <c r="C24" s="17">
        <v>22</v>
      </c>
      <c r="D24" s="17" t="s">
        <v>68</v>
      </c>
      <c r="E24" s="17" t="s">
        <v>22</v>
      </c>
      <c r="F24" s="17" t="s">
        <v>59</v>
      </c>
      <c r="G24" s="22">
        <v>20.030266666666666</v>
      </c>
      <c r="H24" s="22">
        <v>2.0766666666666667</v>
      </c>
      <c r="I24" s="22">
        <v>12.090533333333333</v>
      </c>
      <c r="J24" s="22">
        <v>3.5770666666666662</v>
      </c>
      <c r="K24" s="22">
        <v>0.85853333333333337</v>
      </c>
      <c r="L24" s="22">
        <v>0.71546666666666658</v>
      </c>
      <c r="M24" s="22">
        <v>0.4683697743836841</v>
      </c>
      <c r="N24" s="22">
        <v>17.5992</v>
      </c>
      <c r="O24" s="22">
        <v>0.83400257595272365</v>
      </c>
      <c r="P24" s="22">
        <v>1.7598666666666667</v>
      </c>
    </row>
    <row r="25" spans="1:16">
      <c r="A25" s="17">
        <f t="shared" si="0"/>
        <v>2</v>
      </c>
      <c r="B25" s="21">
        <v>31.43492132905228</v>
      </c>
      <c r="C25" s="17">
        <v>23</v>
      </c>
      <c r="D25" s="17" t="s">
        <v>69</v>
      </c>
      <c r="E25" s="17" t="s">
        <v>25</v>
      </c>
      <c r="F25" s="17" t="s">
        <v>70</v>
      </c>
      <c r="G25" s="22">
        <v>25.701884057971014</v>
      </c>
      <c r="H25" s="22">
        <v>2</v>
      </c>
      <c r="I25" s="22">
        <v>5.3040579710144931</v>
      </c>
      <c r="J25" s="22">
        <v>5.3040579710144931</v>
      </c>
      <c r="K25" s="22">
        <v>0.95768115942028986</v>
      </c>
      <c r="L25" s="22">
        <v>0.66304347826086951</v>
      </c>
      <c r="M25" s="22">
        <v>0.49390379989584798</v>
      </c>
      <c r="N25" s="22">
        <v>17.532898550724639</v>
      </c>
      <c r="O25" s="22">
        <v>0.80899722625323767</v>
      </c>
      <c r="P25" s="22">
        <v>7.8897101449275358</v>
      </c>
    </row>
    <row r="26" spans="1:16">
      <c r="A26" s="17">
        <f t="shared" si="0"/>
        <v>3</v>
      </c>
      <c r="B26" s="21">
        <v>31.420425249359056</v>
      </c>
      <c r="C26" s="17">
        <v>24</v>
      </c>
      <c r="D26" s="17" t="s">
        <v>71</v>
      </c>
      <c r="E26" s="17" t="s">
        <v>28</v>
      </c>
      <c r="F26" s="17" t="s">
        <v>72</v>
      </c>
      <c r="G26" s="22">
        <v>15.910133333333333</v>
      </c>
      <c r="H26" s="22">
        <v>1.3632</v>
      </c>
      <c r="I26" s="22">
        <v>4.4117333333333333</v>
      </c>
      <c r="J26" s="22">
        <v>8.6316000000000006</v>
      </c>
      <c r="K26" s="22">
        <v>1.3426666666666667</v>
      </c>
      <c r="L26" s="22">
        <v>0.25573333333333331</v>
      </c>
      <c r="M26" s="22">
        <v>0.4976864925924317</v>
      </c>
      <c r="N26" s="22">
        <v>12.275733333333335</v>
      </c>
      <c r="O26" s="22">
        <v>0.90302560124127229</v>
      </c>
      <c r="P26" s="22">
        <v>2.5779999999999998</v>
      </c>
    </row>
    <row r="27" spans="1:16">
      <c r="A27" s="17">
        <f t="shared" si="0"/>
        <v>3</v>
      </c>
      <c r="B27" s="21">
        <v>30.591255381984947</v>
      </c>
      <c r="C27" s="17">
        <v>25</v>
      </c>
      <c r="D27" s="17" t="s">
        <v>73</v>
      </c>
      <c r="E27" s="17" t="s">
        <v>22</v>
      </c>
      <c r="F27" s="17" t="s">
        <v>67</v>
      </c>
      <c r="G27" s="22">
        <v>13.48012987012987</v>
      </c>
      <c r="H27" s="22">
        <v>0</v>
      </c>
      <c r="I27" s="22">
        <v>14.075974025974025</v>
      </c>
      <c r="J27" s="22">
        <v>1.291948051948052</v>
      </c>
      <c r="K27" s="22">
        <v>0.67999999999999994</v>
      </c>
      <c r="L27" s="22">
        <v>2.7199999999999998</v>
      </c>
      <c r="M27" s="22">
        <v>0.68799454297407914</v>
      </c>
      <c r="N27" s="22">
        <v>7.615584415584415</v>
      </c>
      <c r="O27" s="22">
        <v>0.64600805098960079</v>
      </c>
      <c r="P27" s="22">
        <v>4.6457142857142859</v>
      </c>
    </row>
    <row r="28" spans="1:16">
      <c r="A28" s="17">
        <f t="shared" si="0"/>
        <v>3</v>
      </c>
      <c r="B28" s="21">
        <v>30.519909371674991</v>
      </c>
      <c r="C28" s="17">
        <v>26</v>
      </c>
      <c r="D28" s="17" t="s">
        <v>74</v>
      </c>
      <c r="E28" s="17" t="s">
        <v>45</v>
      </c>
      <c r="F28" s="17" t="s">
        <v>75</v>
      </c>
      <c r="G28" s="22">
        <v>19.472602739726028</v>
      </c>
      <c r="H28" s="22">
        <v>0.75876712328767126</v>
      </c>
      <c r="I28" s="22">
        <v>11.017397260273972</v>
      </c>
      <c r="J28" s="22">
        <v>6.0810958904109595</v>
      </c>
      <c r="K28" s="22">
        <v>1.0016438356164383</v>
      </c>
      <c r="L28" s="22">
        <v>0.57232876712328773</v>
      </c>
      <c r="M28" s="22">
        <v>0.53317887198537084</v>
      </c>
      <c r="N28" s="22">
        <v>14.308082191780821</v>
      </c>
      <c r="O28" s="22">
        <v>0.73199106443470952</v>
      </c>
      <c r="P28" s="22">
        <v>4.7217808219178083</v>
      </c>
    </row>
    <row r="29" spans="1:16">
      <c r="A29" s="17">
        <f t="shared" si="0"/>
        <v>3</v>
      </c>
      <c r="B29" s="21">
        <v>29.662754038440713</v>
      </c>
      <c r="C29" s="17">
        <v>27</v>
      </c>
      <c r="D29" s="17" t="s">
        <v>76</v>
      </c>
      <c r="E29" s="17" t="s">
        <v>45</v>
      </c>
      <c r="F29" s="17" t="s">
        <v>77</v>
      </c>
      <c r="G29" s="22">
        <v>30.384927536231885</v>
      </c>
      <c r="H29" s="22">
        <v>0.17884057971014491</v>
      </c>
      <c r="I29" s="22">
        <v>7.511884057971014</v>
      </c>
      <c r="J29" s="22">
        <v>4.6856521739130432</v>
      </c>
      <c r="K29" s="22">
        <v>0.96681159420289842</v>
      </c>
      <c r="L29" s="22">
        <v>0.59507246376811596</v>
      </c>
      <c r="M29" s="22">
        <v>0.61933993145145771</v>
      </c>
      <c r="N29" s="22">
        <v>18.816666666666666</v>
      </c>
      <c r="O29" s="22">
        <v>0.70499888913574771</v>
      </c>
      <c r="P29" s="22">
        <v>9.784782608695652</v>
      </c>
    </row>
    <row r="30" spans="1:16">
      <c r="A30" s="17">
        <f t="shared" si="0"/>
        <v>3</v>
      </c>
      <c r="B30" s="21">
        <v>29.367785567045505</v>
      </c>
      <c r="C30" s="17">
        <v>28</v>
      </c>
      <c r="D30" s="17" t="s">
        <v>78</v>
      </c>
      <c r="E30" s="17" t="s">
        <v>33</v>
      </c>
      <c r="F30" s="17" t="s">
        <v>57</v>
      </c>
      <c r="G30" s="22">
        <v>18.132686567164182</v>
      </c>
      <c r="H30" s="22">
        <v>2.6589552238805969</v>
      </c>
      <c r="I30" s="22">
        <v>5.7443283582089553</v>
      </c>
      <c r="J30" s="22">
        <v>2.4302985074626866</v>
      </c>
      <c r="K30" s="22">
        <v>1.6201492537313433</v>
      </c>
      <c r="L30" s="22">
        <v>0.73641791044776128</v>
      </c>
      <c r="M30" s="22">
        <v>0.4778620417479974</v>
      </c>
      <c r="N30" s="22">
        <v>13.992985074626866</v>
      </c>
      <c r="O30" s="22">
        <v>0.78998484253073598</v>
      </c>
      <c r="P30" s="22">
        <v>2.6586567164179105</v>
      </c>
    </row>
    <row r="31" spans="1:16">
      <c r="A31" s="17">
        <f t="shared" si="0"/>
        <v>3</v>
      </c>
      <c r="B31" s="21">
        <v>29.333883506799754</v>
      </c>
      <c r="C31" s="17">
        <v>29</v>
      </c>
      <c r="D31" s="17" t="s">
        <v>79</v>
      </c>
      <c r="E31" s="17" t="s">
        <v>48</v>
      </c>
      <c r="F31" s="17" t="s">
        <v>42</v>
      </c>
      <c r="G31" s="22">
        <v>24.903380281690136</v>
      </c>
      <c r="H31" s="22">
        <v>2.8053521126760566</v>
      </c>
      <c r="I31" s="22">
        <v>6.1861971830985922</v>
      </c>
      <c r="J31" s="22">
        <v>3.0930985915492961</v>
      </c>
      <c r="K31" s="22">
        <v>1.1783098591549295</v>
      </c>
      <c r="L31" s="22">
        <v>0.51549295774647885</v>
      </c>
      <c r="M31" s="22">
        <v>0.48132218121204895</v>
      </c>
      <c r="N31" s="22">
        <v>18.927323943661975</v>
      </c>
      <c r="O31" s="22">
        <v>0.78800194624917719</v>
      </c>
      <c r="P31" s="22">
        <v>4.9209859154929578</v>
      </c>
    </row>
    <row r="32" spans="1:16">
      <c r="A32" s="17">
        <f t="shared" si="0"/>
        <v>3</v>
      </c>
      <c r="B32" s="21">
        <v>29.26414780666401</v>
      </c>
      <c r="C32" s="17">
        <v>30</v>
      </c>
      <c r="D32" s="17" t="s">
        <v>80</v>
      </c>
      <c r="E32" s="17" t="s">
        <v>81</v>
      </c>
      <c r="F32" s="17" t="s">
        <v>55</v>
      </c>
      <c r="G32" s="22">
        <v>23.904788732394362</v>
      </c>
      <c r="H32" s="22">
        <v>2.2154929577464793</v>
      </c>
      <c r="I32" s="22">
        <v>6.8722535211267601</v>
      </c>
      <c r="J32" s="22">
        <v>7.0826760563380287</v>
      </c>
      <c r="K32" s="22">
        <v>1.0518309859154931</v>
      </c>
      <c r="L32" s="22">
        <v>0.56098591549295773</v>
      </c>
      <c r="M32" s="22">
        <v>0.50731966783633164</v>
      </c>
      <c r="N32" s="22">
        <v>17.741126760563379</v>
      </c>
      <c r="O32" s="22">
        <v>0.69298756284731411</v>
      </c>
      <c r="P32" s="22">
        <v>5.3225352112676054</v>
      </c>
    </row>
    <row r="33" spans="1:16">
      <c r="A33" s="17">
        <f t="shared" si="0"/>
        <v>3</v>
      </c>
      <c r="B33" s="21">
        <v>29.11949959757899</v>
      </c>
      <c r="C33" s="17">
        <v>31</v>
      </c>
      <c r="D33" s="17" t="s">
        <v>82</v>
      </c>
      <c r="E33" s="17" t="s">
        <v>33</v>
      </c>
      <c r="F33" s="17" t="s">
        <v>23</v>
      </c>
      <c r="G33" s="22">
        <v>22.289692307692309</v>
      </c>
      <c r="H33" s="22">
        <v>3.2778461538461539</v>
      </c>
      <c r="I33" s="22">
        <v>7.8952307692307704</v>
      </c>
      <c r="J33" s="22">
        <v>1.6335384615384616</v>
      </c>
      <c r="K33" s="22">
        <v>0.61261538461538467</v>
      </c>
      <c r="L33" s="22">
        <v>0.8167692307692308</v>
      </c>
      <c r="M33" s="22">
        <v>0.52400047175374465</v>
      </c>
      <c r="N33" s="22">
        <v>15.653538461538462</v>
      </c>
      <c r="O33" s="22">
        <v>0.79300823661549968</v>
      </c>
      <c r="P33" s="22">
        <v>3.2873846153846156</v>
      </c>
    </row>
    <row r="34" spans="1:16">
      <c r="A34" s="17">
        <f t="shared" si="0"/>
        <v>3</v>
      </c>
      <c r="B34" s="21">
        <v>29.02843414111528</v>
      </c>
      <c r="C34" s="17">
        <v>32</v>
      </c>
      <c r="D34" s="17" t="s">
        <v>83</v>
      </c>
      <c r="E34" s="17" t="s">
        <v>45</v>
      </c>
      <c r="F34" s="17" t="s">
        <v>84</v>
      </c>
      <c r="G34" s="22">
        <v>20.437058823529412</v>
      </c>
      <c r="H34" s="22">
        <v>2.8694117647058826</v>
      </c>
      <c r="I34" s="22">
        <v>6.3860294117647056</v>
      </c>
      <c r="J34" s="22">
        <v>1.3304411764705881</v>
      </c>
      <c r="K34" s="22">
        <v>0.93132352941176466</v>
      </c>
      <c r="L34" s="22">
        <v>1.9291176470588236</v>
      </c>
      <c r="M34" s="22">
        <v>0.46209246869599641</v>
      </c>
      <c r="N34" s="22">
        <v>15.2325</v>
      </c>
      <c r="O34" s="22">
        <v>0.79001331557922772</v>
      </c>
      <c r="P34" s="22">
        <v>4.4176470588235288</v>
      </c>
    </row>
    <row r="35" spans="1:16">
      <c r="A35" s="17">
        <f t="shared" si="0"/>
        <v>3</v>
      </c>
      <c r="B35" s="21">
        <v>28.826869380636008</v>
      </c>
      <c r="C35" s="17">
        <v>33</v>
      </c>
      <c r="D35" s="17" t="s">
        <v>85</v>
      </c>
      <c r="E35" s="17" t="s">
        <v>63</v>
      </c>
      <c r="F35" s="17" t="s">
        <v>51</v>
      </c>
      <c r="G35" s="22">
        <v>21.387121212121215</v>
      </c>
      <c r="H35" s="22">
        <v>2.3828787878787878</v>
      </c>
      <c r="I35" s="22">
        <v>9.4266666666666659</v>
      </c>
      <c r="J35" s="22">
        <v>1.8180303030303029</v>
      </c>
      <c r="K35" s="22">
        <v>0.53863636363636358</v>
      </c>
      <c r="L35" s="22">
        <v>1.4813636363636362</v>
      </c>
      <c r="M35" s="22">
        <v>0.46495490487887969</v>
      </c>
      <c r="N35" s="22">
        <v>16.900303030303032</v>
      </c>
      <c r="O35" s="22">
        <v>0.84599493276164484</v>
      </c>
      <c r="P35" s="22">
        <v>3.8871212121212122</v>
      </c>
    </row>
    <row r="36" spans="1:16">
      <c r="A36" s="17">
        <f t="shared" si="0"/>
        <v>3</v>
      </c>
      <c r="B36" s="21">
        <v>28.772181837185414</v>
      </c>
      <c r="C36" s="17">
        <v>34</v>
      </c>
      <c r="D36" s="17" t="s">
        <v>86</v>
      </c>
      <c r="E36" s="17" t="s">
        <v>25</v>
      </c>
      <c r="F36" s="17" t="s">
        <v>46</v>
      </c>
      <c r="G36" s="22">
        <v>17.429200000000002</v>
      </c>
      <c r="H36" s="22">
        <v>1.738</v>
      </c>
      <c r="I36" s="22">
        <v>4.4373333333333331</v>
      </c>
      <c r="J36" s="22">
        <v>6.032</v>
      </c>
      <c r="K36" s="22">
        <v>1.5253333333333334</v>
      </c>
      <c r="L36" s="22">
        <v>0.624</v>
      </c>
      <c r="M36" s="22">
        <v>0.49967144679370723</v>
      </c>
      <c r="N36" s="22">
        <v>13.797866666666669</v>
      </c>
      <c r="O36" s="22">
        <v>0.76602598518200371</v>
      </c>
      <c r="P36" s="22">
        <v>2.4834666666666667</v>
      </c>
    </row>
    <row r="37" spans="1:16">
      <c r="A37" s="17">
        <f t="shared" si="0"/>
        <v>3</v>
      </c>
      <c r="B37" s="21">
        <v>28.723692825773291</v>
      </c>
      <c r="C37" s="17">
        <v>35</v>
      </c>
      <c r="D37" s="17" t="s">
        <v>87</v>
      </c>
      <c r="E37" s="17" t="s">
        <v>45</v>
      </c>
      <c r="F37" s="17" t="s">
        <v>88</v>
      </c>
      <c r="G37" s="22">
        <v>22.584736842105265</v>
      </c>
      <c r="H37" s="22">
        <v>2.1321052631578947</v>
      </c>
      <c r="I37" s="22">
        <v>10.019342105263158</v>
      </c>
      <c r="J37" s="22">
        <v>4.9348684210526317</v>
      </c>
      <c r="K37" s="22">
        <v>0.97197368421052632</v>
      </c>
      <c r="L37" s="22">
        <v>0.29907894736842106</v>
      </c>
      <c r="M37" s="22">
        <v>0.45215589892854763</v>
      </c>
      <c r="N37" s="22">
        <v>17.720657894736842</v>
      </c>
      <c r="O37" s="22">
        <v>0.80598802395209579</v>
      </c>
      <c r="P37" s="22">
        <v>5.4934210526315788</v>
      </c>
    </row>
    <row r="38" spans="1:16">
      <c r="A38" s="17">
        <f t="shared" si="0"/>
        <v>4</v>
      </c>
      <c r="B38" s="21">
        <v>28.238612577325341</v>
      </c>
      <c r="C38" s="17">
        <v>36</v>
      </c>
      <c r="D38" s="17" t="s">
        <v>89</v>
      </c>
      <c r="E38" s="17" t="s">
        <v>45</v>
      </c>
      <c r="F38" s="17" t="s">
        <v>57</v>
      </c>
      <c r="G38" s="22">
        <v>22.176666666666666</v>
      </c>
      <c r="H38" s="22">
        <v>1.4564912280701754</v>
      </c>
      <c r="I38" s="22">
        <v>7.0447368421052632</v>
      </c>
      <c r="J38" s="22">
        <v>4.4692982456140351</v>
      </c>
      <c r="K38" s="22">
        <v>1.2119298245614034</v>
      </c>
      <c r="L38" s="22">
        <v>0.75754385964912285</v>
      </c>
      <c r="M38" s="22">
        <v>0.45781881707012728</v>
      </c>
      <c r="N38" s="22">
        <v>17.57456140350877</v>
      </c>
      <c r="O38" s="22">
        <v>0.82299173295897676</v>
      </c>
      <c r="P38" s="22">
        <v>5.6236842105263163</v>
      </c>
    </row>
    <row r="39" spans="1:16">
      <c r="A39" s="17">
        <f t="shared" si="0"/>
        <v>4</v>
      </c>
      <c r="B39" s="21">
        <v>27.843459938340615</v>
      </c>
      <c r="C39" s="17">
        <v>37</v>
      </c>
      <c r="D39" s="17" t="s">
        <v>90</v>
      </c>
      <c r="E39" s="17" t="s">
        <v>28</v>
      </c>
      <c r="F39" s="17" t="s">
        <v>59</v>
      </c>
      <c r="G39" s="22">
        <v>13.385588235294119</v>
      </c>
      <c r="H39" s="22">
        <v>2.9552941176470591</v>
      </c>
      <c r="I39" s="22">
        <v>5.3655882352941182</v>
      </c>
      <c r="J39" s="22">
        <v>6.224117647058824</v>
      </c>
      <c r="K39" s="22">
        <v>1.5739705882352941</v>
      </c>
      <c r="L39" s="22">
        <v>0.64382352941176468</v>
      </c>
      <c r="M39" s="22">
        <v>0.4166987846553098</v>
      </c>
      <c r="N39" s="22">
        <v>11.446764705882353</v>
      </c>
      <c r="O39" s="22">
        <v>0.77800616649537513</v>
      </c>
      <c r="P39" s="22">
        <v>1.1447058823529412</v>
      </c>
    </row>
    <row r="40" spans="1:16">
      <c r="A40" s="17">
        <f t="shared" si="0"/>
        <v>4</v>
      </c>
      <c r="B40" s="21">
        <v>27.623329942936653</v>
      </c>
      <c r="C40" s="17">
        <v>38</v>
      </c>
      <c r="D40" s="17" t="s">
        <v>91</v>
      </c>
      <c r="E40" s="17" t="s">
        <v>25</v>
      </c>
      <c r="F40" s="17" t="s">
        <v>72</v>
      </c>
      <c r="G40" s="22">
        <v>26.483289473684209</v>
      </c>
      <c r="H40" s="22">
        <v>2.12</v>
      </c>
      <c r="I40" s="22">
        <v>4.1373684210526314</v>
      </c>
      <c r="J40" s="22">
        <v>4.2776315789473687</v>
      </c>
      <c r="K40" s="22">
        <v>0.77131578947368418</v>
      </c>
      <c r="L40" s="22">
        <v>0.21039473684210527</v>
      </c>
      <c r="M40" s="22">
        <v>0.48567693339384538</v>
      </c>
      <c r="N40" s="22">
        <v>19.424868421052633</v>
      </c>
      <c r="O40" s="22">
        <v>0.88399906860566035</v>
      </c>
      <c r="P40" s="22">
        <v>6.2159210526315789</v>
      </c>
    </row>
    <row r="41" spans="1:16">
      <c r="A41" s="17">
        <f t="shared" si="0"/>
        <v>4</v>
      </c>
      <c r="B41" s="21">
        <v>27.566925093771985</v>
      </c>
      <c r="C41" s="17">
        <v>39</v>
      </c>
      <c r="D41" s="17" t="s">
        <v>92</v>
      </c>
      <c r="E41" s="17" t="s">
        <v>22</v>
      </c>
      <c r="F41" s="17" t="s">
        <v>35</v>
      </c>
      <c r="G41" s="22">
        <v>14.994477611940299</v>
      </c>
      <c r="H41" s="22">
        <v>0.34194029850746271</v>
      </c>
      <c r="I41" s="22">
        <v>11.471940298507462</v>
      </c>
      <c r="J41" s="22">
        <v>4.0273134328358209</v>
      </c>
      <c r="K41" s="22">
        <v>1.159402985074627</v>
      </c>
      <c r="L41" s="22">
        <v>1.3423880597014926</v>
      </c>
      <c r="M41" s="22">
        <v>0.50971831356355701</v>
      </c>
      <c r="N41" s="22">
        <v>11.34955223880597</v>
      </c>
      <c r="O41" s="22">
        <v>0.73400625533124819</v>
      </c>
      <c r="P41" s="22">
        <v>4.1994029850746273</v>
      </c>
    </row>
    <row r="42" spans="1:16">
      <c r="A42" s="17">
        <f t="shared" si="0"/>
        <v>4</v>
      </c>
      <c r="B42" s="21">
        <v>27.472123830227968</v>
      </c>
      <c r="C42" s="17">
        <v>40</v>
      </c>
      <c r="D42" s="17" t="s">
        <v>93</v>
      </c>
      <c r="E42" s="17" t="s">
        <v>28</v>
      </c>
      <c r="F42" s="17" t="s">
        <v>94</v>
      </c>
      <c r="G42" s="22">
        <v>26.661044776119404</v>
      </c>
      <c r="H42" s="22">
        <v>1.7317910447761193</v>
      </c>
      <c r="I42" s="22">
        <v>3.4956716417910445</v>
      </c>
      <c r="J42" s="22">
        <v>7.437462686567164</v>
      </c>
      <c r="K42" s="22">
        <v>1.4874626865671641</v>
      </c>
      <c r="L42" s="22">
        <v>0.44626865671641791</v>
      </c>
      <c r="M42" s="22">
        <v>0.47935960517905185</v>
      </c>
      <c r="N42" s="22">
        <v>20.080895522388062</v>
      </c>
      <c r="O42" s="22">
        <v>0.74399045514111917</v>
      </c>
      <c r="P42" s="22">
        <v>7.6308955223880597</v>
      </c>
    </row>
    <row r="43" spans="1:16">
      <c r="A43" s="17">
        <f t="shared" si="0"/>
        <v>4</v>
      </c>
      <c r="B43" s="21">
        <v>27.076847889446491</v>
      </c>
      <c r="C43" s="17">
        <v>41</v>
      </c>
      <c r="D43" s="17" t="s">
        <v>95</v>
      </c>
      <c r="E43" s="17" t="s">
        <v>48</v>
      </c>
      <c r="F43" s="17" t="s">
        <v>46</v>
      </c>
      <c r="G43" s="22">
        <v>20.191168831168827</v>
      </c>
      <c r="H43" s="22">
        <v>2.1588311688311688</v>
      </c>
      <c r="I43" s="22">
        <v>5.9345454545454555</v>
      </c>
      <c r="J43" s="22">
        <v>5.1480519480519478</v>
      </c>
      <c r="K43" s="22">
        <v>1.0724675324675323</v>
      </c>
      <c r="L43" s="22">
        <v>0.142987012987013</v>
      </c>
      <c r="M43" s="22">
        <v>0.47382674433826416</v>
      </c>
      <c r="N43" s="22">
        <v>15.873246753246754</v>
      </c>
      <c r="O43" s="22">
        <v>0.89698835080063888</v>
      </c>
      <c r="P43" s="22">
        <v>3.3333766233766235</v>
      </c>
    </row>
    <row r="44" spans="1:16">
      <c r="A44" s="17">
        <f t="shared" si="0"/>
        <v>4</v>
      </c>
      <c r="B44" s="21">
        <v>26.932501964590816</v>
      </c>
      <c r="C44" s="17">
        <v>42</v>
      </c>
      <c r="D44" s="17" t="s">
        <v>96</v>
      </c>
      <c r="E44" s="17" t="s">
        <v>45</v>
      </c>
      <c r="F44" s="17" t="s">
        <v>29</v>
      </c>
      <c r="G44" s="22">
        <v>7.027285714285715</v>
      </c>
      <c r="H44" s="22">
        <v>0.56414285714285717</v>
      </c>
      <c r="I44" s="22">
        <v>6.7851428571428567</v>
      </c>
      <c r="J44" s="22">
        <v>8.6477142857142866</v>
      </c>
      <c r="K44" s="22">
        <v>1.663</v>
      </c>
      <c r="L44" s="22">
        <v>0.86471428571428577</v>
      </c>
      <c r="M44" s="22">
        <v>0.45208222747671667</v>
      </c>
      <c r="N44" s="22">
        <v>5.9208571428571437</v>
      </c>
      <c r="O44" s="22">
        <v>0.78101749447013891</v>
      </c>
      <c r="P44" s="22">
        <v>1.4208571428571428</v>
      </c>
    </row>
    <row r="45" spans="1:16">
      <c r="A45" s="17">
        <f t="shared" si="0"/>
        <v>4</v>
      </c>
      <c r="B45" s="21">
        <v>26.826812633678617</v>
      </c>
      <c r="C45" s="17">
        <v>43</v>
      </c>
      <c r="D45" s="17" t="s">
        <v>97</v>
      </c>
      <c r="E45" s="17" t="s">
        <v>33</v>
      </c>
      <c r="F45" s="17" t="s">
        <v>77</v>
      </c>
      <c r="G45" s="22">
        <v>24.161805555555553</v>
      </c>
      <c r="H45" s="22">
        <v>2.3802777777777777</v>
      </c>
      <c r="I45" s="22">
        <v>5.0575000000000001</v>
      </c>
      <c r="J45" s="22">
        <v>4.9830555555555556</v>
      </c>
      <c r="K45" s="22">
        <v>0.74374999999999991</v>
      </c>
      <c r="L45" s="22">
        <v>0.44625000000000004</v>
      </c>
      <c r="M45" s="22">
        <v>0.46267329986853112</v>
      </c>
      <c r="N45" s="22">
        <v>18.593333333333334</v>
      </c>
      <c r="O45" s="22">
        <v>0.87899159663865545</v>
      </c>
      <c r="P45" s="22">
        <v>5.2062500000000007</v>
      </c>
    </row>
    <row r="46" spans="1:16">
      <c r="A46" s="17">
        <f t="shared" si="0"/>
        <v>4</v>
      </c>
      <c r="B46" s="21">
        <v>26.777976967174659</v>
      </c>
      <c r="C46" s="17">
        <v>44</v>
      </c>
      <c r="D46" s="17" t="s">
        <v>98</v>
      </c>
      <c r="E46" s="17" t="s">
        <v>22</v>
      </c>
      <c r="F46" s="17" t="s">
        <v>72</v>
      </c>
      <c r="G46" s="22">
        <v>15.223896103896104</v>
      </c>
      <c r="H46" s="22">
        <v>7.7662337662337669E-2</v>
      </c>
      <c r="I46" s="22">
        <v>11.088051948051948</v>
      </c>
      <c r="J46" s="22">
        <v>1.5840259740259741</v>
      </c>
      <c r="K46" s="22">
        <v>0.79194805194805196</v>
      </c>
      <c r="L46" s="22">
        <v>1.32</v>
      </c>
      <c r="M46" s="22">
        <v>0.61942712368864461</v>
      </c>
      <c r="N46" s="22">
        <v>10.559610389610389</v>
      </c>
      <c r="O46" s="22">
        <v>0.7819756001574184</v>
      </c>
      <c r="P46" s="22">
        <v>2.64</v>
      </c>
    </row>
    <row r="47" spans="1:16">
      <c r="A47" s="17">
        <f t="shared" si="0"/>
        <v>4</v>
      </c>
      <c r="B47" s="21">
        <v>26.714654159132188</v>
      </c>
      <c r="C47" s="17">
        <v>45</v>
      </c>
      <c r="D47" s="17" t="s">
        <v>99</v>
      </c>
      <c r="E47" s="17" t="s">
        <v>63</v>
      </c>
      <c r="F47" s="17" t="s">
        <v>100</v>
      </c>
      <c r="G47" s="22">
        <v>22.227878787878787</v>
      </c>
      <c r="H47" s="22">
        <v>1.9960606060606061</v>
      </c>
      <c r="I47" s="22">
        <v>9.5446969696969699</v>
      </c>
      <c r="J47" s="22">
        <v>1.7853030303030302</v>
      </c>
      <c r="K47" s="22">
        <v>0.82393939393939397</v>
      </c>
      <c r="L47" s="22">
        <v>1.1672727272727275</v>
      </c>
      <c r="M47" s="22">
        <v>0.52151318081523634</v>
      </c>
      <c r="N47" s="22">
        <v>15.656363636363636</v>
      </c>
      <c r="O47" s="22">
        <v>0.73300694523511323</v>
      </c>
      <c r="P47" s="22">
        <v>5.3230303030303032</v>
      </c>
    </row>
    <row r="48" spans="1:16">
      <c r="A48" s="17">
        <f t="shared" si="0"/>
        <v>4</v>
      </c>
      <c r="B48" s="21">
        <v>26.621697793103433</v>
      </c>
      <c r="C48" s="17">
        <v>46</v>
      </c>
      <c r="D48" s="17" t="s">
        <v>101</v>
      </c>
      <c r="E48" s="17" t="s">
        <v>63</v>
      </c>
      <c r="F48" s="17" t="s">
        <v>42</v>
      </c>
      <c r="G48" s="22">
        <v>10.18</v>
      </c>
      <c r="H48" s="22">
        <v>0</v>
      </c>
      <c r="I48" s="22">
        <v>8.995303030303031</v>
      </c>
      <c r="J48" s="22">
        <v>2.2093939393939395</v>
      </c>
      <c r="K48" s="22">
        <v>1.1046969696969697</v>
      </c>
      <c r="L48" s="22">
        <v>2.104242424242424</v>
      </c>
      <c r="M48" s="22">
        <v>0.72299128751210073</v>
      </c>
      <c r="N48" s="22">
        <v>6.2606060606060607</v>
      </c>
      <c r="O48" s="22">
        <v>0.62098322343710877</v>
      </c>
      <c r="P48" s="22">
        <v>1.8153030303030304</v>
      </c>
    </row>
    <row r="49" spans="1:16">
      <c r="A49" s="17">
        <f t="shared" si="0"/>
        <v>4</v>
      </c>
      <c r="B49" s="21">
        <v>26.403305111032395</v>
      </c>
      <c r="C49" s="17">
        <v>47</v>
      </c>
      <c r="D49" s="17" t="s">
        <v>102</v>
      </c>
      <c r="E49" s="17" t="s">
        <v>48</v>
      </c>
      <c r="F49" s="17" t="s">
        <v>31</v>
      </c>
      <c r="G49" s="22">
        <v>22.278815789473683</v>
      </c>
      <c r="H49" s="22">
        <v>2.8480263157894736</v>
      </c>
      <c r="I49" s="22">
        <v>5.2572368421052627</v>
      </c>
      <c r="J49" s="22">
        <v>4.055657894736842</v>
      </c>
      <c r="K49" s="22">
        <v>1.3518421052631577</v>
      </c>
      <c r="L49" s="22">
        <v>0.52578947368421058</v>
      </c>
      <c r="M49" s="22">
        <v>0.44671572026032702</v>
      </c>
      <c r="N49" s="22">
        <v>17.649868421052631</v>
      </c>
      <c r="O49" s="22">
        <v>0.79799283154121869</v>
      </c>
      <c r="P49" s="22">
        <v>4.5888157894736841</v>
      </c>
    </row>
    <row r="50" spans="1:16">
      <c r="A50" s="17">
        <f t="shared" si="0"/>
        <v>5</v>
      </c>
      <c r="B50" s="21">
        <v>25.56644954211</v>
      </c>
      <c r="C50" s="17">
        <v>48</v>
      </c>
      <c r="D50" s="17" t="s">
        <v>103</v>
      </c>
      <c r="E50" s="17" t="s">
        <v>33</v>
      </c>
      <c r="F50" s="17" t="s">
        <v>37</v>
      </c>
      <c r="G50" s="22">
        <v>19.358441558441559</v>
      </c>
      <c r="H50" s="22">
        <v>1.3675324675324676</v>
      </c>
      <c r="I50" s="22">
        <v>6.8049350649350648</v>
      </c>
      <c r="J50" s="22">
        <v>3.4718181818181817</v>
      </c>
      <c r="K50" s="22">
        <v>0.90272727272727282</v>
      </c>
      <c r="L50" s="22">
        <v>0.83324675324675324</v>
      </c>
      <c r="M50" s="22">
        <v>0.49612343789849533</v>
      </c>
      <c r="N50" s="22">
        <v>15.276623376623377</v>
      </c>
      <c r="O50" s="22">
        <v>0.88300542466197063</v>
      </c>
      <c r="P50" s="22">
        <v>3.2080519480519483</v>
      </c>
    </row>
    <row r="51" spans="1:16">
      <c r="A51" s="17">
        <f t="shared" si="0"/>
        <v>5</v>
      </c>
      <c r="B51" s="21">
        <v>24.501045625409848</v>
      </c>
      <c r="C51" s="17">
        <v>49</v>
      </c>
      <c r="D51" s="17" t="s">
        <v>104</v>
      </c>
      <c r="E51" s="17" t="s">
        <v>105</v>
      </c>
      <c r="F51" s="17" t="s">
        <v>65</v>
      </c>
      <c r="G51" s="22">
        <v>19.298787878787881</v>
      </c>
      <c r="H51" s="22">
        <v>1.8246969696969697</v>
      </c>
      <c r="I51" s="22">
        <v>6.0209090909090905</v>
      </c>
      <c r="J51" s="22">
        <v>4.1792424242424238</v>
      </c>
      <c r="K51" s="22">
        <v>1.1333333333333333</v>
      </c>
      <c r="L51" s="22">
        <v>0.35424242424242425</v>
      </c>
      <c r="M51" s="22">
        <v>0.48705668763890192</v>
      </c>
      <c r="N51" s="22">
        <v>14.521363636363638</v>
      </c>
      <c r="O51" s="22">
        <v>0.84901066625444432</v>
      </c>
      <c r="P51" s="22">
        <v>3.9206060606060604</v>
      </c>
    </row>
    <row r="52" spans="1:16">
      <c r="A52" s="17">
        <f t="shared" si="0"/>
        <v>5</v>
      </c>
      <c r="B52" s="21">
        <v>24.352725078865976</v>
      </c>
      <c r="C52" s="17">
        <v>50</v>
      </c>
      <c r="D52" s="17" t="s">
        <v>106</v>
      </c>
      <c r="E52" s="17" t="s">
        <v>25</v>
      </c>
      <c r="F52" s="17" t="s">
        <v>94</v>
      </c>
      <c r="G52" s="22">
        <v>15.130684931506849</v>
      </c>
      <c r="H52" s="22">
        <v>2.3087671232876712</v>
      </c>
      <c r="I52" s="22">
        <v>3.0153424657534247</v>
      </c>
      <c r="J52" s="22">
        <v>5.8204109589041098</v>
      </c>
      <c r="K52" s="22">
        <v>1.4726027397260273</v>
      </c>
      <c r="L52" s="22">
        <v>0.49082191780821915</v>
      </c>
      <c r="M52" s="22">
        <v>0.47973523535255441</v>
      </c>
      <c r="N52" s="22">
        <v>12.272465753424658</v>
      </c>
      <c r="O52" s="22">
        <v>0.85299698627078913</v>
      </c>
      <c r="P52" s="22">
        <v>1.2272602739726028</v>
      </c>
    </row>
    <row r="53" spans="1:16">
      <c r="A53" s="17">
        <f t="shared" si="0"/>
        <v>5</v>
      </c>
      <c r="B53" s="21">
        <v>23.951436043634629</v>
      </c>
      <c r="C53" s="17">
        <v>51</v>
      </c>
      <c r="D53" s="17" t="s">
        <v>107</v>
      </c>
      <c r="E53" s="17" t="s">
        <v>25</v>
      </c>
      <c r="F53" s="17" t="s">
        <v>108</v>
      </c>
      <c r="G53" s="22">
        <v>19.669444444444441</v>
      </c>
      <c r="H53" s="22">
        <v>2.9249999999999998</v>
      </c>
      <c r="I53" s="22">
        <v>3.5686111111111112</v>
      </c>
      <c r="J53" s="22">
        <v>5.5213888888888896</v>
      </c>
      <c r="K53" s="22">
        <v>0.80805555555555553</v>
      </c>
      <c r="L53" s="22">
        <v>1.077361111111111</v>
      </c>
      <c r="M53" s="22">
        <v>0.42582999654654241</v>
      </c>
      <c r="N53" s="22">
        <v>14.880416666666665</v>
      </c>
      <c r="O53" s="22">
        <v>0.85500947936415328</v>
      </c>
      <c r="P53" s="22">
        <v>4.7618055555555561</v>
      </c>
    </row>
    <row r="54" spans="1:16">
      <c r="A54" s="17">
        <f t="shared" si="0"/>
        <v>5</v>
      </c>
      <c r="B54" s="21">
        <v>23.135914049566978</v>
      </c>
      <c r="C54" s="17">
        <v>52</v>
      </c>
      <c r="D54" s="17" t="s">
        <v>109</v>
      </c>
      <c r="E54" s="17" t="s">
        <v>28</v>
      </c>
      <c r="F54" s="17" t="s">
        <v>55</v>
      </c>
      <c r="G54" s="22">
        <v>19.719154929577464</v>
      </c>
      <c r="H54" s="22">
        <v>0.9974647887323943</v>
      </c>
      <c r="I54" s="22">
        <v>9.4456338028169036</v>
      </c>
      <c r="J54" s="22">
        <v>7.14</v>
      </c>
      <c r="K54" s="22">
        <v>1.4130985915492957</v>
      </c>
      <c r="L54" s="22">
        <v>0.2974647887323944</v>
      </c>
      <c r="M54" s="22">
        <v>0.45910577045560702</v>
      </c>
      <c r="N54" s="22">
        <v>16.585211267605633</v>
      </c>
      <c r="O54" s="22">
        <v>0.70201262490446403</v>
      </c>
      <c r="P54" s="22">
        <v>4.9756338028169012</v>
      </c>
    </row>
    <row r="55" spans="1:16">
      <c r="A55" s="17">
        <f t="shared" si="0"/>
        <v>5</v>
      </c>
      <c r="B55" s="21">
        <v>23.010125540817317</v>
      </c>
      <c r="C55" s="17">
        <v>53</v>
      </c>
      <c r="D55" s="17" t="s">
        <v>110</v>
      </c>
      <c r="E55" s="17" t="s">
        <v>63</v>
      </c>
      <c r="F55" s="17" t="s">
        <v>94</v>
      </c>
      <c r="G55" s="22">
        <v>15.637837837837839</v>
      </c>
      <c r="H55" s="22">
        <v>0</v>
      </c>
      <c r="I55" s="22">
        <v>8.7337837837837835</v>
      </c>
      <c r="J55" s="22">
        <v>1.7212162162162163</v>
      </c>
      <c r="K55" s="22">
        <v>0.63756756756756761</v>
      </c>
      <c r="L55" s="22">
        <v>1.53</v>
      </c>
      <c r="M55" s="22">
        <v>0.63999735029146798</v>
      </c>
      <c r="N55" s="22">
        <v>10.199999999999999</v>
      </c>
      <c r="O55" s="22">
        <v>0.79100770058789438</v>
      </c>
      <c r="P55" s="22">
        <v>3.2640540540540539</v>
      </c>
    </row>
    <row r="56" spans="1:16">
      <c r="A56" s="17">
        <f t="shared" si="0"/>
        <v>5</v>
      </c>
      <c r="B56" s="21">
        <v>22.997997893552569</v>
      </c>
      <c r="C56" s="17">
        <v>54</v>
      </c>
      <c r="D56" s="17" t="s">
        <v>111</v>
      </c>
      <c r="E56" s="17" t="s">
        <v>25</v>
      </c>
      <c r="F56" s="17" t="s">
        <v>31</v>
      </c>
      <c r="G56" s="22">
        <v>19.693636363636365</v>
      </c>
      <c r="H56" s="22">
        <v>2.9965151515151516</v>
      </c>
      <c r="I56" s="22">
        <v>3.1865151515151515</v>
      </c>
      <c r="J56" s="22">
        <v>7.5769696969696971</v>
      </c>
      <c r="K56" s="22">
        <v>1.2037878787878789</v>
      </c>
      <c r="L56" s="22">
        <v>0.49575757575757573</v>
      </c>
      <c r="M56" s="22">
        <v>0.43012668250197944</v>
      </c>
      <c r="N56" s="22">
        <v>16.074545454545454</v>
      </c>
      <c r="O56" s="22">
        <v>0.77599278718085329</v>
      </c>
      <c r="P56" s="22">
        <v>3.6971212121212118</v>
      </c>
    </row>
    <row r="57" spans="1:16">
      <c r="A57" s="17">
        <f t="shared" si="0"/>
        <v>5</v>
      </c>
      <c r="B57" s="21">
        <v>22.401747178094581</v>
      </c>
      <c r="C57" s="17">
        <v>55</v>
      </c>
      <c r="D57" s="17" t="s">
        <v>112</v>
      </c>
      <c r="E57" s="17" t="s">
        <v>63</v>
      </c>
      <c r="F57" s="17" t="s">
        <v>75</v>
      </c>
      <c r="G57" s="22">
        <v>12.679154929577466</v>
      </c>
      <c r="H57" s="22">
        <v>1.4528169014084509</v>
      </c>
      <c r="I57" s="22">
        <v>6.7185915492957751</v>
      </c>
      <c r="J57" s="22">
        <v>0.97845070422535207</v>
      </c>
      <c r="K57" s="22">
        <v>0.78281690140845073</v>
      </c>
      <c r="L57" s="22">
        <v>2.8701408450704227</v>
      </c>
      <c r="M57" s="22">
        <v>0.47822016880312851</v>
      </c>
      <c r="N57" s="22">
        <v>9.3283098591549294</v>
      </c>
      <c r="O57" s="22">
        <v>0.77200018874156562</v>
      </c>
      <c r="P57" s="22">
        <v>2.984929577464789</v>
      </c>
    </row>
    <row r="58" spans="1:16">
      <c r="A58" s="17">
        <f t="shared" si="0"/>
        <v>5</v>
      </c>
      <c r="B58" s="21">
        <v>22.317911532772499</v>
      </c>
      <c r="C58" s="17">
        <v>56</v>
      </c>
      <c r="D58" s="17" t="s">
        <v>113</v>
      </c>
      <c r="E58" s="17" t="s">
        <v>39</v>
      </c>
      <c r="F58" s="17" t="s">
        <v>35</v>
      </c>
      <c r="G58" s="22">
        <v>22.672297297297298</v>
      </c>
      <c r="H58" s="22">
        <v>3.2666216216216215</v>
      </c>
      <c r="I58" s="22">
        <v>4.166216216216216</v>
      </c>
      <c r="J58" s="22">
        <v>4.9994594594594588</v>
      </c>
      <c r="K58" s="22">
        <v>0.83324324324324317</v>
      </c>
      <c r="L58" s="22">
        <v>0.53027027027027029</v>
      </c>
      <c r="M58" s="22">
        <v>0.45805226133556753</v>
      </c>
      <c r="N58" s="22">
        <v>18.710540540540539</v>
      </c>
      <c r="O58" s="22">
        <v>0.80701078582434504</v>
      </c>
      <c r="P58" s="22">
        <v>2.8064864864864867</v>
      </c>
    </row>
    <row r="59" spans="1:16">
      <c r="A59" s="17">
        <f t="shared" si="0"/>
        <v>5</v>
      </c>
      <c r="B59" s="21">
        <v>21.655593192454287</v>
      </c>
      <c r="C59" s="17">
        <v>57</v>
      </c>
      <c r="D59" s="17" t="s">
        <v>114</v>
      </c>
      <c r="E59" s="17" t="s">
        <v>28</v>
      </c>
      <c r="F59" s="17" t="s">
        <v>115</v>
      </c>
      <c r="G59" s="22">
        <v>16.41644736842105</v>
      </c>
      <c r="H59" s="22">
        <v>2.1082894736842106</v>
      </c>
      <c r="I59" s="22">
        <v>5.8667105263157895</v>
      </c>
      <c r="J59" s="22">
        <v>4.8667105263157895</v>
      </c>
      <c r="K59" s="22">
        <v>1.2667105263157894</v>
      </c>
      <c r="L59" s="22">
        <v>0.73328947368421049</v>
      </c>
      <c r="M59" s="22">
        <v>0.41732040151114919</v>
      </c>
      <c r="N59" s="22">
        <v>13.200131578947369</v>
      </c>
      <c r="O59" s="22">
        <v>0.83100744284954819</v>
      </c>
      <c r="P59" s="22">
        <v>3.9599999999999995</v>
      </c>
    </row>
    <row r="60" spans="1:16">
      <c r="A60" s="17">
        <f t="shared" si="0"/>
        <v>5</v>
      </c>
      <c r="B60" s="21">
        <v>21.006796207106369</v>
      </c>
      <c r="C60" s="17">
        <v>58</v>
      </c>
      <c r="D60" s="17" t="s">
        <v>116</v>
      </c>
      <c r="E60" s="17" t="s">
        <v>48</v>
      </c>
      <c r="F60" s="17" t="s">
        <v>59</v>
      </c>
      <c r="G60" s="22">
        <v>20.987066666666667</v>
      </c>
      <c r="H60" s="22">
        <v>0.13093333333333335</v>
      </c>
      <c r="I60" s="22">
        <v>4.1494666666666662</v>
      </c>
      <c r="J60" s="22">
        <v>5.6517333333333335</v>
      </c>
      <c r="K60" s="22">
        <v>1.0016</v>
      </c>
      <c r="L60" s="22">
        <v>0.21466666666666667</v>
      </c>
      <c r="M60" s="22">
        <v>0.4983118297964293</v>
      </c>
      <c r="N60" s="22">
        <v>14.80893333333333</v>
      </c>
      <c r="O60" s="22">
        <v>0.87600091950499992</v>
      </c>
      <c r="P60" s="22">
        <v>6.9602666666666666</v>
      </c>
    </row>
    <row r="61" spans="1:16">
      <c r="A61" s="17">
        <f t="shared" si="0"/>
        <v>5</v>
      </c>
      <c r="B61" s="21">
        <v>20.907999570282815</v>
      </c>
      <c r="C61" s="17">
        <v>59</v>
      </c>
      <c r="D61" s="17" t="s">
        <v>117</v>
      </c>
      <c r="E61" s="17" t="s">
        <v>25</v>
      </c>
      <c r="F61" s="17" t="s">
        <v>118</v>
      </c>
      <c r="G61" s="22">
        <v>19.929295774647887</v>
      </c>
      <c r="H61" s="22">
        <v>2.1892957746478872</v>
      </c>
      <c r="I61" s="22">
        <v>2.2666197183098591</v>
      </c>
      <c r="J61" s="22">
        <v>6.5166197183098591</v>
      </c>
      <c r="K61" s="22">
        <v>1.2749295774647886</v>
      </c>
      <c r="L61" s="22">
        <v>7.0845070422535211E-2</v>
      </c>
      <c r="M61" s="22">
        <v>0.46471587059993136</v>
      </c>
      <c r="N61" s="22">
        <v>16.008873239436621</v>
      </c>
      <c r="O61" s="22">
        <v>0.8510139098374393</v>
      </c>
      <c r="P61" s="22">
        <v>3.3616901408450706</v>
      </c>
    </row>
    <row r="62" spans="1:16">
      <c r="A62" s="17">
        <f t="shared" si="0"/>
        <v>6</v>
      </c>
      <c r="B62" s="21">
        <v>20.841736733414233</v>
      </c>
      <c r="C62" s="17">
        <v>60</v>
      </c>
      <c r="D62" s="17" t="s">
        <v>119</v>
      </c>
      <c r="E62" s="17" t="s">
        <v>33</v>
      </c>
      <c r="F62" s="17" t="s">
        <v>120</v>
      </c>
      <c r="G62" s="22">
        <v>11.749032258064515</v>
      </c>
      <c r="H62" s="22">
        <v>0.99887096774193551</v>
      </c>
      <c r="I62" s="22">
        <v>6.544999999999999</v>
      </c>
      <c r="J62" s="22">
        <v>1.3090322580645162</v>
      </c>
      <c r="K62" s="22">
        <v>1.3685483870967741</v>
      </c>
      <c r="L62" s="22">
        <v>2.0230645161290322</v>
      </c>
      <c r="M62" s="22">
        <v>0.46181735040501698</v>
      </c>
      <c r="N62" s="22">
        <v>9.8761290322580635</v>
      </c>
      <c r="O62" s="22">
        <v>0.78499222395023338</v>
      </c>
      <c r="P62" s="22">
        <v>2.0741935483870968</v>
      </c>
    </row>
    <row r="63" spans="1:16">
      <c r="A63" s="17">
        <f t="shared" si="0"/>
        <v>6</v>
      </c>
      <c r="B63" s="21">
        <v>20.634723884161673</v>
      </c>
      <c r="C63" s="17">
        <v>61</v>
      </c>
      <c r="D63" s="17" t="s">
        <v>121</v>
      </c>
      <c r="E63" s="17" t="s">
        <v>28</v>
      </c>
      <c r="F63" s="17" t="s">
        <v>53</v>
      </c>
      <c r="G63" s="22">
        <v>15.698181818181817</v>
      </c>
      <c r="H63" s="22">
        <v>2.4940909090909091</v>
      </c>
      <c r="I63" s="22">
        <v>4.834696969696969</v>
      </c>
      <c r="J63" s="22">
        <v>6.8599999999999994</v>
      </c>
      <c r="K63" s="22">
        <v>0.98000000000000009</v>
      </c>
      <c r="L63" s="22">
        <v>0.26136363636363635</v>
      </c>
      <c r="M63" s="22">
        <v>0.43627438348751518</v>
      </c>
      <c r="N63" s="22">
        <v>11.75969696969697</v>
      </c>
      <c r="O63" s="22">
        <v>0.86298813807810204</v>
      </c>
      <c r="P63" s="22">
        <v>3.4104545454545456</v>
      </c>
    </row>
    <row r="64" spans="1:16">
      <c r="A64" s="17">
        <f t="shared" si="0"/>
        <v>6</v>
      </c>
      <c r="B64" s="21">
        <v>20.54300972452425</v>
      </c>
      <c r="C64" s="17">
        <v>62</v>
      </c>
      <c r="D64" s="17" t="s">
        <v>122</v>
      </c>
      <c r="E64" s="17" t="s">
        <v>22</v>
      </c>
      <c r="F64" s="17" t="s">
        <v>77</v>
      </c>
      <c r="G64" s="22">
        <v>14.784342105263157</v>
      </c>
      <c r="H64" s="22">
        <v>0.34881578947368425</v>
      </c>
      <c r="I64" s="22">
        <v>12.1275</v>
      </c>
      <c r="J64" s="22">
        <v>1.8375000000000001</v>
      </c>
      <c r="K64" s="22">
        <v>0.55118421052631583</v>
      </c>
      <c r="L64" s="22">
        <v>0.98000000000000009</v>
      </c>
      <c r="M64" s="22">
        <v>0.59237085621313801</v>
      </c>
      <c r="N64" s="22">
        <v>10.351578947368422</v>
      </c>
      <c r="O64" s="22">
        <v>0.77698790075796809</v>
      </c>
      <c r="P64" s="22">
        <v>2.7948684210526316</v>
      </c>
    </row>
    <row r="65" spans="1:16">
      <c r="A65" s="17">
        <f t="shared" si="0"/>
        <v>6</v>
      </c>
      <c r="B65" s="21">
        <v>20.349609207605653</v>
      </c>
      <c r="C65" s="17">
        <v>63</v>
      </c>
      <c r="D65" s="17" t="s">
        <v>123</v>
      </c>
      <c r="E65" s="17" t="s">
        <v>25</v>
      </c>
      <c r="F65" s="17" t="s">
        <v>108</v>
      </c>
      <c r="G65" s="22">
        <v>17.171066666666665</v>
      </c>
      <c r="H65" s="22">
        <v>0.96919999999999995</v>
      </c>
      <c r="I65" s="22">
        <v>7.1520000000000001</v>
      </c>
      <c r="J65" s="22">
        <v>5.6938666666666666</v>
      </c>
      <c r="K65" s="22">
        <v>1.5275999999999998</v>
      </c>
      <c r="L65" s="22">
        <v>0.13893333333333333</v>
      </c>
      <c r="M65" s="22">
        <v>0.45204842514939131</v>
      </c>
      <c r="N65" s="22">
        <v>15.485066666666665</v>
      </c>
      <c r="O65" s="22">
        <v>0.78999234596249523</v>
      </c>
      <c r="P65" s="22">
        <v>2.7871999999999999</v>
      </c>
    </row>
    <row r="66" spans="1:16">
      <c r="A66" s="17">
        <f t="shared" si="0"/>
        <v>6</v>
      </c>
      <c r="B66" s="21">
        <v>20.347827591716676</v>
      </c>
      <c r="C66" s="17">
        <v>64</v>
      </c>
      <c r="D66" s="17" t="s">
        <v>124</v>
      </c>
      <c r="E66" s="17" t="s">
        <v>45</v>
      </c>
      <c r="F66" s="17" t="s">
        <v>61</v>
      </c>
      <c r="G66" s="22">
        <v>17.579420289855072</v>
      </c>
      <c r="H66" s="22">
        <v>1.2646376811594204</v>
      </c>
      <c r="I66" s="22">
        <v>7.75</v>
      </c>
      <c r="J66" s="22">
        <v>1.124927536231884</v>
      </c>
      <c r="K66" s="22">
        <v>0.62507246376811598</v>
      </c>
      <c r="L66" s="22">
        <v>1.0624637681159421</v>
      </c>
      <c r="M66" s="22">
        <v>0.56153136313087093</v>
      </c>
      <c r="N66" s="22">
        <v>12.250144927536232</v>
      </c>
      <c r="O66" s="22">
        <v>0.8349817803227485</v>
      </c>
      <c r="P66" s="22">
        <v>3.0624637681159421</v>
      </c>
    </row>
    <row r="67" spans="1:16">
      <c r="A67" s="17">
        <f t="shared" si="0"/>
        <v>6</v>
      </c>
      <c r="B67" s="21">
        <v>19.597942799083778</v>
      </c>
      <c r="C67" s="17">
        <v>65</v>
      </c>
      <c r="D67" s="17" t="s">
        <v>125</v>
      </c>
      <c r="E67" s="17" t="s">
        <v>33</v>
      </c>
      <c r="F67" s="17" t="s">
        <v>49</v>
      </c>
      <c r="G67" s="22">
        <v>17.4725</v>
      </c>
      <c r="H67" s="22">
        <v>1.4275</v>
      </c>
      <c r="I67" s="22">
        <v>4.8024999999999993</v>
      </c>
      <c r="J67" s="22">
        <v>3.6625000000000001</v>
      </c>
      <c r="K67" s="22">
        <v>1.0900000000000001</v>
      </c>
      <c r="L67" s="22">
        <v>0.29749999999999999</v>
      </c>
      <c r="M67" s="22">
        <v>0.50020136931131687</v>
      </c>
      <c r="N67" s="22">
        <v>12.415000000000001</v>
      </c>
      <c r="O67" s="22">
        <v>0.88414634146341475</v>
      </c>
      <c r="P67" s="22">
        <v>4.0999999999999996</v>
      </c>
    </row>
    <row r="68" spans="1:16">
      <c r="A68" s="17">
        <f t="shared" ref="A68:A131" si="1">_xlfn.FLOOR.MATH(C68/12)+1</f>
        <v>6</v>
      </c>
      <c r="B68" s="21">
        <v>19.539469063836979</v>
      </c>
      <c r="C68" s="17">
        <v>66</v>
      </c>
      <c r="D68" s="17" t="s">
        <v>126</v>
      </c>
      <c r="E68" s="17" t="s">
        <v>22</v>
      </c>
      <c r="F68" s="17" t="s">
        <v>61</v>
      </c>
      <c r="G68" s="22">
        <v>14.269868421052632</v>
      </c>
      <c r="H68" s="22">
        <v>0</v>
      </c>
      <c r="I68" s="22">
        <v>14.46671052631579</v>
      </c>
      <c r="J68" s="22">
        <v>0.7103947368421053</v>
      </c>
      <c r="K68" s="22">
        <v>0.7103947368421053</v>
      </c>
      <c r="L68" s="22">
        <v>2.0021052631578948</v>
      </c>
      <c r="M68" s="22">
        <v>0.59200202480384712</v>
      </c>
      <c r="N68" s="22">
        <v>10.397368421052633</v>
      </c>
      <c r="O68" s="22">
        <v>0.57101771608252172</v>
      </c>
      <c r="P68" s="22">
        <v>3.4313157894736839</v>
      </c>
    </row>
    <row r="69" spans="1:16">
      <c r="A69" s="17">
        <f t="shared" si="1"/>
        <v>6</v>
      </c>
      <c r="B69" s="21">
        <v>18.71836563328625</v>
      </c>
      <c r="C69" s="17">
        <v>67</v>
      </c>
      <c r="D69" s="17" t="s">
        <v>127</v>
      </c>
      <c r="E69" s="17" t="s">
        <v>63</v>
      </c>
      <c r="F69" s="17" t="s">
        <v>115</v>
      </c>
      <c r="G69" s="22">
        <v>12.051052631578948</v>
      </c>
      <c r="H69" s="22">
        <v>0.6428947368421053</v>
      </c>
      <c r="I69" s="22">
        <v>9.1228947368421061</v>
      </c>
      <c r="J69" s="22">
        <v>1.2082894736842105</v>
      </c>
      <c r="K69" s="22">
        <v>0.78539473684210526</v>
      </c>
      <c r="L69" s="22">
        <v>1.8125</v>
      </c>
      <c r="M69" s="22">
        <v>0.55095251592499217</v>
      </c>
      <c r="N69" s="22">
        <v>8.8201315789473682</v>
      </c>
      <c r="O69" s="22">
        <v>0.76599045346062056</v>
      </c>
      <c r="P69" s="22">
        <v>2.2052631578947368</v>
      </c>
    </row>
    <row r="70" spans="1:16">
      <c r="A70" s="17">
        <f t="shared" si="1"/>
        <v>6</v>
      </c>
      <c r="B70" s="21">
        <v>18.115425030303335</v>
      </c>
      <c r="C70" s="17">
        <v>68</v>
      </c>
      <c r="D70" s="17" t="s">
        <v>128</v>
      </c>
      <c r="E70" s="17" t="s">
        <v>28</v>
      </c>
      <c r="F70" s="17" t="s">
        <v>88</v>
      </c>
      <c r="G70" s="22">
        <v>18.751406249999999</v>
      </c>
      <c r="H70" s="22">
        <v>2.8654687499999998</v>
      </c>
      <c r="I70" s="22">
        <v>3.6960937500000002</v>
      </c>
      <c r="J70" s="22">
        <v>5.0743749999999999</v>
      </c>
      <c r="K70" s="22">
        <v>0.93968750000000001</v>
      </c>
      <c r="L70" s="22">
        <v>0.31328125000000001</v>
      </c>
      <c r="M70" s="22">
        <v>0.42469331392237042</v>
      </c>
      <c r="N70" s="22">
        <v>14.596562500000001</v>
      </c>
      <c r="O70" s="22">
        <v>0.88498592554414623</v>
      </c>
      <c r="P70" s="22">
        <v>3.9410937499999998</v>
      </c>
    </row>
    <row r="71" spans="1:16">
      <c r="A71" s="17">
        <f t="shared" si="1"/>
        <v>6</v>
      </c>
      <c r="B71" s="21">
        <v>17.509536832191834</v>
      </c>
      <c r="C71" s="17">
        <v>69</v>
      </c>
      <c r="D71" s="17" t="s">
        <v>129</v>
      </c>
      <c r="E71" s="17" t="s">
        <v>25</v>
      </c>
      <c r="F71" s="17" t="s">
        <v>65</v>
      </c>
      <c r="G71" s="22">
        <v>18.57298701298701</v>
      </c>
      <c r="H71" s="22">
        <v>2.8481818181818181</v>
      </c>
      <c r="I71" s="22">
        <v>4.4624675324675325</v>
      </c>
      <c r="J71" s="22">
        <v>4.4624675324675325</v>
      </c>
      <c r="K71" s="22">
        <v>1.1333766233766234</v>
      </c>
      <c r="L71" s="22">
        <v>0.35415584415584417</v>
      </c>
      <c r="M71" s="22">
        <v>0.4282516951182247</v>
      </c>
      <c r="N71" s="22">
        <v>15.725064935064934</v>
      </c>
      <c r="O71" s="22">
        <v>0.84400505246793622</v>
      </c>
      <c r="P71" s="22">
        <v>2.6732467532467532</v>
      </c>
    </row>
    <row r="72" spans="1:16">
      <c r="A72" s="17">
        <f t="shared" si="1"/>
        <v>6</v>
      </c>
      <c r="B72" s="21">
        <v>17.506011887827128</v>
      </c>
      <c r="C72" s="17">
        <v>70</v>
      </c>
      <c r="D72" s="17" t="s">
        <v>130</v>
      </c>
      <c r="E72" s="17" t="s">
        <v>105</v>
      </c>
      <c r="F72" s="17" t="s">
        <v>72</v>
      </c>
      <c r="G72" s="22">
        <v>13.77425</v>
      </c>
      <c r="H72" s="22">
        <v>1.9408750000000001</v>
      </c>
      <c r="I72" s="22">
        <v>3.9476249999999999</v>
      </c>
      <c r="J72" s="22">
        <v>1.973875</v>
      </c>
      <c r="K72" s="22">
        <v>1.225125</v>
      </c>
      <c r="L72" s="22">
        <v>0.81675000000000009</v>
      </c>
      <c r="M72" s="22">
        <v>0.53166329752797703</v>
      </c>
      <c r="N72" s="22">
        <v>9.4608749999999997</v>
      </c>
      <c r="O72" s="22">
        <v>0.85202089964566696</v>
      </c>
      <c r="P72" s="22">
        <v>2.081375</v>
      </c>
    </row>
    <row r="73" spans="1:16">
      <c r="A73" s="17">
        <f t="shared" si="1"/>
        <v>6</v>
      </c>
      <c r="B73" s="21">
        <v>17.400866757267885</v>
      </c>
      <c r="C73" s="17">
        <v>71</v>
      </c>
      <c r="D73" s="17" t="s">
        <v>131</v>
      </c>
      <c r="E73" s="17" t="s">
        <v>48</v>
      </c>
      <c r="F73" s="17" t="s">
        <v>75</v>
      </c>
      <c r="G73" s="22">
        <v>20.29758064516129</v>
      </c>
      <c r="H73" s="22">
        <v>1.772258064516129</v>
      </c>
      <c r="I73" s="22">
        <v>4.3766129032258068</v>
      </c>
      <c r="J73" s="22">
        <v>4.915322580645161</v>
      </c>
      <c r="K73" s="22">
        <v>1.3466129032258063</v>
      </c>
      <c r="L73" s="22">
        <v>0.53870967741935483</v>
      </c>
      <c r="M73" s="22">
        <v>0.44445911409952937</v>
      </c>
      <c r="N73" s="22">
        <v>17.103064516129034</v>
      </c>
      <c r="O73" s="22">
        <v>0.77698140254253278</v>
      </c>
      <c r="P73" s="22">
        <v>4.2756451612903223</v>
      </c>
    </row>
    <row r="74" spans="1:16">
      <c r="A74" s="17">
        <f t="shared" si="1"/>
        <v>7</v>
      </c>
      <c r="B74" s="21">
        <v>17.143204451300718</v>
      </c>
      <c r="C74" s="17">
        <v>72</v>
      </c>
      <c r="D74" s="17" t="s">
        <v>132</v>
      </c>
      <c r="E74" s="17" t="s">
        <v>25</v>
      </c>
      <c r="F74" s="17" t="s">
        <v>23</v>
      </c>
      <c r="G74" s="22">
        <v>18.037499999999998</v>
      </c>
      <c r="H74" s="22">
        <v>2.2650000000000001</v>
      </c>
      <c r="I74" s="22">
        <v>3.4649999999999999</v>
      </c>
      <c r="J74" s="22">
        <v>4.2699999999999996</v>
      </c>
      <c r="K74" s="22">
        <v>1.1125</v>
      </c>
      <c r="L74" s="22">
        <v>0.2475</v>
      </c>
      <c r="M74" s="22">
        <v>0.47135325131810196</v>
      </c>
      <c r="N74" s="22">
        <v>14.225</v>
      </c>
      <c r="O74" s="22">
        <v>0.87419056429232178</v>
      </c>
      <c r="P74" s="22">
        <v>2.7025000000000001</v>
      </c>
    </row>
    <row r="75" spans="1:16">
      <c r="A75" s="17">
        <f t="shared" si="1"/>
        <v>7</v>
      </c>
      <c r="B75" s="21">
        <v>17.047182178478067</v>
      </c>
      <c r="C75" s="17">
        <v>73</v>
      </c>
      <c r="D75" s="17" t="s">
        <v>133</v>
      </c>
      <c r="E75" s="17" t="s">
        <v>28</v>
      </c>
      <c r="F75" s="17" t="s">
        <v>67</v>
      </c>
      <c r="G75" s="22">
        <v>14.529193548387097</v>
      </c>
      <c r="H75" s="22">
        <v>2.354193548387097</v>
      </c>
      <c r="I75" s="22">
        <v>3.3277419354838709</v>
      </c>
      <c r="J75" s="22">
        <v>5.9775806451612903</v>
      </c>
      <c r="K75" s="22">
        <v>1.3558064516129034</v>
      </c>
      <c r="L75" s="22">
        <v>0.18483870967741936</v>
      </c>
      <c r="M75" s="22">
        <v>0.4364054016427677</v>
      </c>
      <c r="N75" s="22">
        <v>11.585483870967741</v>
      </c>
      <c r="O75" s="22">
        <v>0.84798461946433301</v>
      </c>
      <c r="P75" s="22">
        <v>2.4329032258064518</v>
      </c>
    </row>
    <row r="76" spans="1:16">
      <c r="A76" s="17">
        <f t="shared" si="1"/>
        <v>7</v>
      </c>
      <c r="B76" s="21">
        <v>17.023023911390684</v>
      </c>
      <c r="C76" s="17">
        <v>74</v>
      </c>
      <c r="D76" s="17" t="s">
        <v>134</v>
      </c>
      <c r="E76" s="17" t="s">
        <v>28</v>
      </c>
      <c r="F76" s="17" t="s">
        <v>37</v>
      </c>
      <c r="G76" s="22">
        <v>13.7</v>
      </c>
      <c r="H76" s="22">
        <v>4.1250000000000002E-2</v>
      </c>
      <c r="I76" s="22">
        <v>7.1525000000000007</v>
      </c>
      <c r="J76" s="22">
        <v>7.1524999999999999</v>
      </c>
      <c r="K76" s="22">
        <v>1.66625</v>
      </c>
      <c r="L76" s="22">
        <v>0.48625000000000002</v>
      </c>
      <c r="M76" s="22">
        <v>0.56736663623320738</v>
      </c>
      <c r="N76" s="22">
        <v>9.5837499999999984</v>
      </c>
      <c r="O76" s="22">
        <v>0.61809603108520672</v>
      </c>
      <c r="P76" s="22">
        <v>4.5037500000000001</v>
      </c>
    </row>
    <row r="77" spans="1:16">
      <c r="A77" s="17">
        <f t="shared" si="1"/>
        <v>7</v>
      </c>
      <c r="B77" s="21">
        <v>16.98327476476728</v>
      </c>
      <c r="C77" s="17">
        <v>75</v>
      </c>
      <c r="D77" s="17" t="s">
        <v>135</v>
      </c>
      <c r="E77" s="17" t="s">
        <v>28</v>
      </c>
      <c r="F77" s="17" t="s">
        <v>84</v>
      </c>
      <c r="G77" s="22">
        <v>23.525070422535215</v>
      </c>
      <c r="H77" s="22">
        <v>1.6256338028169015</v>
      </c>
      <c r="I77" s="22">
        <v>4.4504225352112678</v>
      </c>
      <c r="J77" s="22">
        <v>7.8794366197183106</v>
      </c>
      <c r="K77" s="22">
        <v>0.87549295774647884</v>
      </c>
      <c r="L77" s="22">
        <v>0.21887323943661971</v>
      </c>
      <c r="M77" s="22">
        <v>0.4611049307986782</v>
      </c>
      <c r="N77" s="22">
        <v>17.218591549295773</v>
      </c>
      <c r="O77" s="22">
        <v>0.77699411037591792</v>
      </c>
      <c r="P77" s="22">
        <v>7.7481690140845068</v>
      </c>
    </row>
    <row r="78" spans="1:16">
      <c r="A78" s="17">
        <f t="shared" si="1"/>
        <v>7</v>
      </c>
      <c r="B78" s="21">
        <v>16.66541373903415</v>
      </c>
      <c r="C78" s="17">
        <v>76</v>
      </c>
      <c r="D78" s="17" t="s">
        <v>136</v>
      </c>
      <c r="E78" s="17" t="s">
        <v>25</v>
      </c>
      <c r="F78" s="17" t="s">
        <v>100</v>
      </c>
      <c r="G78" s="22">
        <v>19.381014492753621</v>
      </c>
      <c r="H78" s="22">
        <v>2.3078260869565219</v>
      </c>
      <c r="I78" s="22">
        <v>4.3044927536231885</v>
      </c>
      <c r="J78" s="22">
        <v>8.02536231884058</v>
      </c>
      <c r="K78" s="22">
        <v>1.021449275362319</v>
      </c>
      <c r="L78" s="22">
        <v>0.43768115942028984</v>
      </c>
      <c r="M78" s="22">
        <v>0.43691446310771098</v>
      </c>
      <c r="N78" s="22">
        <v>15.686086956521741</v>
      </c>
      <c r="O78" s="22">
        <v>0.73999617688288521</v>
      </c>
      <c r="P78" s="22">
        <v>4.5489855072463765</v>
      </c>
    </row>
    <row r="79" spans="1:16">
      <c r="A79" s="17">
        <f t="shared" si="1"/>
        <v>7</v>
      </c>
      <c r="B79" s="21">
        <v>16.499540508935794</v>
      </c>
      <c r="C79" s="17">
        <v>77</v>
      </c>
      <c r="D79" s="17" t="s">
        <v>137</v>
      </c>
      <c r="E79" s="17" t="s">
        <v>48</v>
      </c>
      <c r="F79" s="17" t="s">
        <v>94</v>
      </c>
      <c r="G79" s="22">
        <v>16.878961038961041</v>
      </c>
      <c r="H79" s="22">
        <v>4.0850649350649348</v>
      </c>
      <c r="I79" s="22">
        <v>4.6283116883116886</v>
      </c>
      <c r="J79" s="22">
        <v>3.4361038961038961</v>
      </c>
      <c r="K79" s="22">
        <v>0.91168831168831177</v>
      </c>
      <c r="L79" s="22">
        <v>0.42077922077922075</v>
      </c>
      <c r="M79" s="22">
        <v>0.42478000902527074</v>
      </c>
      <c r="N79" s="22">
        <v>13.814025974025975</v>
      </c>
      <c r="O79" s="22">
        <v>0.8509504909128891</v>
      </c>
      <c r="P79" s="22">
        <v>1.2433766233766232</v>
      </c>
    </row>
    <row r="80" spans="1:16">
      <c r="A80" s="17">
        <f t="shared" si="1"/>
        <v>7</v>
      </c>
      <c r="B80" s="21">
        <v>15.821018469119652</v>
      </c>
      <c r="C80" s="17">
        <v>78</v>
      </c>
      <c r="D80" s="17" t="s">
        <v>138</v>
      </c>
      <c r="E80" s="17" t="s">
        <v>48</v>
      </c>
      <c r="F80" s="17" t="s">
        <v>61</v>
      </c>
      <c r="G80" s="22">
        <v>16.256911764705883</v>
      </c>
      <c r="H80" s="22">
        <v>3.0030882352941179</v>
      </c>
      <c r="I80" s="22">
        <v>3.6811764705882353</v>
      </c>
      <c r="J80" s="22">
        <v>3.6811764705882353</v>
      </c>
      <c r="K80" s="22">
        <v>1.1624999999999999</v>
      </c>
      <c r="L80" s="22">
        <v>0.32294117647058823</v>
      </c>
      <c r="M80" s="22">
        <v>0.45137958746316631</v>
      </c>
      <c r="N80" s="22">
        <v>13.175294117647059</v>
      </c>
      <c r="O80" s="22">
        <v>0.86001302204446084</v>
      </c>
      <c r="P80" s="22">
        <v>1.5810294117647059</v>
      </c>
    </row>
    <row r="81" spans="1:16">
      <c r="A81" s="17">
        <f t="shared" si="1"/>
        <v>7</v>
      </c>
      <c r="B81" s="21">
        <v>15.290967648253597</v>
      </c>
      <c r="C81" s="17">
        <v>79</v>
      </c>
      <c r="D81" s="17" t="s">
        <v>139</v>
      </c>
      <c r="E81" s="17" t="s">
        <v>25</v>
      </c>
      <c r="F81" s="17" t="s">
        <v>42</v>
      </c>
      <c r="G81" s="22">
        <v>12.350000000000001</v>
      </c>
      <c r="H81" s="22">
        <v>2.015671641791045</v>
      </c>
      <c r="I81" s="22">
        <v>3.7495522388059701</v>
      </c>
      <c r="J81" s="22">
        <v>6.0410447761194028</v>
      </c>
      <c r="K81" s="22">
        <v>1.5276119402985073</v>
      </c>
      <c r="L81" s="22">
        <v>0.48611940298507461</v>
      </c>
      <c r="M81" s="22">
        <v>0.39706776168522179</v>
      </c>
      <c r="N81" s="22">
        <v>10.068208955223879</v>
      </c>
      <c r="O81" s="22">
        <v>0.80100189132546129</v>
      </c>
      <c r="P81" s="22">
        <v>2.9198507462686565</v>
      </c>
    </row>
    <row r="82" spans="1:16">
      <c r="A82" s="17">
        <f t="shared" si="1"/>
        <v>7</v>
      </c>
      <c r="B82" s="21">
        <v>15.254652042284564</v>
      </c>
      <c r="C82" s="17">
        <v>80</v>
      </c>
      <c r="D82" s="17" t="s">
        <v>140</v>
      </c>
      <c r="E82" s="17" t="s">
        <v>25</v>
      </c>
      <c r="F82" s="17" t="s">
        <v>118</v>
      </c>
      <c r="G82" s="22">
        <v>24.467972972972976</v>
      </c>
      <c r="H82" s="22">
        <v>1.6698648648648649</v>
      </c>
      <c r="I82" s="22">
        <v>3.2812162162162162</v>
      </c>
      <c r="J82" s="22">
        <v>3.5729729729729724</v>
      </c>
      <c r="K82" s="22">
        <v>1.0937837837837838</v>
      </c>
      <c r="L82" s="22">
        <v>0.14581081081081079</v>
      </c>
      <c r="M82" s="22">
        <v>0.4714354506851115</v>
      </c>
      <c r="N82" s="22">
        <v>18.521351351351349</v>
      </c>
      <c r="O82" s="22">
        <v>0.82298984760991467</v>
      </c>
      <c r="P82" s="22">
        <v>6.482297297297297</v>
      </c>
    </row>
    <row r="83" spans="1:16">
      <c r="A83" s="17">
        <f t="shared" si="1"/>
        <v>7</v>
      </c>
      <c r="B83" s="21">
        <v>14.946350625645348</v>
      </c>
      <c r="C83" s="17">
        <v>81</v>
      </c>
      <c r="D83" s="17" t="s">
        <v>141</v>
      </c>
      <c r="E83" s="17" t="s">
        <v>25</v>
      </c>
      <c r="F83" s="17" t="s">
        <v>75</v>
      </c>
      <c r="G83" s="22">
        <v>19.796764705882349</v>
      </c>
      <c r="H83" s="22">
        <v>2.4588235294117644</v>
      </c>
      <c r="I83" s="22">
        <v>5.4161764705882351</v>
      </c>
      <c r="J83" s="22">
        <v>5.2772058823529413</v>
      </c>
      <c r="K83" s="22">
        <v>0.625</v>
      </c>
      <c r="L83" s="22">
        <v>0.27779411764705886</v>
      </c>
      <c r="M83" s="22">
        <v>0.44261868437584134</v>
      </c>
      <c r="N83" s="22">
        <v>16.386764705882353</v>
      </c>
      <c r="O83" s="22">
        <v>0.86400143581460043</v>
      </c>
      <c r="P83" s="22">
        <v>3.2774999999999999</v>
      </c>
    </row>
    <row r="84" spans="1:16">
      <c r="A84" s="17">
        <f t="shared" si="1"/>
        <v>7</v>
      </c>
      <c r="B84" s="21">
        <v>14.782772916364651</v>
      </c>
      <c r="C84" s="17">
        <v>82</v>
      </c>
      <c r="D84" s="17" t="s">
        <v>142</v>
      </c>
      <c r="E84" s="17" t="s">
        <v>48</v>
      </c>
      <c r="F84" s="17" t="s">
        <v>35</v>
      </c>
      <c r="G84" s="22">
        <v>17.912000000000003</v>
      </c>
      <c r="H84" s="22">
        <v>2.2466666666666666</v>
      </c>
      <c r="I84" s="22">
        <v>3.8380000000000005</v>
      </c>
      <c r="J84" s="22">
        <v>1.8853333333333333</v>
      </c>
      <c r="K84" s="22">
        <v>1.1446666666666665</v>
      </c>
      <c r="L84" s="22">
        <v>0.33666666666666667</v>
      </c>
      <c r="M84" s="22">
        <v>0.47209168701647825</v>
      </c>
      <c r="N84" s="22">
        <v>12.994933333333334</v>
      </c>
      <c r="O84" s="22">
        <v>0.87099863201094396</v>
      </c>
      <c r="P84" s="22">
        <v>3.8986666666666663</v>
      </c>
    </row>
    <row r="85" spans="1:16">
      <c r="A85" s="17">
        <f t="shared" si="1"/>
        <v>7</v>
      </c>
      <c r="B85" s="21">
        <v>13.953713378648109</v>
      </c>
      <c r="C85" s="17">
        <v>83</v>
      </c>
      <c r="D85" s="17" t="s">
        <v>143</v>
      </c>
      <c r="E85" s="17" t="s">
        <v>33</v>
      </c>
      <c r="F85" s="17" t="s">
        <v>84</v>
      </c>
      <c r="G85" s="22">
        <v>12.001923076923077</v>
      </c>
      <c r="H85" s="22">
        <v>1.3078205128205129</v>
      </c>
      <c r="I85" s="22">
        <v>5.6478205128205134</v>
      </c>
      <c r="J85" s="22">
        <v>3.5448717948717947</v>
      </c>
      <c r="K85" s="22">
        <v>1.2617948717948717</v>
      </c>
      <c r="L85" s="22">
        <v>0.96128205128205135</v>
      </c>
      <c r="M85" s="22">
        <v>0.46499204998744731</v>
      </c>
      <c r="N85" s="22">
        <v>9.192051282051283</v>
      </c>
      <c r="O85" s="22">
        <v>0.77802054762679562</v>
      </c>
      <c r="P85" s="22">
        <v>2.7578205128205129</v>
      </c>
    </row>
    <row r="86" spans="1:16">
      <c r="A86" s="17">
        <f t="shared" si="1"/>
        <v>8</v>
      </c>
      <c r="B86" s="21">
        <v>13.603175775338892</v>
      </c>
      <c r="C86" s="17">
        <v>84</v>
      </c>
      <c r="D86" s="17" t="s">
        <v>144</v>
      </c>
      <c r="E86" s="17" t="s">
        <v>33</v>
      </c>
      <c r="F86" s="17" t="s">
        <v>35</v>
      </c>
      <c r="G86" s="22">
        <v>8.6431578947368415</v>
      </c>
      <c r="H86" s="22">
        <v>1.8790789473684211</v>
      </c>
      <c r="I86" s="22">
        <v>6.733289473684211</v>
      </c>
      <c r="J86" s="22">
        <v>1.4139473684210526</v>
      </c>
      <c r="K86" s="22">
        <v>1.4139473684210526</v>
      </c>
      <c r="L86" s="22">
        <v>1.1446052631578947</v>
      </c>
      <c r="M86" s="22">
        <v>0.41983028137561412</v>
      </c>
      <c r="N86" s="22">
        <v>7.0705263157894738</v>
      </c>
      <c r="O86" s="22">
        <v>0.78002481389578171</v>
      </c>
      <c r="P86" s="22">
        <v>1.0605263157894735</v>
      </c>
    </row>
    <row r="87" spans="1:16">
      <c r="A87" s="17">
        <f t="shared" si="1"/>
        <v>8</v>
      </c>
      <c r="B87" s="21">
        <v>12.703536886664159</v>
      </c>
      <c r="C87" s="17">
        <v>85</v>
      </c>
      <c r="D87" s="17" t="s">
        <v>145</v>
      </c>
      <c r="E87" s="17" t="s">
        <v>63</v>
      </c>
      <c r="F87" s="17" t="s">
        <v>115</v>
      </c>
      <c r="G87" s="22">
        <v>13.678026315789474</v>
      </c>
      <c r="H87" s="22">
        <v>1.9453947368421052</v>
      </c>
      <c r="I87" s="22">
        <v>6.1875</v>
      </c>
      <c r="J87" s="22">
        <v>2.4750000000000001</v>
      </c>
      <c r="K87" s="22">
        <v>1.0125</v>
      </c>
      <c r="L87" s="22">
        <v>0.50618421052631579</v>
      </c>
      <c r="M87" s="22">
        <v>0.48009090667446369</v>
      </c>
      <c r="N87" s="22">
        <v>9.900263157894738</v>
      </c>
      <c r="O87" s="22">
        <v>0.83298055623923206</v>
      </c>
      <c r="P87" s="22">
        <v>2.6730263157894738</v>
      </c>
    </row>
    <row r="88" spans="1:16">
      <c r="A88" s="17">
        <f t="shared" si="1"/>
        <v>8</v>
      </c>
      <c r="B88" s="21">
        <v>12.192240661771709</v>
      </c>
      <c r="C88" s="17">
        <v>86</v>
      </c>
      <c r="D88" s="17" t="s">
        <v>146</v>
      </c>
      <c r="E88" s="17" t="s">
        <v>45</v>
      </c>
      <c r="F88" s="17" t="s">
        <v>65</v>
      </c>
      <c r="G88" s="22">
        <v>12.753648648648648</v>
      </c>
      <c r="H88" s="22">
        <v>1.7231081081081081</v>
      </c>
      <c r="I88" s="22">
        <v>6.25</v>
      </c>
      <c r="J88" s="22">
        <v>2.125</v>
      </c>
      <c r="K88" s="22">
        <v>1.125</v>
      </c>
      <c r="L88" s="22">
        <v>1.125</v>
      </c>
      <c r="M88" s="22">
        <v>0.45301992332348689</v>
      </c>
      <c r="N88" s="22">
        <v>10.750675675675675</v>
      </c>
      <c r="O88" s="22">
        <v>0.74999999999999989</v>
      </c>
      <c r="P88" s="22">
        <v>1.72</v>
      </c>
    </row>
    <row r="89" spans="1:16">
      <c r="A89" s="17">
        <f t="shared" si="1"/>
        <v>8</v>
      </c>
      <c r="B89" s="21">
        <v>12.07758643618433</v>
      </c>
      <c r="C89" s="17">
        <v>87</v>
      </c>
      <c r="D89" s="17" t="s">
        <v>147</v>
      </c>
      <c r="E89" s="17" t="s">
        <v>39</v>
      </c>
      <c r="F89" s="17" t="s">
        <v>100</v>
      </c>
      <c r="G89" s="22">
        <v>17.467432432432435</v>
      </c>
      <c r="H89" s="22">
        <v>2.3828378378378381</v>
      </c>
      <c r="I89" s="22">
        <v>4.6028378378378374</v>
      </c>
      <c r="J89" s="22">
        <v>3.6822972972972976</v>
      </c>
      <c r="K89" s="22">
        <v>1.3454054054054054</v>
      </c>
      <c r="L89" s="22">
        <v>0.14162162162162162</v>
      </c>
      <c r="M89" s="22">
        <v>0.42298635245506999</v>
      </c>
      <c r="N89" s="22">
        <v>15.436891891891891</v>
      </c>
      <c r="O89" s="22">
        <v>0.82000218842324102</v>
      </c>
      <c r="P89" s="22">
        <v>2.4700000000000002</v>
      </c>
    </row>
    <row r="90" spans="1:16">
      <c r="A90" s="17">
        <f t="shared" si="1"/>
        <v>8</v>
      </c>
      <c r="B90" s="21">
        <v>11.569318064093741</v>
      </c>
      <c r="C90" s="17">
        <v>88</v>
      </c>
      <c r="D90" s="17" t="s">
        <v>148</v>
      </c>
      <c r="E90" s="17" t="s">
        <v>33</v>
      </c>
      <c r="F90" s="17" t="s">
        <v>65</v>
      </c>
      <c r="G90" s="22">
        <v>14.516666666666666</v>
      </c>
      <c r="H90" s="22">
        <v>2.0703846153846155</v>
      </c>
      <c r="I90" s="22">
        <v>6.264615384615384</v>
      </c>
      <c r="J90" s="22">
        <v>2.3896153846153845</v>
      </c>
      <c r="K90" s="22">
        <v>0.64589743589743598</v>
      </c>
      <c r="L90" s="22">
        <v>0.77500000000000002</v>
      </c>
      <c r="M90" s="22">
        <v>0.4856725829051845</v>
      </c>
      <c r="N90" s="22">
        <v>10.97948717948718</v>
      </c>
      <c r="O90" s="22">
        <v>0.85397332677770255</v>
      </c>
      <c r="P90" s="22">
        <v>2.0860256410256413</v>
      </c>
    </row>
    <row r="91" spans="1:16">
      <c r="A91" s="17">
        <f t="shared" si="1"/>
        <v>8</v>
      </c>
      <c r="B91" s="21">
        <v>11.468448416028684</v>
      </c>
      <c r="C91" s="17">
        <v>89</v>
      </c>
      <c r="D91" s="17" t="s">
        <v>149</v>
      </c>
      <c r="E91" s="17" t="s">
        <v>105</v>
      </c>
      <c r="F91" s="17" t="s">
        <v>75</v>
      </c>
      <c r="G91" s="22">
        <v>17.622666666666667</v>
      </c>
      <c r="H91" s="22">
        <v>1.1942222222222223</v>
      </c>
      <c r="I91" s="22">
        <v>3.9768888888888885</v>
      </c>
      <c r="J91" s="22">
        <v>1.3886666666666667</v>
      </c>
      <c r="K91" s="22">
        <v>1.1362222222222222</v>
      </c>
      <c r="L91" s="22">
        <v>0.44177777777777777</v>
      </c>
      <c r="M91" s="22">
        <v>0.53659144123947589</v>
      </c>
      <c r="N91" s="22">
        <v>13.382000000000001</v>
      </c>
      <c r="O91" s="22">
        <v>0.8129697605313756</v>
      </c>
      <c r="P91" s="22">
        <v>2.5426666666666669</v>
      </c>
    </row>
    <row r="92" spans="1:16">
      <c r="A92" s="17">
        <f t="shared" si="1"/>
        <v>8</v>
      </c>
      <c r="B92" s="21">
        <v>11.323688432255267</v>
      </c>
      <c r="C92" s="17">
        <v>90</v>
      </c>
      <c r="D92" s="17" t="s">
        <v>150</v>
      </c>
      <c r="E92" s="17" t="s">
        <v>151</v>
      </c>
      <c r="F92" s="17" t="s">
        <v>108</v>
      </c>
      <c r="G92" s="22">
        <v>12.441216216216215</v>
      </c>
      <c r="H92" s="22">
        <v>0.23513513513513512</v>
      </c>
      <c r="I92" s="22">
        <v>6.8932432432432433</v>
      </c>
      <c r="J92" s="22">
        <v>3.7748648648648646</v>
      </c>
      <c r="K92" s="22">
        <v>1.2036486486486486</v>
      </c>
      <c r="L92" s="22">
        <v>0.71121621621621622</v>
      </c>
      <c r="M92" s="22">
        <v>0.55164551808373485</v>
      </c>
      <c r="N92" s="22">
        <v>9.9574324324324319</v>
      </c>
      <c r="O92" s="22">
        <v>0.64497464104578894</v>
      </c>
      <c r="P92" s="22">
        <v>1.8917567567567568</v>
      </c>
    </row>
    <row r="93" spans="1:16">
      <c r="A93" s="17">
        <f t="shared" si="1"/>
        <v>8</v>
      </c>
      <c r="B93" s="21">
        <v>11.232081988397315</v>
      </c>
      <c r="C93" s="17">
        <v>91</v>
      </c>
      <c r="D93" s="17" t="s">
        <v>152</v>
      </c>
      <c r="E93" s="17" t="s">
        <v>63</v>
      </c>
      <c r="F93" s="17" t="s">
        <v>40</v>
      </c>
      <c r="G93" s="22">
        <v>11.093582089552239</v>
      </c>
      <c r="H93" s="22">
        <v>0</v>
      </c>
      <c r="I93" s="22">
        <v>6.9934328358208964</v>
      </c>
      <c r="J93" s="22">
        <v>0.75462686567164183</v>
      </c>
      <c r="K93" s="22">
        <v>0.70432835820895523</v>
      </c>
      <c r="L93" s="22">
        <v>2.2640298507462688</v>
      </c>
      <c r="M93" s="22">
        <v>0.69299406663623919</v>
      </c>
      <c r="N93" s="22">
        <v>6.540298507462686</v>
      </c>
      <c r="O93" s="22">
        <v>0.65998252087784037</v>
      </c>
      <c r="P93" s="22">
        <v>3.0740298507462689</v>
      </c>
    </row>
    <row r="94" spans="1:16">
      <c r="A94" s="17">
        <f t="shared" si="1"/>
        <v>8</v>
      </c>
      <c r="B94" s="21">
        <v>10.922088859288712</v>
      </c>
      <c r="C94" s="17">
        <v>92</v>
      </c>
      <c r="D94" s="17" t="s">
        <v>153</v>
      </c>
      <c r="E94" s="17" t="s">
        <v>48</v>
      </c>
      <c r="F94" s="17" t="s">
        <v>37</v>
      </c>
      <c r="G94" s="22">
        <v>5.5864000000000003</v>
      </c>
      <c r="H94" s="22">
        <v>0.90493333333333337</v>
      </c>
      <c r="I94" s="22">
        <v>2.6806666666666668</v>
      </c>
      <c r="J94" s="22">
        <v>1.2036</v>
      </c>
      <c r="K94" s="22">
        <v>2.0789333333333331</v>
      </c>
      <c r="L94" s="22">
        <v>1.4224000000000001</v>
      </c>
      <c r="M94" s="22">
        <v>0.4418286999839306</v>
      </c>
      <c r="N94" s="22">
        <v>4.9783999999999997</v>
      </c>
      <c r="O94" s="22">
        <v>0.63005952380952379</v>
      </c>
      <c r="P94" s="22">
        <v>0.44800000000000001</v>
      </c>
    </row>
    <row r="95" spans="1:16">
      <c r="A95" s="17">
        <f t="shared" si="1"/>
        <v>8</v>
      </c>
      <c r="B95" s="21">
        <v>10.496269094187161</v>
      </c>
      <c r="C95" s="17">
        <v>93</v>
      </c>
      <c r="D95" s="17" t="s">
        <v>154</v>
      </c>
      <c r="E95" s="17" t="s">
        <v>22</v>
      </c>
      <c r="F95" s="17" t="s">
        <v>108</v>
      </c>
      <c r="G95" s="22">
        <v>10.188701298701298</v>
      </c>
      <c r="H95" s="22">
        <v>0</v>
      </c>
      <c r="I95" s="22">
        <v>8.8375324675324674</v>
      </c>
      <c r="J95" s="22">
        <v>2.0831168831168831</v>
      </c>
      <c r="K95" s="22">
        <v>0.7575324675324675</v>
      </c>
      <c r="L95" s="22">
        <v>1.9568831168831169</v>
      </c>
      <c r="M95" s="22">
        <v>0.62400715563506259</v>
      </c>
      <c r="N95" s="22">
        <v>7.2597402597402594</v>
      </c>
      <c r="O95" s="22">
        <v>0.53602714373843308</v>
      </c>
      <c r="P95" s="22">
        <v>2.1051948051948051</v>
      </c>
    </row>
    <row r="96" spans="1:16">
      <c r="A96" s="17">
        <f t="shared" si="1"/>
        <v>8</v>
      </c>
      <c r="B96" s="21">
        <v>10.371341645756724</v>
      </c>
      <c r="C96" s="17">
        <v>94</v>
      </c>
      <c r="D96" s="17" t="s">
        <v>155</v>
      </c>
      <c r="E96" s="17" t="s">
        <v>25</v>
      </c>
      <c r="F96" s="17" t="s">
        <v>120</v>
      </c>
      <c r="G96" s="22">
        <v>13.379866666666668</v>
      </c>
      <c r="H96" s="22">
        <v>1.3168</v>
      </c>
      <c r="I96" s="22">
        <v>5.8649333333333331</v>
      </c>
      <c r="J96" s="22">
        <v>4.9088000000000003</v>
      </c>
      <c r="K96" s="22">
        <v>1.4025333333333334</v>
      </c>
      <c r="L96" s="22">
        <v>0.31880000000000003</v>
      </c>
      <c r="M96" s="22">
        <v>0.43681446365495441</v>
      </c>
      <c r="N96" s="22">
        <v>11.475200000000001</v>
      </c>
      <c r="O96" s="22">
        <v>0.74001452432824977</v>
      </c>
      <c r="P96" s="22">
        <v>2.754</v>
      </c>
    </row>
    <row r="97" spans="1:16">
      <c r="A97" s="17">
        <f t="shared" si="1"/>
        <v>8</v>
      </c>
      <c r="B97" s="21">
        <v>10.129184130202521</v>
      </c>
      <c r="C97" s="17">
        <v>95</v>
      </c>
      <c r="D97" s="17" t="s">
        <v>156</v>
      </c>
      <c r="E97" s="17" t="s">
        <v>105</v>
      </c>
      <c r="F97" s="17" t="s">
        <v>100</v>
      </c>
      <c r="G97" s="22">
        <v>12.908441558441561</v>
      </c>
      <c r="H97" s="22">
        <v>1.0799999999999998</v>
      </c>
      <c r="I97" s="22">
        <v>5.5877922077922078</v>
      </c>
      <c r="J97" s="22">
        <v>3.2594805194805194</v>
      </c>
      <c r="K97" s="22">
        <v>1.3968831168831168</v>
      </c>
      <c r="L97" s="22">
        <v>0.53220779220779213</v>
      </c>
      <c r="M97" s="22">
        <v>0.50126700108600097</v>
      </c>
      <c r="N97" s="22">
        <v>10.045194805194805</v>
      </c>
      <c r="O97" s="22">
        <v>0.69998965659908974</v>
      </c>
      <c r="P97" s="22">
        <v>2.5111688311688312</v>
      </c>
    </row>
    <row r="98" spans="1:16">
      <c r="A98" s="17">
        <f t="shared" si="1"/>
        <v>9</v>
      </c>
      <c r="B98" s="21">
        <v>10.104387466536695</v>
      </c>
      <c r="C98" s="17">
        <v>96</v>
      </c>
      <c r="D98" s="17" t="s">
        <v>157</v>
      </c>
      <c r="E98" s="17" t="s">
        <v>33</v>
      </c>
      <c r="F98" s="17" t="s">
        <v>115</v>
      </c>
      <c r="G98" s="22">
        <v>20.010000000000002</v>
      </c>
      <c r="H98" s="22">
        <v>1.7766216216216215</v>
      </c>
      <c r="I98" s="22">
        <v>4.1937837837837844</v>
      </c>
      <c r="J98" s="22">
        <v>2.1312162162162163</v>
      </c>
      <c r="K98" s="22">
        <v>0.61878378378378374</v>
      </c>
      <c r="L98" s="22">
        <v>1.0312162162162162</v>
      </c>
      <c r="M98" s="22">
        <v>0.45605514372096712</v>
      </c>
      <c r="N98" s="22">
        <v>15.330945945945945</v>
      </c>
      <c r="O98" s="22">
        <v>0.84000641042762902</v>
      </c>
      <c r="P98" s="22">
        <v>5.059324324324324</v>
      </c>
    </row>
    <row r="99" spans="1:16">
      <c r="A99" s="17">
        <f t="shared" si="1"/>
        <v>9</v>
      </c>
      <c r="B99" s="21">
        <v>9.6137167749727528</v>
      </c>
      <c r="C99" s="17">
        <v>97</v>
      </c>
      <c r="D99" s="17" t="s">
        <v>158</v>
      </c>
      <c r="E99" s="17" t="s">
        <v>48</v>
      </c>
      <c r="F99" s="17" t="s">
        <v>29</v>
      </c>
      <c r="G99" s="22">
        <v>18.321081081081083</v>
      </c>
      <c r="H99" s="22">
        <v>1.8693243243243245</v>
      </c>
      <c r="I99" s="22">
        <v>4.8860810810810813</v>
      </c>
      <c r="J99" s="22">
        <v>2.4783783783783786</v>
      </c>
      <c r="K99" s="22">
        <v>0.99135135135135133</v>
      </c>
      <c r="L99" s="22">
        <v>0.84972972972972971</v>
      </c>
      <c r="M99" s="22">
        <v>0.47715482101830581</v>
      </c>
      <c r="N99" s="22">
        <v>14.587027027027029</v>
      </c>
      <c r="O99" s="22">
        <v>0.72300922530590195</v>
      </c>
      <c r="P99" s="22">
        <v>3.5009459459459458</v>
      </c>
    </row>
    <row r="100" spans="1:16">
      <c r="A100" s="17">
        <f t="shared" si="1"/>
        <v>9</v>
      </c>
      <c r="B100" s="21">
        <v>9.2751462694777889</v>
      </c>
      <c r="C100" s="17">
        <v>98</v>
      </c>
      <c r="D100" s="17" t="s">
        <v>159</v>
      </c>
      <c r="E100" s="17" t="s">
        <v>48</v>
      </c>
      <c r="F100" s="17" t="s">
        <v>88</v>
      </c>
      <c r="G100" s="22">
        <v>15.22763888888889</v>
      </c>
      <c r="H100" s="22">
        <v>2.5704166666666666</v>
      </c>
      <c r="I100" s="22">
        <v>3.0393055555555555</v>
      </c>
      <c r="J100" s="22">
        <v>3.1040277777777781</v>
      </c>
      <c r="K100" s="22">
        <v>1.0993055555555555</v>
      </c>
      <c r="L100" s="22">
        <v>0.45263888888888892</v>
      </c>
      <c r="M100" s="22">
        <v>0.45978451515910806</v>
      </c>
      <c r="N100" s="22">
        <v>11.640416666666665</v>
      </c>
      <c r="O100" s="22">
        <v>0.7989772727272727</v>
      </c>
      <c r="P100" s="22">
        <v>2.4444444444444446</v>
      </c>
    </row>
    <row r="101" spans="1:16">
      <c r="A101" s="17">
        <f t="shared" si="1"/>
        <v>9</v>
      </c>
      <c r="B101" s="21">
        <v>9.2369585078209564</v>
      </c>
      <c r="C101" s="17">
        <v>99</v>
      </c>
      <c r="D101" s="17" t="s">
        <v>160</v>
      </c>
      <c r="E101" s="17" t="s">
        <v>39</v>
      </c>
      <c r="F101" s="17" t="s">
        <v>37</v>
      </c>
      <c r="G101" s="22">
        <v>16.764000000000003</v>
      </c>
      <c r="H101" s="22">
        <v>1.2141333333333333</v>
      </c>
      <c r="I101" s="22">
        <v>3.6165333333333334</v>
      </c>
      <c r="J101" s="22">
        <v>4.567733333333333</v>
      </c>
      <c r="K101" s="22">
        <v>0.81666666666666665</v>
      </c>
      <c r="L101" s="22">
        <v>0.52560000000000007</v>
      </c>
      <c r="M101" s="22">
        <v>0.47228205747404012</v>
      </c>
      <c r="N101" s="22">
        <v>13.803333333333333</v>
      </c>
      <c r="O101" s="22">
        <v>0.86385105700004583</v>
      </c>
      <c r="P101" s="22">
        <v>2.9076</v>
      </c>
    </row>
    <row r="102" spans="1:16">
      <c r="A102" s="17">
        <f t="shared" si="1"/>
        <v>9</v>
      </c>
      <c r="B102" s="21">
        <v>9.1456196116152721</v>
      </c>
      <c r="C102" s="17">
        <v>100</v>
      </c>
      <c r="D102" s="17" t="s">
        <v>161</v>
      </c>
      <c r="E102" s="17" t="s">
        <v>39</v>
      </c>
      <c r="F102" s="17" t="s">
        <v>77</v>
      </c>
      <c r="G102" s="22">
        <v>15.055735294117644</v>
      </c>
      <c r="H102" s="22">
        <v>2.341176470588235</v>
      </c>
      <c r="I102" s="22">
        <v>4.4624999999999995</v>
      </c>
      <c r="J102" s="22">
        <v>2.756176470588235</v>
      </c>
      <c r="K102" s="22">
        <v>1.3780882352941175</v>
      </c>
      <c r="L102" s="22">
        <v>0.65617647058823525</v>
      </c>
      <c r="M102" s="22">
        <v>0.41343619620773175</v>
      </c>
      <c r="N102" s="22">
        <v>13.781911764705884</v>
      </c>
      <c r="O102" s="22">
        <v>0.73602560945579909</v>
      </c>
      <c r="P102" s="22">
        <v>1.7916176470588234</v>
      </c>
    </row>
    <row r="103" spans="1:16">
      <c r="A103" s="17">
        <f t="shared" si="1"/>
        <v>9</v>
      </c>
      <c r="B103" s="21">
        <v>8.0043369893125345</v>
      </c>
      <c r="C103" s="17">
        <v>101</v>
      </c>
      <c r="D103" s="17" t="s">
        <v>162</v>
      </c>
      <c r="E103" s="17" t="s">
        <v>33</v>
      </c>
      <c r="F103" s="17" t="s">
        <v>67</v>
      </c>
      <c r="G103" s="22">
        <v>18.75407894736842</v>
      </c>
      <c r="H103" s="22">
        <v>2.4138157894736842</v>
      </c>
      <c r="I103" s="22">
        <v>4.1480263157894735</v>
      </c>
      <c r="J103" s="22">
        <v>2.04</v>
      </c>
      <c r="K103" s="22">
        <v>0.74802631578947365</v>
      </c>
      <c r="L103" s="22">
        <v>6.8026315789473685E-2</v>
      </c>
      <c r="M103" s="22">
        <v>0.4522742074016744</v>
      </c>
      <c r="N103" s="22">
        <v>13.940657894736843</v>
      </c>
      <c r="O103" s="22">
        <v>0.89198628197464058</v>
      </c>
      <c r="P103" s="22">
        <v>4.1819736842105257</v>
      </c>
    </row>
    <row r="104" spans="1:16">
      <c r="A104" s="17">
        <f t="shared" si="1"/>
        <v>9</v>
      </c>
      <c r="B104" s="21">
        <v>7.8099392132614947</v>
      </c>
      <c r="C104" s="17">
        <v>102</v>
      </c>
      <c r="D104" s="17" t="s">
        <v>163</v>
      </c>
      <c r="E104" s="17" t="s">
        <v>63</v>
      </c>
      <c r="F104" s="17" t="s">
        <v>57</v>
      </c>
      <c r="G104" s="22">
        <v>11.962162162162162</v>
      </c>
      <c r="H104" s="22">
        <v>1.289054054054054</v>
      </c>
      <c r="I104" s="22">
        <v>6.4849999999999994</v>
      </c>
      <c r="J104" s="22">
        <v>0.96797297297297291</v>
      </c>
      <c r="K104" s="22">
        <v>0.53229729729729736</v>
      </c>
      <c r="L104" s="22">
        <v>1.6939189189189188</v>
      </c>
      <c r="M104" s="22">
        <v>0.50189647658860181</v>
      </c>
      <c r="N104" s="22">
        <v>8.3725675675675664</v>
      </c>
      <c r="O104" s="22">
        <v>0.7970092570614763</v>
      </c>
      <c r="P104" s="22">
        <v>2.8466216216216216</v>
      </c>
    </row>
    <row r="105" spans="1:16">
      <c r="A105" s="17">
        <f t="shared" si="1"/>
        <v>9</v>
      </c>
      <c r="B105" s="21">
        <v>7.3207765434574679</v>
      </c>
      <c r="C105" s="17">
        <v>103</v>
      </c>
      <c r="D105" s="17" t="s">
        <v>164</v>
      </c>
      <c r="E105" s="17" t="s">
        <v>22</v>
      </c>
      <c r="F105" s="17" t="s">
        <v>88</v>
      </c>
      <c r="G105" s="22">
        <v>4.6049999999999995</v>
      </c>
      <c r="H105" s="22">
        <v>0</v>
      </c>
      <c r="I105" s="22">
        <v>6.2079729729729731</v>
      </c>
      <c r="J105" s="22">
        <v>0.77594594594594601</v>
      </c>
      <c r="K105" s="22">
        <v>1.067027027027027</v>
      </c>
      <c r="L105" s="22">
        <v>2.0855405405405407</v>
      </c>
      <c r="M105" s="22">
        <v>0.64597752808988762</v>
      </c>
      <c r="N105" s="22">
        <v>3.0067567567567566</v>
      </c>
      <c r="O105" s="22">
        <v>0.72599754868582322</v>
      </c>
      <c r="P105" s="22">
        <v>0.99229729729729743</v>
      </c>
    </row>
    <row r="106" spans="1:16">
      <c r="A106" s="17">
        <f t="shared" si="1"/>
        <v>9</v>
      </c>
      <c r="B106" s="21">
        <v>6.9449871709253799</v>
      </c>
      <c r="C106" s="17">
        <v>104</v>
      </c>
      <c r="D106" s="17" t="s">
        <v>165</v>
      </c>
      <c r="E106" s="17" t="s">
        <v>39</v>
      </c>
      <c r="F106" s="17" t="s">
        <v>29</v>
      </c>
      <c r="G106" s="22">
        <v>17.701249999999998</v>
      </c>
      <c r="H106" s="22">
        <v>2.816875</v>
      </c>
      <c r="I106" s="22">
        <v>3.1115625000000002</v>
      </c>
      <c r="J106" s="22">
        <v>1.99125</v>
      </c>
      <c r="K106" s="22">
        <v>0.87124999999999997</v>
      </c>
      <c r="L106" s="22">
        <v>0.49781249999999999</v>
      </c>
      <c r="M106" s="22">
        <v>0.46159912013115029</v>
      </c>
      <c r="N106" s="22">
        <v>15.0590625</v>
      </c>
      <c r="O106" s="22">
        <v>0.81504539559014277</v>
      </c>
      <c r="P106" s="22">
        <v>1.2046874999999999</v>
      </c>
    </row>
    <row r="107" spans="1:16">
      <c r="A107" s="17">
        <f t="shared" si="1"/>
        <v>9</v>
      </c>
      <c r="B107" s="21">
        <v>6.8865399545019201</v>
      </c>
      <c r="C107" s="17">
        <v>105</v>
      </c>
      <c r="D107" s="17" t="s">
        <v>166</v>
      </c>
      <c r="E107" s="17" t="s">
        <v>33</v>
      </c>
      <c r="F107" s="17" t="s">
        <v>94</v>
      </c>
      <c r="G107" s="22">
        <v>14.934999999999999</v>
      </c>
      <c r="H107" s="22">
        <v>1.7115789473684213</v>
      </c>
      <c r="I107" s="22">
        <v>6.2135526315789473</v>
      </c>
      <c r="J107" s="22">
        <v>3.3235526315789472</v>
      </c>
      <c r="K107" s="22">
        <v>0.65026315789473688</v>
      </c>
      <c r="L107" s="22">
        <v>0.21671052631578946</v>
      </c>
      <c r="M107" s="22">
        <v>0.48585782466716909</v>
      </c>
      <c r="N107" s="22">
        <v>10.476315789473684</v>
      </c>
      <c r="O107" s="22">
        <v>0.83001399504790607</v>
      </c>
      <c r="P107" s="22">
        <v>3.6667105263157898</v>
      </c>
    </row>
    <row r="108" spans="1:16">
      <c r="A108" s="17">
        <f t="shared" si="1"/>
        <v>9</v>
      </c>
      <c r="B108" s="21">
        <v>6.8091327182687476</v>
      </c>
      <c r="C108" s="17">
        <v>106</v>
      </c>
      <c r="D108" s="17" t="s">
        <v>167</v>
      </c>
      <c r="E108" s="17" t="s">
        <v>22</v>
      </c>
      <c r="F108" s="17" t="s">
        <v>118</v>
      </c>
      <c r="G108" s="22">
        <v>12.690897435897435</v>
      </c>
      <c r="H108" s="22">
        <v>0.10602564102564102</v>
      </c>
      <c r="I108" s="22">
        <v>10.187435897435897</v>
      </c>
      <c r="J108" s="22">
        <v>1.625</v>
      </c>
      <c r="K108" s="22">
        <v>0.5</v>
      </c>
      <c r="L108" s="22">
        <v>1.4374358974358974</v>
      </c>
      <c r="M108" s="22">
        <v>0.61364382302743858</v>
      </c>
      <c r="N108" s="22">
        <v>7.8123076923076926</v>
      </c>
      <c r="O108" s="22">
        <v>0.685010989010989</v>
      </c>
      <c r="P108" s="22">
        <v>4.375</v>
      </c>
    </row>
    <row r="109" spans="1:16">
      <c r="A109" s="17">
        <f t="shared" si="1"/>
        <v>9</v>
      </c>
      <c r="B109" s="21">
        <v>6.2914340876130446</v>
      </c>
      <c r="C109" s="17">
        <v>107</v>
      </c>
      <c r="D109" s="17" t="s">
        <v>168</v>
      </c>
      <c r="E109" s="17" t="s">
        <v>45</v>
      </c>
      <c r="F109" s="17" t="s">
        <v>35</v>
      </c>
      <c r="G109" s="22">
        <v>9.4307936507936514</v>
      </c>
      <c r="H109" s="22">
        <v>1.0826984126984125</v>
      </c>
      <c r="I109" s="22">
        <v>6.0788888888888888</v>
      </c>
      <c r="J109" s="22">
        <v>2.6133333333333333</v>
      </c>
      <c r="K109" s="22">
        <v>1.4203174603174604</v>
      </c>
      <c r="L109" s="22">
        <v>0.39761904761904765</v>
      </c>
      <c r="M109" s="22">
        <v>0.50129039138317155</v>
      </c>
      <c r="N109" s="22">
        <v>7.4420634920634914</v>
      </c>
      <c r="O109" s="22">
        <v>0.6619668246445497</v>
      </c>
      <c r="P109" s="22">
        <v>1.3396825396825398</v>
      </c>
    </row>
    <row r="110" spans="1:16">
      <c r="A110" s="17">
        <f t="shared" si="1"/>
        <v>10</v>
      </c>
      <c r="B110" s="21">
        <v>5.9853930869837715</v>
      </c>
      <c r="C110" s="17">
        <v>108</v>
      </c>
      <c r="D110" s="17" t="s">
        <v>169</v>
      </c>
      <c r="E110" s="17" t="s">
        <v>63</v>
      </c>
      <c r="F110" s="17" t="s">
        <v>42</v>
      </c>
      <c r="G110" s="22">
        <v>10.907187499999999</v>
      </c>
      <c r="H110" s="22">
        <v>1.49171875</v>
      </c>
      <c r="I110" s="22">
        <v>6.7165625000000002</v>
      </c>
      <c r="J110" s="22">
        <v>3.2993749999999999</v>
      </c>
      <c r="K110" s="22">
        <v>0.70703125</v>
      </c>
      <c r="L110" s="22">
        <v>0.88375000000000004</v>
      </c>
      <c r="M110" s="22">
        <v>0.45283018867924524</v>
      </c>
      <c r="N110" s="22">
        <v>9.780156250000001</v>
      </c>
      <c r="O110" s="22">
        <v>0.81492469192149708</v>
      </c>
      <c r="P110" s="22">
        <v>0.6846875</v>
      </c>
    </row>
    <row r="111" spans="1:16">
      <c r="A111" s="17">
        <f t="shared" si="1"/>
        <v>10</v>
      </c>
      <c r="B111" s="21">
        <v>5.9227682758504772</v>
      </c>
      <c r="C111" s="17">
        <v>109</v>
      </c>
      <c r="D111" s="17" t="s">
        <v>170</v>
      </c>
      <c r="E111" s="17" t="s">
        <v>22</v>
      </c>
      <c r="F111" s="17" t="s">
        <v>46</v>
      </c>
      <c r="G111" s="22">
        <v>12.944935064935065</v>
      </c>
      <c r="H111" s="22">
        <v>1.4324675324675324</v>
      </c>
      <c r="I111" s="22">
        <v>4.8554545454545455</v>
      </c>
      <c r="J111" s="22">
        <v>0.70194805194805188</v>
      </c>
      <c r="K111" s="22">
        <v>0.58493506493506497</v>
      </c>
      <c r="L111" s="22">
        <v>1.5210389610389612</v>
      </c>
      <c r="M111" s="22">
        <v>0.49148099606815204</v>
      </c>
      <c r="N111" s="22">
        <v>9.7109090909090909</v>
      </c>
      <c r="O111" s="22">
        <v>0.84397637356513988</v>
      </c>
      <c r="P111" s="22">
        <v>2.3306493506493506</v>
      </c>
    </row>
    <row r="112" spans="1:16">
      <c r="A112" s="17">
        <f t="shared" si="1"/>
        <v>10</v>
      </c>
      <c r="B112" s="21">
        <v>5.7841882546750609</v>
      </c>
      <c r="C112" s="17">
        <v>110</v>
      </c>
      <c r="D112" s="17" t="s">
        <v>171</v>
      </c>
      <c r="E112" s="17" t="s">
        <v>48</v>
      </c>
      <c r="F112" s="17" t="s">
        <v>37</v>
      </c>
      <c r="G112" s="22">
        <v>8.8391999999999999</v>
      </c>
      <c r="H112" s="22">
        <v>2.3136000000000001</v>
      </c>
      <c r="I112" s="22">
        <v>3.8295999999999997</v>
      </c>
      <c r="J112" s="22">
        <v>1.6496</v>
      </c>
      <c r="K112" s="22">
        <v>1.3550666666666666</v>
      </c>
      <c r="L112" s="22">
        <v>0.82479999999999998</v>
      </c>
      <c r="M112" s="22">
        <v>0.41613126962108493</v>
      </c>
      <c r="N112" s="22">
        <v>7.3050666666666668</v>
      </c>
      <c r="O112" s="22">
        <v>0.76294775268081216</v>
      </c>
      <c r="P112" s="22">
        <v>0.58440000000000003</v>
      </c>
    </row>
    <row r="113" spans="1:16">
      <c r="A113" s="17">
        <f t="shared" si="1"/>
        <v>10</v>
      </c>
      <c r="B113" s="21">
        <v>5.6161916699346293</v>
      </c>
      <c r="C113" s="17">
        <v>111</v>
      </c>
      <c r="D113" s="17" t="s">
        <v>172</v>
      </c>
      <c r="E113" s="17" t="s">
        <v>48</v>
      </c>
      <c r="F113" s="17" t="s">
        <v>88</v>
      </c>
      <c r="G113" s="22">
        <v>18.334230769230764</v>
      </c>
      <c r="H113" s="22">
        <v>2.0507692307692307</v>
      </c>
      <c r="I113" s="22">
        <v>6.5474358974358973</v>
      </c>
      <c r="J113" s="22">
        <v>3.0555128205128206</v>
      </c>
      <c r="K113" s="22">
        <v>0.80025641025641026</v>
      </c>
      <c r="L113" s="22">
        <v>0.29102564102564099</v>
      </c>
      <c r="M113" s="22">
        <v>0.44222951162912427</v>
      </c>
      <c r="N113" s="22">
        <v>14.695641025641025</v>
      </c>
      <c r="O113" s="22">
        <v>0.77100568574952622</v>
      </c>
      <c r="P113" s="22">
        <v>4.2616666666666667</v>
      </c>
    </row>
    <row r="114" spans="1:16">
      <c r="A114" s="17">
        <f t="shared" si="1"/>
        <v>10</v>
      </c>
      <c r="B114" s="21">
        <v>5.5124033637530792</v>
      </c>
      <c r="C114" s="17">
        <v>112</v>
      </c>
      <c r="D114" s="17" t="s">
        <v>173</v>
      </c>
      <c r="E114" s="17" t="s">
        <v>22</v>
      </c>
      <c r="F114" s="17" t="s">
        <v>88</v>
      </c>
      <c r="G114" s="22">
        <v>7.7051428571428575</v>
      </c>
      <c r="H114" s="22">
        <v>0</v>
      </c>
      <c r="I114" s="22">
        <v>7.6711428571428577</v>
      </c>
      <c r="J114" s="22">
        <v>0.57799999999999996</v>
      </c>
      <c r="K114" s="22">
        <v>0.99828571428571422</v>
      </c>
      <c r="L114" s="22">
        <v>1.6288571428571428</v>
      </c>
      <c r="M114" s="22">
        <v>0.71501182033096933</v>
      </c>
      <c r="N114" s="22">
        <v>4.8342857142857136</v>
      </c>
      <c r="O114" s="22">
        <v>0.51200591060214262</v>
      </c>
      <c r="P114" s="22">
        <v>1.5468571428571429</v>
      </c>
    </row>
    <row r="115" spans="1:16">
      <c r="A115" s="17">
        <f t="shared" si="1"/>
        <v>10</v>
      </c>
      <c r="B115" s="21">
        <v>5.4650616905858538</v>
      </c>
      <c r="C115" s="17">
        <v>113</v>
      </c>
      <c r="D115" s="17" t="s">
        <v>174</v>
      </c>
      <c r="E115" s="17" t="s">
        <v>105</v>
      </c>
      <c r="F115" s="17" t="s">
        <v>115</v>
      </c>
      <c r="G115" s="22">
        <v>15.166973684210527</v>
      </c>
      <c r="H115" s="22">
        <v>2.8678947368421053</v>
      </c>
      <c r="I115" s="22">
        <v>5.4313157894736834</v>
      </c>
      <c r="J115" s="22">
        <v>1.7186842105263158</v>
      </c>
      <c r="K115" s="22">
        <v>0.89368421052631586</v>
      </c>
      <c r="L115" s="22">
        <v>0.27499999999999997</v>
      </c>
      <c r="M115" s="22">
        <v>0.41205715102786061</v>
      </c>
      <c r="N115" s="22">
        <v>11.962763157894736</v>
      </c>
      <c r="O115" s="22">
        <v>0.85000000000000009</v>
      </c>
      <c r="P115" s="22">
        <v>2.8710526315789471</v>
      </c>
    </row>
    <row r="116" spans="1:16">
      <c r="A116" s="17">
        <f t="shared" si="1"/>
        <v>10</v>
      </c>
      <c r="B116" s="21">
        <v>5.2947401305419444</v>
      </c>
      <c r="C116" s="17">
        <v>114</v>
      </c>
      <c r="D116" s="17" t="s">
        <v>175</v>
      </c>
      <c r="E116" s="17" t="s">
        <v>25</v>
      </c>
      <c r="F116" s="17" t="s">
        <v>70</v>
      </c>
      <c r="G116" s="22">
        <v>9.580277777777777</v>
      </c>
      <c r="H116" s="22">
        <v>1.0379166666666668</v>
      </c>
      <c r="I116" s="22">
        <v>6.785972222222223</v>
      </c>
      <c r="J116" s="22">
        <v>5.9691666666666663</v>
      </c>
      <c r="K116" s="22">
        <v>1.0681944444444444</v>
      </c>
      <c r="L116" s="22">
        <v>0.43986111111111115</v>
      </c>
      <c r="M116" s="22">
        <v>0.41585000154573848</v>
      </c>
      <c r="N116" s="22">
        <v>8.9852777777777764</v>
      </c>
      <c r="O116" s="22">
        <v>0.70003637024913612</v>
      </c>
      <c r="P116" s="22">
        <v>1.5275000000000001</v>
      </c>
    </row>
    <row r="117" spans="1:16">
      <c r="A117" s="17">
        <f t="shared" si="1"/>
        <v>10</v>
      </c>
      <c r="B117" s="21">
        <v>5.2207891952673986</v>
      </c>
      <c r="C117" s="17">
        <v>115</v>
      </c>
      <c r="D117" s="17" t="s">
        <v>176</v>
      </c>
      <c r="E117" s="17" t="s">
        <v>105</v>
      </c>
      <c r="F117" s="17" t="s">
        <v>23</v>
      </c>
      <c r="G117" s="22">
        <v>15.113880597014923</v>
      </c>
      <c r="H117" s="22">
        <v>2.1456716417910449</v>
      </c>
      <c r="I117" s="22">
        <v>4.3559701492537313</v>
      </c>
      <c r="J117" s="22">
        <v>3.7434328358208955</v>
      </c>
      <c r="K117" s="22">
        <v>0.95283582089552243</v>
      </c>
      <c r="L117" s="22">
        <v>0.40835820895522384</v>
      </c>
      <c r="M117" s="22">
        <v>0.43180578933643105</v>
      </c>
      <c r="N117" s="22">
        <v>12.59134328358209</v>
      </c>
      <c r="O117" s="22">
        <v>0.79199593587717321</v>
      </c>
      <c r="P117" s="22">
        <v>2.6441791044776117</v>
      </c>
    </row>
    <row r="118" spans="1:16">
      <c r="A118" s="17">
        <f t="shared" si="1"/>
        <v>10</v>
      </c>
      <c r="B118" s="21">
        <v>4.9376373838134562</v>
      </c>
      <c r="C118" s="17">
        <v>116</v>
      </c>
      <c r="D118" s="17" t="s">
        <v>177</v>
      </c>
      <c r="E118" s="17" t="s">
        <v>63</v>
      </c>
      <c r="F118" s="17" t="s">
        <v>70</v>
      </c>
      <c r="G118" s="22">
        <v>9.009607843137255</v>
      </c>
      <c r="H118" s="22">
        <v>0</v>
      </c>
      <c r="I118" s="22">
        <v>8.870392156862744</v>
      </c>
      <c r="J118" s="22">
        <v>0.7972549019607843</v>
      </c>
      <c r="K118" s="22">
        <v>0.6976470588235294</v>
      </c>
      <c r="L118" s="22">
        <v>1.196078431372549</v>
      </c>
      <c r="M118" s="22">
        <v>0.62298563397876328</v>
      </c>
      <c r="N118" s="22">
        <v>6.2784313725490195</v>
      </c>
      <c r="O118" s="22">
        <v>0.72699975978861398</v>
      </c>
      <c r="P118" s="22">
        <v>1.6325490196078432</v>
      </c>
    </row>
    <row r="119" spans="1:16">
      <c r="A119" s="17">
        <f t="shared" si="1"/>
        <v>10</v>
      </c>
      <c r="B119" s="21">
        <v>4.6824929159518112</v>
      </c>
      <c r="C119" s="17">
        <v>117</v>
      </c>
      <c r="D119" s="17" t="s">
        <v>178</v>
      </c>
      <c r="E119" s="17" t="s">
        <v>25</v>
      </c>
      <c r="F119" s="17" t="s">
        <v>77</v>
      </c>
      <c r="G119" s="22">
        <v>13.629014084507039</v>
      </c>
      <c r="H119" s="22">
        <v>2.8957746478873241</v>
      </c>
      <c r="I119" s="22">
        <v>2.8481690140845068</v>
      </c>
      <c r="J119" s="22">
        <v>6.0353521126760565</v>
      </c>
      <c r="K119" s="22">
        <v>0.81380281690140843</v>
      </c>
      <c r="L119" s="22">
        <v>0.13563380281690143</v>
      </c>
      <c r="M119" s="22">
        <v>0.3902678156767635</v>
      </c>
      <c r="N119" s="22">
        <v>10.917746478873239</v>
      </c>
      <c r="O119" s="22">
        <v>0.84401204042141487</v>
      </c>
      <c r="P119" s="22">
        <v>2.6202816901408448</v>
      </c>
    </row>
    <row r="120" spans="1:16">
      <c r="A120" s="17">
        <f t="shared" si="1"/>
        <v>10</v>
      </c>
      <c r="B120" s="21">
        <v>4.6777878573067682</v>
      </c>
      <c r="C120" s="17">
        <v>118</v>
      </c>
      <c r="D120" s="17" t="s">
        <v>179</v>
      </c>
      <c r="E120" s="17" t="s">
        <v>63</v>
      </c>
      <c r="F120" s="17" t="s">
        <v>118</v>
      </c>
      <c r="G120" s="22">
        <v>11.279054054054054</v>
      </c>
      <c r="H120" s="22">
        <v>0.43635135135135134</v>
      </c>
      <c r="I120" s="22">
        <v>6.9479729729729724</v>
      </c>
      <c r="J120" s="22">
        <v>2.5979729729729728</v>
      </c>
      <c r="K120" s="22">
        <v>0.78540540540540538</v>
      </c>
      <c r="L120" s="22">
        <v>1.5104054054054052</v>
      </c>
      <c r="M120" s="22">
        <v>0.49399247358955378</v>
      </c>
      <c r="N120" s="22">
        <v>8.941486486486486</v>
      </c>
      <c r="O120" s="22">
        <v>0.70199301029564554</v>
      </c>
      <c r="P120" s="22">
        <v>2.8613513513513515</v>
      </c>
    </row>
    <row r="121" spans="1:16">
      <c r="A121" s="17">
        <f t="shared" si="1"/>
        <v>10</v>
      </c>
      <c r="B121" s="21">
        <v>4.4491307493961756</v>
      </c>
      <c r="C121" s="17">
        <v>119</v>
      </c>
      <c r="D121" s="17" t="s">
        <v>180</v>
      </c>
      <c r="E121" s="17" t="s">
        <v>181</v>
      </c>
      <c r="F121" s="17" t="s">
        <v>67</v>
      </c>
      <c r="G121" s="22">
        <v>10.730909090909091</v>
      </c>
      <c r="H121" s="22">
        <v>2.4476623376623374</v>
      </c>
      <c r="I121" s="22">
        <v>3.6146753246753245</v>
      </c>
      <c r="J121" s="22">
        <v>4.6474025974025981</v>
      </c>
      <c r="K121" s="22">
        <v>0.80324675324675332</v>
      </c>
      <c r="L121" s="22">
        <v>0.17207792207792208</v>
      </c>
      <c r="M121" s="22">
        <v>0.47610538139487396</v>
      </c>
      <c r="N121" s="22">
        <v>7.63090909090909</v>
      </c>
      <c r="O121" s="22">
        <v>0.83299648973513452</v>
      </c>
      <c r="P121" s="22">
        <v>1.2209090909090909</v>
      </c>
    </row>
    <row r="122" spans="1:16">
      <c r="A122" s="17">
        <f t="shared" si="1"/>
        <v>11</v>
      </c>
      <c r="B122" s="21">
        <v>4.2178786749101</v>
      </c>
      <c r="C122" s="17">
        <v>120</v>
      </c>
      <c r="D122" s="17" t="s">
        <v>182</v>
      </c>
      <c r="E122" s="17" t="s">
        <v>22</v>
      </c>
      <c r="F122" s="17" t="s">
        <v>51</v>
      </c>
      <c r="G122" s="22">
        <v>9.8044285714285699</v>
      </c>
      <c r="H122" s="22">
        <v>0.13800000000000001</v>
      </c>
      <c r="I122" s="22">
        <v>6.4702857142857138</v>
      </c>
      <c r="J122" s="22">
        <v>1.7885714285714287</v>
      </c>
      <c r="K122" s="22">
        <v>0.89428571428571435</v>
      </c>
      <c r="L122" s="22">
        <v>0.84171428571428575</v>
      </c>
      <c r="M122" s="22">
        <v>0.65173058693925656</v>
      </c>
      <c r="N122" s="22">
        <v>5.5761428571428571</v>
      </c>
      <c r="O122" s="22">
        <v>0.76800256199103301</v>
      </c>
      <c r="P122" s="22">
        <v>3.1225714285714288</v>
      </c>
    </row>
    <row r="123" spans="1:16">
      <c r="A123" s="17">
        <f t="shared" si="1"/>
        <v>11</v>
      </c>
      <c r="B123" s="21">
        <v>4.1090996912719593</v>
      </c>
      <c r="C123" s="17">
        <v>121</v>
      </c>
      <c r="D123" s="17" t="s">
        <v>183</v>
      </c>
      <c r="E123" s="17" t="s">
        <v>22</v>
      </c>
      <c r="F123" s="17" t="s">
        <v>65</v>
      </c>
      <c r="G123" s="22">
        <v>9.7518840579710151</v>
      </c>
      <c r="H123" s="22">
        <v>0</v>
      </c>
      <c r="I123" s="22">
        <v>9.1</v>
      </c>
      <c r="J123" s="22">
        <v>3.3042028985507246</v>
      </c>
      <c r="K123" s="22">
        <v>0.65</v>
      </c>
      <c r="L123" s="22">
        <v>0.92086956521739127</v>
      </c>
      <c r="M123" s="22">
        <v>0.62700089928057545</v>
      </c>
      <c r="N123" s="22">
        <v>6.4463768115942033</v>
      </c>
      <c r="O123" s="22">
        <v>0.6469926925238898</v>
      </c>
      <c r="P123" s="22">
        <v>2.5782608695652174</v>
      </c>
    </row>
    <row r="124" spans="1:16">
      <c r="A124" s="17">
        <f t="shared" si="1"/>
        <v>11</v>
      </c>
      <c r="B124" s="21">
        <v>4.061212593866796</v>
      </c>
      <c r="C124" s="17">
        <v>122</v>
      </c>
      <c r="D124" s="17" t="s">
        <v>184</v>
      </c>
      <c r="E124" s="17" t="s">
        <v>25</v>
      </c>
      <c r="F124" s="17" t="s">
        <v>40</v>
      </c>
      <c r="G124" s="22">
        <v>19.63478873239437</v>
      </c>
      <c r="H124" s="22">
        <v>2.0871830985915492</v>
      </c>
      <c r="I124" s="22">
        <v>4.0425352112676052</v>
      </c>
      <c r="J124" s="22">
        <v>7.5074647887323938</v>
      </c>
      <c r="K124" s="22">
        <v>0.57746478873239437</v>
      </c>
      <c r="L124" s="22">
        <v>0.28873239436619719</v>
      </c>
      <c r="M124" s="22">
        <v>0.41577995621966307</v>
      </c>
      <c r="N124" s="22">
        <v>14.798591549295775</v>
      </c>
      <c r="O124" s="22">
        <v>0.77000744848133751</v>
      </c>
      <c r="P124" s="22">
        <v>6.8073239436619719</v>
      </c>
    </row>
    <row r="125" spans="1:16">
      <c r="A125" s="17">
        <f t="shared" si="1"/>
        <v>11</v>
      </c>
      <c r="B125" s="21">
        <v>3.9159760613884562</v>
      </c>
      <c r="C125" s="17">
        <v>123</v>
      </c>
      <c r="D125" s="17" t="s">
        <v>185</v>
      </c>
      <c r="E125" s="17" t="s">
        <v>105</v>
      </c>
      <c r="F125" s="17" t="s">
        <v>31</v>
      </c>
      <c r="G125" s="22">
        <v>9.9655263157894733</v>
      </c>
      <c r="H125" s="22">
        <v>1.6301315789473685</v>
      </c>
      <c r="I125" s="22">
        <v>5.4718421052631578</v>
      </c>
      <c r="J125" s="22">
        <v>2.06</v>
      </c>
      <c r="K125" s="22">
        <v>0.83684210526315794</v>
      </c>
      <c r="L125" s="22">
        <v>1.1586842105263158</v>
      </c>
      <c r="M125" s="22">
        <v>0.45873599869184867</v>
      </c>
      <c r="N125" s="22">
        <v>8.0467105263157883</v>
      </c>
      <c r="O125" s="22">
        <v>0.74001021972406744</v>
      </c>
      <c r="P125" s="22">
        <v>1.2874999999999999</v>
      </c>
    </row>
    <row r="126" spans="1:16">
      <c r="A126" s="17">
        <f t="shared" si="1"/>
        <v>11</v>
      </c>
      <c r="B126" s="21">
        <v>3.4715285263370292</v>
      </c>
      <c r="C126" s="17">
        <v>124</v>
      </c>
      <c r="D126" s="17" t="s">
        <v>186</v>
      </c>
      <c r="E126" s="17" t="s">
        <v>39</v>
      </c>
      <c r="F126" s="17" t="s">
        <v>67</v>
      </c>
      <c r="G126" s="22">
        <v>16.847012987012988</v>
      </c>
      <c r="H126" s="22">
        <v>2.6748051948051947</v>
      </c>
      <c r="I126" s="22">
        <v>3.8122077922077917</v>
      </c>
      <c r="J126" s="22">
        <v>2.4862337662337661</v>
      </c>
      <c r="K126" s="22">
        <v>0.88402597402597394</v>
      </c>
      <c r="L126" s="22">
        <v>0.11051948051948052</v>
      </c>
      <c r="M126" s="22">
        <v>0.42768410108042121</v>
      </c>
      <c r="N126" s="22">
        <v>14.364285714285717</v>
      </c>
      <c r="O126" s="22">
        <v>0.87500000000000011</v>
      </c>
      <c r="P126" s="22">
        <v>2.1548051948051947</v>
      </c>
    </row>
    <row r="127" spans="1:16">
      <c r="A127" s="17">
        <f t="shared" si="1"/>
        <v>11</v>
      </c>
      <c r="B127" s="21">
        <v>3.2907482102070342</v>
      </c>
      <c r="C127" s="17">
        <v>125</v>
      </c>
      <c r="D127" s="17" t="s">
        <v>187</v>
      </c>
      <c r="E127" s="17" t="s">
        <v>63</v>
      </c>
      <c r="F127" s="17" t="s">
        <v>40</v>
      </c>
      <c r="G127" s="22">
        <v>15.704999999999998</v>
      </c>
      <c r="H127" s="22">
        <v>0</v>
      </c>
      <c r="I127" s="22">
        <v>7.2734285714285711</v>
      </c>
      <c r="J127" s="22">
        <v>1.2578571428571428</v>
      </c>
      <c r="K127" s="22">
        <v>0.76557142857142857</v>
      </c>
      <c r="L127" s="22">
        <v>0.875</v>
      </c>
      <c r="M127" s="22">
        <v>0.62400057728387937</v>
      </c>
      <c r="N127" s="22">
        <v>9.8985714285714277</v>
      </c>
      <c r="O127" s="22">
        <v>0.69100494816211133</v>
      </c>
      <c r="P127" s="22">
        <v>4.8502857142857136</v>
      </c>
    </row>
    <row r="128" spans="1:16">
      <c r="A128" s="17">
        <f t="shared" si="1"/>
        <v>11</v>
      </c>
      <c r="B128" s="21">
        <v>3.2801283470614266</v>
      </c>
      <c r="C128" s="17">
        <v>126</v>
      </c>
      <c r="D128" s="17" t="s">
        <v>188</v>
      </c>
      <c r="E128" s="17" t="s">
        <v>45</v>
      </c>
      <c r="F128" s="17" t="s">
        <v>70</v>
      </c>
      <c r="G128" s="22">
        <v>10.817297297297298</v>
      </c>
      <c r="H128" s="22">
        <v>0.67878378378378379</v>
      </c>
      <c r="I128" s="22">
        <v>6.4935135135135136</v>
      </c>
      <c r="J128" s="22">
        <v>2.1644594594594593</v>
      </c>
      <c r="K128" s="22">
        <v>1.0529729729729731</v>
      </c>
      <c r="L128" s="22">
        <v>0.64351351351351349</v>
      </c>
      <c r="M128" s="22">
        <v>0.50003253513794899</v>
      </c>
      <c r="N128" s="22">
        <v>8.3070270270270274</v>
      </c>
      <c r="O128" s="22">
        <v>0.76002692545015993</v>
      </c>
      <c r="P128" s="22">
        <v>2.4090540540540544</v>
      </c>
    </row>
    <row r="129" spans="1:16">
      <c r="A129" s="17">
        <f t="shared" si="1"/>
        <v>11</v>
      </c>
      <c r="B129" s="21">
        <v>3.261577837182041</v>
      </c>
      <c r="C129" s="17">
        <v>127</v>
      </c>
      <c r="D129" s="17" t="s">
        <v>189</v>
      </c>
      <c r="E129" s="17" t="s">
        <v>28</v>
      </c>
      <c r="F129" s="17" t="s">
        <v>49</v>
      </c>
      <c r="G129" s="22">
        <v>14.952933333333334</v>
      </c>
      <c r="H129" s="22">
        <v>2.4514666666666667</v>
      </c>
      <c r="I129" s="22">
        <v>3.9001333333333341</v>
      </c>
      <c r="J129" s="22">
        <v>4.4756</v>
      </c>
      <c r="K129" s="22">
        <v>0.76719999999999999</v>
      </c>
      <c r="L129" s="22">
        <v>0.12786666666666666</v>
      </c>
      <c r="M129" s="22">
        <v>0.43061333101628091</v>
      </c>
      <c r="N129" s="22">
        <v>12.276133333333334</v>
      </c>
      <c r="O129" s="22">
        <v>0.82701652089407185</v>
      </c>
      <c r="P129" s="22">
        <v>2.3324000000000003</v>
      </c>
    </row>
    <row r="130" spans="1:16">
      <c r="A130" s="17">
        <f t="shared" si="1"/>
        <v>11</v>
      </c>
      <c r="B130" s="21">
        <v>3.2418593319228792</v>
      </c>
      <c r="C130" s="17">
        <v>128</v>
      </c>
      <c r="D130" s="17" t="s">
        <v>190</v>
      </c>
      <c r="E130" s="17" t="s">
        <v>33</v>
      </c>
      <c r="F130" s="17" t="s">
        <v>61</v>
      </c>
      <c r="G130" s="22">
        <v>15.777391304347825</v>
      </c>
      <c r="H130" s="22">
        <v>1.7289855072463767</v>
      </c>
      <c r="I130" s="22">
        <v>5.0666666666666673</v>
      </c>
      <c r="J130" s="22">
        <v>1.8</v>
      </c>
      <c r="K130" s="22">
        <v>0.73333333333333339</v>
      </c>
      <c r="L130" s="22">
        <v>0.4</v>
      </c>
      <c r="M130" s="22">
        <v>0.47125847224766437</v>
      </c>
      <c r="N130" s="22">
        <v>11.867391304347827</v>
      </c>
      <c r="O130" s="22">
        <v>0.8320067382606865</v>
      </c>
      <c r="P130" s="22">
        <v>3.4413043478260867</v>
      </c>
    </row>
    <row r="131" spans="1:16">
      <c r="A131" s="17">
        <f t="shared" si="1"/>
        <v>11</v>
      </c>
      <c r="B131" s="21">
        <v>3.1299266934678425</v>
      </c>
      <c r="C131" s="17">
        <v>129</v>
      </c>
      <c r="D131" s="17" t="s">
        <v>191</v>
      </c>
      <c r="E131" s="17" t="s">
        <v>25</v>
      </c>
      <c r="F131" s="17" t="s">
        <v>29</v>
      </c>
      <c r="G131" s="22">
        <v>17.293733333333332</v>
      </c>
      <c r="H131" s="22">
        <v>2.8054666666666668</v>
      </c>
      <c r="I131" s="22">
        <v>2.4913333333333338</v>
      </c>
      <c r="J131" s="22">
        <v>2.8969333333333336</v>
      </c>
      <c r="K131" s="22">
        <v>0.69520000000000004</v>
      </c>
      <c r="L131" s="22">
        <v>0.23173333333333332</v>
      </c>
      <c r="M131" s="22">
        <v>0.43727470826629733</v>
      </c>
      <c r="N131" s="22">
        <v>13.094133333333334</v>
      </c>
      <c r="O131" s="22">
        <v>0.85898547991702812</v>
      </c>
      <c r="P131" s="22">
        <v>3.535333333333333</v>
      </c>
    </row>
    <row r="132" spans="1:16">
      <c r="A132" s="17">
        <f t="shared" ref="A132:A195" si="2">_xlfn.FLOOR.MATH(C132/12)+1</f>
        <v>11</v>
      </c>
      <c r="B132" s="21">
        <v>2.4769659304692278</v>
      </c>
      <c r="C132" s="17">
        <v>130</v>
      </c>
      <c r="D132" s="17" t="s">
        <v>192</v>
      </c>
      <c r="E132" s="17" t="s">
        <v>22</v>
      </c>
      <c r="F132" s="17" t="s">
        <v>120</v>
      </c>
      <c r="G132" s="22">
        <v>12.366197183098592</v>
      </c>
      <c r="H132" s="22">
        <v>0.34211267605633799</v>
      </c>
      <c r="I132" s="22">
        <v>8.8930985915492951</v>
      </c>
      <c r="J132" s="22">
        <v>1.9507042253521127</v>
      </c>
      <c r="K132" s="22">
        <v>0.74591549295774651</v>
      </c>
      <c r="L132" s="22">
        <v>0.86056338028169022</v>
      </c>
      <c r="M132" s="22">
        <v>0.5038280374978904</v>
      </c>
      <c r="N132" s="22">
        <v>9.1798591549295772</v>
      </c>
      <c r="O132" s="22">
        <v>0.73700557572128866</v>
      </c>
      <c r="P132" s="22">
        <v>3.7638028169014088</v>
      </c>
    </row>
    <row r="133" spans="1:16">
      <c r="A133" s="17">
        <f t="shared" si="2"/>
        <v>11</v>
      </c>
      <c r="B133" s="21">
        <v>2.3922844146392879</v>
      </c>
      <c r="C133" s="17">
        <v>131</v>
      </c>
      <c r="D133" s="17" t="s">
        <v>193</v>
      </c>
      <c r="E133" s="17" t="s">
        <v>48</v>
      </c>
      <c r="F133" s="17" t="s">
        <v>31</v>
      </c>
      <c r="G133" s="22">
        <v>15.848985507246375</v>
      </c>
      <c r="H133" s="22">
        <v>2.9249275362318841</v>
      </c>
      <c r="I133" s="22">
        <v>4.1243478260869573</v>
      </c>
      <c r="J133" s="22">
        <v>2.2617391304347825</v>
      </c>
      <c r="K133" s="22">
        <v>0.79826086956521736</v>
      </c>
      <c r="L133" s="22">
        <v>0.19956521739130434</v>
      </c>
      <c r="M133" s="22">
        <v>0.43642978519454489</v>
      </c>
      <c r="N133" s="22">
        <v>13.304927536231883</v>
      </c>
      <c r="O133" s="22">
        <v>0.82098765432098764</v>
      </c>
      <c r="P133" s="22">
        <v>1.5965217391304347</v>
      </c>
    </row>
    <row r="134" spans="1:16">
      <c r="A134" s="17">
        <f t="shared" si="2"/>
        <v>12</v>
      </c>
      <c r="B134" s="21">
        <v>1.9615229512238006</v>
      </c>
      <c r="C134" s="17">
        <v>132</v>
      </c>
      <c r="D134" s="17" t="s">
        <v>194</v>
      </c>
      <c r="E134" s="17" t="s">
        <v>33</v>
      </c>
      <c r="F134" s="17" t="s">
        <v>51</v>
      </c>
      <c r="G134" s="22">
        <v>11.192857142857143</v>
      </c>
      <c r="H134" s="22">
        <v>2.2597402597402598</v>
      </c>
      <c r="I134" s="22">
        <v>5.7233766233766241</v>
      </c>
      <c r="J134" s="22">
        <v>1.8853246753246751</v>
      </c>
      <c r="K134" s="22">
        <v>0.80805194805194802</v>
      </c>
      <c r="L134" s="22">
        <v>0.40402597402597401</v>
      </c>
      <c r="M134" s="22">
        <v>0.47348586011454347</v>
      </c>
      <c r="N134" s="22">
        <v>8.7529870129870133</v>
      </c>
      <c r="O134" s="22">
        <v>0.7360534124629079</v>
      </c>
      <c r="P134" s="22">
        <v>0.87532467532467539</v>
      </c>
    </row>
    <row r="135" spans="1:16">
      <c r="A135" s="17">
        <f t="shared" si="2"/>
        <v>12</v>
      </c>
      <c r="B135" s="21">
        <v>1.5482770428049095</v>
      </c>
      <c r="C135" s="17">
        <v>133</v>
      </c>
      <c r="D135" s="17" t="s">
        <v>195</v>
      </c>
      <c r="E135" s="17" t="s">
        <v>48</v>
      </c>
      <c r="F135" s="17" t="s">
        <v>84</v>
      </c>
      <c r="G135" s="22">
        <v>17.503552631578948</v>
      </c>
      <c r="H135" s="22">
        <v>2.0015789473684209</v>
      </c>
      <c r="I135" s="22">
        <v>2.9269736842105263</v>
      </c>
      <c r="J135" s="22">
        <v>2.1951315789473687</v>
      </c>
      <c r="K135" s="22">
        <v>1.1307894736842106</v>
      </c>
      <c r="L135" s="22">
        <v>0.39907894736842103</v>
      </c>
      <c r="M135" s="22">
        <v>0.42366527601426929</v>
      </c>
      <c r="N135" s="22">
        <v>15.233289473684211</v>
      </c>
      <c r="O135" s="22">
        <v>0.81099868377755835</v>
      </c>
      <c r="P135" s="22">
        <v>3.1989473684210528</v>
      </c>
    </row>
    <row r="136" spans="1:16">
      <c r="A136" s="17">
        <f t="shared" si="2"/>
        <v>12</v>
      </c>
      <c r="B136" s="21">
        <v>1.5366489720639582</v>
      </c>
      <c r="C136" s="17">
        <v>134</v>
      </c>
      <c r="D136" s="17" t="s">
        <v>196</v>
      </c>
      <c r="E136" s="17" t="s">
        <v>22</v>
      </c>
      <c r="F136" s="17" t="s">
        <v>100</v>
      </c>
      <c r="G136" s="22">
        <v>11.187183098591548</v>
      </c>
      <c r="H136" s="22">
        <v>0.30126760563380284</v>
      </c>
      <c r="I136" s="22">
        <v>6.3666197183098587</v>
      </c>
      <c r="J136" s="22">
        <v>2.1715492957746481</v>
      </c>
      <c r="K136" s="22">
        <v>0.78971830985915492</v>
      </c>
      <c r="L136" s="22">
        <v>0.98704225352112673</v>
      </c>
      <c r="M136" s="22">
        <v>0.51882564248904706</v>
      </c>
      <c r="N136" s="22">
        <v>8.3905633802816908</v>
      </c>
      <c r="O136" s="22">
        <v>0.7639972351140516</v>
      </c>
      <c r="P136" s="22">
        <v>2.8526760563380282</v>
      </c>
    </row>
    <row r="137" spans="1:16">
      <c r="A137" s="17">
        <f t="shared" si="2"/>
        <v>12</v>
      </c>
      <c r="B137" s="21">
        <v>1.4675720359392206</v>
      </c>
      <c r="C137" s="17">
        <v>135</v>
      </c>
      <c r="D137" s="17" t="s">
        <v>197</v>
      </c>
      <c r="E137" s="17" t="s">
        <v>45</v>
      </c>
      <c r="F137" s="17" t="s">
        <v>120</v>
      </c>
      <c r="G137" s="22">
        <v>9.5304166666666674</v>
      </c>
      <c r="H137" s="22">
        <v>1.2295833333333333</v>
      </c>
      <c r="I137" s="22">
        <v>4.5815277777777776</v>
      </c>
      <c r="J137" s="22">
        <v>2.3205555555555559</v>
      </c>
      <c r="K137" s="22">
        <v>1.2494444444444444</v>
      </c>
      <c r="L137" s="22">
        <v>0.77347222222222223</v>
      </c>
      <c r="M137" s="22">
        <v>0.43120140703847992</v>
      </c>
      <c r="N137" s="22">
        <v>8.449583333333333</v>
      </c>
      <c r="O137" s="22">
        <v>0.75002568581115792</v>
      </c>
      <c r="P137" s="22">
        <v>1.3518055555555555</v>
      </c>
    </row>
    <row r="138" spans="1:16">
      <c r="A138" s="17">
        <f t="shared" si="2"/>
        <v>12</v>
      </c>
      <c r="B138" s="21">
        <v>1.405100500015372</v>
      </c>
      <c r="C138" s="17">
        <v>136</v>
      </c>
      <c r="D138" s="17" t="s">
        <v>198</v>
      </c>
      <c r="E138" s="17" t="s">
        <v>25</v>
      </c>
      <c r="F138" s="17" t="s">
        <v>53</v>
      </c>
      <c r="G138" s="22">
        <v>15.624202898550724</v>
      </c>
      <c r="H138" s="22">
        <v>2.1047826086956518</v>
      </c>
      <c r="I138" s="22">
        <v>4.6182608695652174</v>
      </c>
      <c r="J138" s="22">
        <v>3.0788405797101448</v>
      </c>
      <c r="K138" s="22">
        <v>0.65130434782608693</v>
      </c>
      <c r="L138" s="22">
        <v>0.35521739130434787</v>
      </c>
      <c r="M138" s="22">
        <v>0.44618856738639806</v>
      </c>
      <c r="N138" s="22">
        <v>12.907391304347826</v>
      </c>
      <c r="O138" s="22">
        <v>0.81597919867627944</v>
      </c>
      <c r="P138" s="22">
        <v>2.4524637681159418</v>
      </c>
    </row>
    <row r="139" spans="1:16">
      <c r="A139" s="17">
        <f t="shared" si="2"/>
        <v>12</v>
      </c>
      <c r="B139" s="21">
        <v>1.2557408040115834</v>
      </c>
      <c r="C139" s="17">
        <v>137</v>
      </c>
      <c r="D139" s="17" t="s">
        <v>199</v>
      </c>
      <c r="E139" s="17" t="s">
        <v>48</v>
      </c>
      <c r="F139" s="17" t="s">
        <v>53</v>
      </c>
      <c r="G139" s="22">
        <v>13.497874999999999</v>
      </c>
      <c r="H139" s="22">
        <v>3.6452499999999999</v>
      </c>
      <c r="I139" s="22">
        <v>3.2911250000000001</v>
      </c>
      <c r="J139" s="22">
        <v>1.7721250000000002</v>
      </c>
      <c r="K139" s="22">
        <v>0.63287500000000008</v>
      </c>
      <c r="L139" s="22">
        <v>0.3165</v>
      </c>
      <c r="M139" s="22">
        <v>0.44934208902165057</v>
      </c>
      <c r="N139" s="22">
        <v>10.126749999999999</v>
      </c>
      <c r="O139" s="22">
        <v>0.8249897133452202</v>
      </c>
      <c r="P139" s="22">
        <v>0.91137499999999994</v>
      </c>
    </row>
    <row r="140" spans="1:16">
      <c r="A140" s="17">
        <f t="shared" si="2"/>
        <v>12</v>
      </c>
      <c r="B140" s="21">
        <v>1.2147023176030685</v>
      </c>
      <c r="C140" s="17">
        <v>138</v>
      </c>
      <c r="D140" s="17" t="s">
        <v>200</v>
      </c>
      <c r="E140" s="17" t="s">
        <v>28</v>
      </c>
      <c r="F140" s="17" t="s">
        <v>84</v>
      </c>
      <c r="G140" s="22">
        <v>9.7188732394366184</v>
      </c>
      <c r="H140" s="22">
        <v>1.8723943661971831</v>
      </c>
      <c r="I140" s="22">
        <v>3.3346478873239436</v>
      </c>
      <c r="J140" s="22">
        <v>2.7939436619718312</v>
      </c>
      <c r="K140" s="22">
        <v>1.2616901408450705</v>
      </c>
      <c r="L140" s="22">
        <v>0.49563380281690139</v>
      </c>
      <c r="M140" s="22">
        <v>0.41918255194916715</v>
      </c>
      <c r="N140" s="22">
        <v>8.2014084507042249</v>
      </c>
      <c r="O140" s="22">
        <v>0.7890097309673727</v>
      </c>
      <c r="P140" s="22">
        <v>1.2302816901408451</v>
      </c>
    </row>
    <row r="141" spans="1:16">
      <c r="A141" s="17">
        <f t="shared" si="2"/>
        <v>12</v>
      </c>
      <c r="B141" s="21">
        <v>1.0930771887051143</v>
      </c>
      <c r="C141" s="17">
        <v>139</v>
      </c>
      <c r="D141" s="17" t="s">
        <v>201</v>
      </c>
      <c r="E141" s="17" t="s">
        <v>33</v>
      </c>
      <c r="F141" s="17" t="s">
        <v>59</v>
      </c>
      <c r="G141" s="22">
        <v>10.133783783783786</v>
      </c>
      <c r="H141" s="22">
        <v>0.90527027027027018</v>
      </c>
      <c r="I141" s="22">
        <v>5.2520270270270268</v>
      </c>
      <c r="J141" s="22">
        <v>1.414054054054054</v>
      </c>
      <c r="K141" s="22">
        <v>1.1447297297297296</v>
      </c>
      <c r="L141" s="22">
        <v>0.74067567567567572</v>
      </c>
      <c r="M141" s="22">
        <v>0.4865024922272122</v>
      </c>
      <c r="N141" s="22">
        <v>8.2147297297297293</v>
      </c>
      <c r="O141" s="22">
        <v>0.75201513406810339</v>
      </c>
      <c r="P141" s="22">
        <v>1.642972972972973</v>
      </c>
    </row>
    <row r="142" spans="1:16">
      <c r="A142" s="17">
        <f t="shared" si="2"/>
        <v>12</v>
      </c>
      <c r="B142" s="21">
        <v>1.0586282357950765</v>
      </c>
      <c r="C142" s="17">
        <v>140</v>
      </c>
      <c r="D142" s="17" t="s">
        <v>202</v>
      </c>
      <c r="E142" s="17" t="s">
        <v>22</v>
      </c>
      <c r="F142" s="17" t="s">
        <v>120</v>
      </c>
      <c r="G142" s="22">
        <v>9.7120634920634927</v>
      </c>
      <c r="H142" s="22">
        <v>1.0455555555555556</v>
      </c>
      <c r="I142" s="22">
        <v>7.6755555555555564</v>
      </c>
      <c r="J142" s="22">
        <v>1.1155555555555556</v>
      </c>
      <c r="K142" s="22">
        <v>0.44619047619047619</v>
      </c>
      <c r="L142" s="22">
        <v>1.8296825396825396</v>
      </c>
      <c r="M142" s="22">
        <v>0.47036236131040204</v>
      </c>
      <c r="N142" s="22">
        <v>7.8541269841269834</v>
      </c>
      <c r="O142" s="22">
        <v>0.67797894736842113</v>
      </c>
      <c r="P142" s="22">
        <v>1.8849206349206349</v>
      </c>
    </row>
    <row r="143" spans="1:16">
      <c r="A143" s="17">
        <f t="shared" si="2"/>
        <v>12</v>
      </c>
      <c r="B143" s="21">
        <v>1</v>
      </c>
      <c r="C143" s="17">
        <v>141</v>
      </c>
      <c r="D143" s="17" t="s">
        <v>203</v>
      </c>
      <c r="E143" s="17" t="s">
        <v>25</v>
      </c>
      <c r="F143" s="17" t="s">
        <v>49</v>
      </c>
      <c r="G143" s="22">
        <v>13.520133333333334</v>
      </c>
      <c r="H143" s="22">
        <v>1.7910666666666668</v>
      </c>
      <c r="I143" s="22">
        <v>3.4030666666666667</v>
      </c>
      <c r="J143" s="22">
        <v>4.7644000000000002</v>
      </c>
      <c r="K143" s="22">
        <v>0.99</v>
      </c>
      <c r="L143" s="22">
        <v>0.30933333333333335</v>
      </c>
      <c r="M143" s="22">
        <v>0.42958218604094345</v>
      </c>
      <c r="N143" s="22">
        <v>11.137333333333332</v>
      </c>
      <c r="O143" s="22">
        <v>0.7460171286490469</v>
      </c>
      <c r="P143" s="22">
        <v>2.8957333333333333</v>
      </c>
    </row>
    <row r="144" spans="1:16">
      <c r="A144" s="17">
        <f t="shared" si="2"/>
        <v>12</v>
      </c>
      <c r="B144" s="21">
        <v>1</v>
      </c>
      <c r="C144" s="17">
        <v>142</v>
      </c>
      <c r="D144" s="17" t="s">
        <v>204</v>
      </c>
      <c r="E144" s="17" t="s">
        <v>22</v>
      </c>
      <c r="F144" s="17" t="s">
        <v>49</v>
      </c>
      <c r="G144" s="22">
        <v>10.376625000000001</v>
      </c>
      <c r="H144" s="22">
        <v>0</v>
      </c>
      <c r="I144" s="22">
        <v>8.0952500000000001</v>
      </c>
      <c r="J144" s="22">
        <v>1.4437500000000001</v>
      </c>
      <c r="K144" s="22">
        <v>0.360875</v>
      </c>
      <c r="L144" s="22">
        <v>0.97962500000000008</v>
      </c>
      <c r="M144" s="22">
        <v>0.65300097751710651</v>
      </c>
      <c r="N144" s="22">
        <v>6.3937499999999998</v>
      </c>
      <c r="O144" s="22">
        <v>0.77301988460254645</v>
      </c>
      <c r="P144" s="22">
        <v>2.621375</v>
      </c>
    </row>
    <row r="145" spans="1:16">
      <c r="A145" s="17">
        <f t="shared" si="2"/>
        <v>12</v>
      </c>
      <c r="B145" s="21">
        <v>1</v>
      </c>
      <c r="C145" s="17">
        <v>143</v>
      </c>
      <c r="D145" s="17" t="s">
        <v>205</v>
      </c>
      <c r="E145" s="17" t="s">
        <v>28</v>
      </c>
      <c r="F145" s="17" t="s">
        <v>42</v>
      </c>
      <c r="G145" s="22">
        <v>13.827027027027025</v>
      </c>
      <c r="H145" s="22">
        <v>1.194864864864865</v>
      </c>
      <c r="I145" s="22">
        <v>3.0510810810810809</v>
      </c>
      <c r="J145" s="22">
        <v>4.51554054054054</v>
      </c>
      <c r="K145" s="22">
        <v>0.79324324324324325</v>
      </c>
      <c r="L145" s="22">
        <v>0.18310810810810813</v>
      </c>
      <c r="M145" s="22">
        <v>0.44962910926691041</v>
      </c>
      <c r="N145" s="22">
        <v>11.349594594594594</v>
      </c>
      <c r="O145" s="22">
        <v>0.85497928275467927</v>
      </c>
      <c r="P145" s="22">
        <v>2.8374324324324323</v>
      </c>
    </row>
    <row r="146" spans="1:16">
      <c r="A146" s="17">
        <f t="shared" si="2"/>
        <v>13</v>
      </c>
      <c r="B146" s="21">
        <v>1</v>
      </c>
      <c r="C146" s="17">
        <v>144</v>
      </c>
      <c r="D146" s="17" t="s">
        <v>206</v>
      </c>
      <c r="E146" s="17" t="s">
        <v>48</v>
      </c>
      <c r="F146" s="17" t="s">
        <v>51</v>
      </c>
      <c r="G146" s="22">
        <v>18.460389610389612</v>
      </c>
      <c r="H146" s="22">
        <v>3.265974025974026</v>
      </c>
      <c r="I146" s="22">
        <v>3.6002597402597405</v>
      </c>
      <c r="J146" s="22">
        <v>2.0136363636363637</v>
      </c>
      <c r="K146" s="22">
        <v>0.42714285714285716</v>
      </c>
      <c r="L146" s="22">
        <v>0.12207792207792208</v>
      </c>
      <c r="M146" s="22">
        <v>0.44647805690894926</v>
      </c>
      <c r="N146" s="22">
        <v>14.340519480519481</v>
      </c>
      <c r="O146" s="22">
        <v>0.83299370556536689</v>
      </c>
      <c r="P146" s="22">
        <v>2.8679220779220782</v>
      </c>
    </row>
    <row r="147" spans="1:16">
      <c r="A147" s="17">
        <f t="shared" si="2"/>
        <v>13</v>
      </c>
      <c r="B147" s="21">
        <v>1</v>
      </c>
      <c r="C147" s="17">
        <v>145</v>
      </c>
      <c r="D147" s="17" t="s">
        <v>207</v>
      </c>
      <c r="E147" s="17" t="s">
        <v>33</v>
      </c>
      <c r="F147" s="17" t="s">
        <v>108</v>
      </c>
      <c r="G147" s="22">
        <v>16.903116883116883</v>
      </c>
      <c r="H147" s="22">
        <v>1.107012987012987</v>
      </c>
      <c r="I147" s="22">
        <v>6.4640259740259731</v>
      </c>
      <c r="J147" s="22">
        <v>2.2219480519480519</v>
      </c>
      <c r="K147" s="22">
        <v>0.60597402597402594</v>
      </c>
      <c r="L147" s="22">
        <v>0.33662337662337666</v>
      </c>
      <c r="M147" s="22">
        <v>0.49869340688968627</v>
      </c>
      <c r="N147" s="22">
        <v>12.523896103896103</v>
      </c>
      <c r="O147" s="22">
        <v>0.73301264510182329</v>
      </c>
      <c r="P147" s="22">
        <v>4.5087012987012987</v>
      </c>
    </row>
    <row r="148" spans="1:16">
      <c r="A148" s="17">
        <f t="shared" si="2"/>
        <v>13</v>
      </c>
      <c r="B148" s="21">
        <v>1</v>
      </c>
      <c r="C148" s="17">
        <v>146</v>
      </c>
      <c r="D148" s="17" t="s">
        <v>208</v>
      </c>
      <c r="E148" s="17" t="s">
        <v>33</v>
      </c>
      <c r="F148" s="17" t="s">
        <v>40</v>
      </c>
      <c r="G148" s="22">
        <v>12.802727272727273</v>
      </c>
      <c r="H148" s="22">
        <v>1.9209090909090909</v>
      </c>
      <c r="I148" s="22">
        <v>5.9412987012987015</v>
      </c>
      <c r="J148" s="22">
        <v>2.2662337662337664</v>
      </c>
      <c r="K148" s="22">
        <v>0.55129870129870129</v>
      </c>
      <c r="L148" s="22">
        <v>0.55129870129870129</v>
      </c>
      <c r="M148" s="22">
        <v>0.43978967753005921</v>
      </c>
      <c r="N148" s="22">
        <v>10.595974025974026</v>
      </c>
      <c r="O148" s="22">
        <v>0.73697757078073289</v>
      </c>
      <c r="P148" s="22">
        <v>2.1192207792207793</v>
      </c>
    </row>
    <row r="149" spans="1:16">
      <c r="A149" s="17">
        <f t="shared" si="2"/>
        <v>13</v>
      </c>
      <c r="B149" s="21">
        <v>1</v>
      </c>
      <c r="C149" s="17">
        <v>147</v>
      </c>
      <c r="D149" s="17" t="s">
        <v>209</v>
      </c>
      <c r="E149" s="17" t="s">
        <v>25</v>
      </c>
      <c r="F149" s="17" t="s">
        <v>46</v>
      </c>
      <c r="G149" s="22">
        <v>10.053114754098361</v>
      </c>
      <c r="H149" s="22">
        <v>1.7834426229508198</v>
      </c>
      <c r="I149" s="22">
        <v>5.8022950819672126</v>
      </c>
      <c r="J149" s="22">
        <v>2.929344262295082</v>
      </c>
      <c r="K149" s="22">
        <v>0.9577049180327869</v>
      </c>
      <c r="L149" s="22">
        <v>0.22540983606557377</v>
      </c>
      <c r="M149" s="22">
        <v>0.42963260773840306</v>
      </c>
      <c r="N149" s="22">
        <v>8.5627868852459006</v>
      </c>
      <c r="O149" s="22">
        <v>0.71001914486279527</v>
      </c>
      <c r="P149" s="22">
        <v>1.2844262295081967</v>
      </c>
    </row>
    <row r="150" spans="1:16">
      <c r="A150" s="17">
        <f t="shared" si="2"/>
        <v>13</v>
      </c>
      <c r="B150" s="21">
        <v>1</v>
      </c>
      <c r="C150" s="17">
        <v>148</v>
      </c>
      <c r="D150" s="17" t="s">
        <v>210</v>
      </c>
      <c r="E150" s="17" t="s">
        <v>48</v>
      </c>
      <c r="F150" s="17" t="s">
        <v>26</v>
      </c>
      <c r="G150" s="22">
        <v>11.395063291139241</v>
      </c>
      <c r="H150" s="22">
        <v>2.3665822784810127</v>
      </c>
      <c r="I150" s="22">
        <v>3.6812658227848098</v>
      </c>
      <c r="J150" s="22">
        <v>2.002025316455696</v>
      </c>
      <c r="K150" s="22">
        <v>0.71037974683544303</v>
      </c>
      <c r="L150" s="22">
        <v>0.19379746835443037</v>
      </c>
      <c r="M150" s="22">
        <v>0.4822794623136894</v>
      </c>
      <c r="N150" s="22">
        <v>8.6540506329113924</v>
      </c>
      <c r="O150" s="22">
        <v>0.78704109989761595</v>
      </c>
      <c r="P150" s="22">
        <v>0.86544303797468358</v>
      </c>
    </row>
    <row r="151" spans="1:16">
      <c r="A151" s="17">
        <f t="shared" si="2"/>
        <v>13</v>
      </c>
      <c r="B151" s="21">
        <v>1</v>
      </c>
      <c r="C151" s="17">
        <v>149</v>
      </c>
      <c r="D151" s="17" t="s">
        <v>211</v>
      </c>
      <c r="E151" s="17" t="s">
        <v>28</v>
      </c>
      <c r="F151" s="17" t="s">
        <v>115</v>
      </c>
      <c r="G151" s="22">
        <v>8.4395945945945936</v>
      </c>
      <c r="H151" s="22">
        <v>0.95783783783783782</v>
      </c>
      <c r="I151" s="22">
        <v>3.1198648648648648</v>
      </c>
      <c r="J151" s="22">
        <v>6.041621621621621</v>
      </c>
      <c r="K151" s="22">
        <v>1.1877027027027027</v>
      </c>
      <c r="L151" s="22">
        <v>0.38310810810810814</v>
      </c>
      <c r="M151" s="22">
        <v>0.39820097244732577</v>
      </c>
      <c r="N151" s="22">
        <v>8.3378378378378386</v>
      </c>
      <c r="O151" s="22">
        <v>0.82139559424877984</v>
      </c>
      <c r="P151" s="22">
        <v>1.0244594594594596</v>
      </c>
    </row>
    <row r="152" spans="1:16">
      <c r="A152" s="17">
        <f t="shared" si="2"/>
        <v>13</v>
      </c>
      <c r="B152" s="21">
        <v>1</v>
      </c>
      <c r="C152" s="17">
        <v>150</v>
      </c>
      <c r="D152" s="17" t="s">
        <v>212</v>
      </c>
      <c r="E152" s="17" t="s">
        <v>45</v>
      </c>
      <c r="F152" s="17" t="s">
        <v>118</v>
      </c>
      <c r="G152" s="22">
        <v>14.36681818181818</v>
      </c>
      <c r="H152" s="22">
        <v>2.627121212121212</v>
      </c>
      <c r="I152" s="22">
        <v>5.6583333333333332</v>
      </c>
      <c r="J152" s="22">
        <v>1.05</v>
      </c>
      <c r="K152" s="22">
        <v>0.58333333333333337</v>
      </c>
      <c r="L152" s="22">
        <v>0.35000000000000003</v>
      </c>
      <c r="M152" s="22">
        <v>0.45847086196634373</v>
      </c>
      <c r="N152" s="22">
        <v>11.200606060606061</v>
      </c>
      <c r="O152" s="22">
        <v>0.81998816267861674</v>
      </c>
      <c r="P152" s="22">
        <v>1.791969696969697</v>
      </c>
    </row>
    <row r="153" spans="1:16">
      <c r="A153" s="17">
        <f t="shared" si="2"/>
        <v>13</v>
      </c>
      <c r="B153" s="21">
        <v>1</v>
      </c>
      <c r="C153" s="17">
        <v>151</v>
      </c>
      <c r="D153" s="17" t="s">
        <v>213</v>
      </c>
      <c r="E153" s="17" t="s">
        <v>28</v>
      </c>
      <c r="F153" s="17" t="s">
        <v>88</v>
      </c>
      <c r="G153" s="22">
        <v>12.844666666666667</v>
      </c>
      <c r="H153" s="22">
        <v>0.84916666666666674</v>
      </c>
      <c r="I153" s="22">
        <v>2.5765000000000002</v>
      </c>
      <c r="J153" s="22">
        <v>3.8901666666666666</v>
      </c>
      <c r="K153" s="22">
        <v>0.85883333333333334</v>
      </c>
      <c r="L153" s="22">
        <v>0.35366666666666663</v>
      </c>
      <c r="M153" s="22">
        <v>0.47670797878899984</v>
      </c>
      <c r="N153" s="22">
        <v>10.812000000000001</v>
      </c>
      <c r="O153" s="22">
        <v>0.86699212058924291</v>
      </c>
      <c r="P153" s="22">
        <v>1.9460000000000002</v>
      </c>
    </row>
    <row r="154" spans="1:16">
      <c r="A154" s="17">
        <f t="shared" si="2"/>
        <v>13</v>
      </c>
      <c r="B154" s="21">
        <v>1</v>
      </c>
      <c r="C154" s="17">
        <v>152</v>
      </c>
      <c r="D154" s="17" t="s">
        <v>214</v>
      </c>
      <c r="E154" s="17" t="s">
        <v>25</v>
      </c>
      <c r="F154" s="17" t="s">
        <v>37</v>
      </c>
      <c r="G154" s="22">
        <v>11.716849315068494</v>
      </c>
      <c r="H154" s="22">
        <v>2.2563013698630137</v>
      </c>
      <c r="I154" s="22">
        <v>2.7143835616438352</v>
      </c>
      <c r="J154" s="22">
        <v>2.7143835616438357</v>
      </c>
      <c r="K154" s="22">
        <v>0.75753424657534241</v>
      </c>
      <c r="L154" s="22">
        <v>6.3150684931506856E-2</v>
      </c>
      <c r="M154" s="22">
        <v>0.46974391211291222</v>
      </c>
      <c r="N154" s="22">
        <v>9.1524657534246572</v>
      </c>
      <c r="O154" s="22">
        <v>0.8560544217687075</v>
      </c>
      <c r="P154" s="22">
        <v>1.0068493150684932</v>
      </c>
    </row>
    <row r="155" spans="1:16">
      <c r="A155" s="17">
        <f t="shared" si="2"/>
        <v>13</v>
      </c>
      <c r="B155" s="21">
        <v>1</v>
      </c>
      <c r="C155" s="17">
        <v>153</v>
      </c>
      <c r="D155" s="17" t="s">
        <v>215</v>
      </c>
      <c r="E155" s="17" t="s">
        <v>28</v>
      </c>
      <c r="F155" s="17" t="s">
        <v>75</v>
      </c>
      <c r="G155" s="22">
        <v>6.3631168831168834</v>
      </c>
      <c r="H155" s="22">
        <v>0.17155844155844158</v>
      </c>
      <c r="I155" s="22">
        <v>2.9163636363636365</v>
      </c>
      <c r="J155" s="22">
        <v>5.0815584415584416</v>
      </c>
      <c r="K155" s="22">
        <v>1.1488311688311688</v>
      </c>
      <c r="L155" s="22">
        <v>0.22090909090909092</v>
      </c>
      <c r="M155" s="22">
        <v>0.52276147479307755</v>
      </c>
      <c r="N155" s="22">
        <v>5.5231168831168826</v>
      </c>
      <c r="O155" s="22">
        <v>0.75499647307782736</v>
      </c>
      <c r="P155" s="22">
        <v>0.55233766233766235</v>
      </c>
    </row>
    <row r="156" spans="1:16">
      <c r="A156" s="17">
        <f t="shared" si="2"/>
        <v>13</v>
      </c>
      <c r="B156" s="21">
        <v>1</v>
      </c>
      <c r="C156" s="17">
        <v>154</v>
      </c>
      <c r="D156" s="17" t="s">
        <v>216</v>
      </c>
      <c r="E156" s="17" t="s">
        <v>45</v>
      </c>
      <c r="F156" s="17" t="s">
        <v>23</v>
      </c>
      <c r="G156" s="22">
        <v>12.443333333333333</v>
      </c>
      <c r="H156" s="22">
        <v>1.0702898550724638</v>
      </c>
      <c r="I156" s="22">
        <v>6.3298550724637677</v>
      </c>
      <c r="J156" s="22">
        <v>2.9411594202898552</v>
      </c>
      <c r="K156" s="22">
        <v>0.70333333333333337</v>
      </c>
      <c r="L156" s="22">
        <v>0.70333333333333337</v>
      </c>
      <c r="M156" s="22">
        <v>0.47462125559508789</v>
      </c>
      <c r="N156" s="22">
        <v>10.102028985507246</v>
      </c>
      <c r="O156" s="22">
        <v>0.65398512221041449</v>
      </c>
      <c r="P156" s="22">
        <v>2.7275362318840579</v>
      </c>
    </row>
    <row r="157" spans="1:16">
      <c r="A157" s="17">
        <f t="shared" si="2"/>
        <v>13</v>
      </c>
      <c r="B157" s="21">
        <v>1</v>
      </c>
      <c r="C157" s="17">
        <v>155</v>
      </c>
      <c r="D157" s="17" t="s">
        <v>217</v>
      </c>
      <c r="E157" s="17" t="s">
        <v>33</v>
      </c>
      <c r="F157" s="17" t="s">
        <v>65</v>
      </c>
      <c r="G157" s="22">
        <v>13.992236842105264</v>
      </c>
      <c r="H157" s="22">
        <v>1.4230263157894738</v>
      </c>
      <c r="I157" s="22">
        <v>5.25</v>
      </c>
      <c r="J157" s="22">
        <v>1.1667105263157895</v>
      </c>
      <c r="K157" s="22">
        <v>0.875</v>
      </c>
      <c r="L157" s="22">
        <v>0.58328947368421047</v>
      </c>
      <c r="M157" s="22">
        <v>0.45536350254048147</v>
      </c>
      <c r="N157" s="22">
        <v>11.083684210526318</v>
      </c>
      <c r="O157" s="22">
        <v>0.77001801211724252</v>
      </c>
      <c r="P157" s="22">
        <v>3.2142105263157896</v>
      </c>
    </row>
    <row r="158" spans="1:16">
      <c r="A158" s="17">
        <f t="shared" si="2"/>
        <v>14</v>
      </c>
      <c r="B158" s="21">
        <v>1</v>
      </c>
      <c r="C158" s="17">
        <v>156</v>
      </c>
      <c r="D158" s="17" t="s">
        <v>218</v>
      </c>
      <c r="E158" s="17" t="s">
        <v>45</v>
      </c>
      <c r="F158" s="17" t="s">
        <v>46</v>
      </c>
      <c r="G158" s="22">
        <v>11.39175</v>
      </c>
      <c r="H158" s="22">
        <v>0.99787499999999996</v>
      </c>
      <c r="I158" s="22">
        <v>7.2453750000000001</v>
      </c>
      <c r="J158" s="22">
        <v>1.1916249999999999</v>
      </c>
      <c r="K158" s="22">
        <v>0.81037499999999996</v>
      </c>
      <c r="L158" s="22">
        <v>0.42899999999999999</v>
      </c>
      <c r="M158" s="22">
        <v>0.49676142025489062</v>
      </c>
      <c r="N158" s="22">
        <v>9.5335000000000001</v>
      </c>
      <c r="O158" s="22">
        <v>0.7440242057488653</v>
      </c>
      <c r="P158" s="22">
        <v>1.2393750000000001</v>
      </c>
    </row>
    <row r="159" spans="1:16">
      <c r="A159" s="17">
        <f t="shared" si="2"/>
        <v>14</v>
      </c>
      <c r="B159" s="21">
        <v>1</v>
      </c>
      <c r="C159" s="17">
        <v>157</v>
      </c>
      <c r="D159" s="17" t="s">
        <v>219</v>
      </c>
      <c r="E159" s="17" t="s">
        <v>28</v>
      </c>
      <c r="F159" s="17" t="s">
        <v>118</v>
      </c>
      <c r="G159" s="22">
        <v>7.6573611111111104</v>
      </c>
      <c r="H159" s="22">
        <v>1.0859722222222221</v>
      </c>
      <c r="I159" s="22">
        <v>2.8270833333333334</v>
      </c>
      <c r="J159" s="22">
        <v>5.4625000000000004</v>
      </c>
      <c r="K159" s="22">
        <v>1.2458333333333333</v>
      </c>
      <c r="L159" s="22">
        <v>9.583333333333334E-2</v>
      </c>
      <c r="M159" s="22">
        <v>0.39036555472663326</v>
      </c>
      <c r="N159" s="22">
        <v>6.5159722222222216</v>
      </c>
      <c r="O159" s="22">
        <v>0.87597344044593828</v>
      </c>
      <c r="P159" s="22">
        <v>1.6943055555555555</v>
      </c>
    </row>
    <row r="160" spans="1:16">
      <c r="A160" s="17">
        <f t="shared" si="2"/>
        <v>14</v>
      </c>
      <c r="B160" s="21">
        <v>1</v>
      </c>
      <c r="C160" s="17">
        <v>158</v>
      </c>
      <c r="D160" s="17" t="s">
        <v>220</v>
      </c>
      <c r="E160" s="17" t="s">
        <v>33</v>
      </c>
      <c r="F160" s="17" t="s">
        <v>72</v>
      </c>
      <c r="G160" s="22">
        <v>10.145714285714286</v>
      </c>
      <c r="H160" s="22">
        <v>2.5367142857142855</v>
      </c>
      <c r="I160" s="22">
        <v>4.851</v>
      </c>
      <c r="J160" s="22">
        <v>2.1367142857142856</v>
      </c>
      <c r="K160" s="22">
        <v>0.86628571428571433</v>
      </c>
      <c r="L160" s="22">
        <v>0.57757142857142851</v>
      </c>
      <c r="M160" s="22">
        <v>0.40994838939313044</v>
      </c>
      <c r="N160" s="22">
        <v>8.0271428571428576</v>
      </c>
      <c r="O160" s="22">
        <v>0.7530360134003351</v>
      </c>
      <c r="P160" s="22">
        <v>1.3645714285714285</v>
      </c>
    </row>
    <row r="161" spans="1:16">
      <c r="A161" s="17">
        <f t="shared" si="2"/>
        <v>14</v>
      </c>
      <c r="B161" s="21">
        <v>1</v>
      </c>
      <c r="C161" s="17">
        <v>159</v>
      </c>
      <c r="D161" s="17" t="s">
        <v>221</v>
      </c>
      <c r="E161" s="17" t="s">
        <v>28</v>
      </c>
      <c r="F161" s="17" t="s">
        <v>120</v>
      </c>
      <c r="G161" s="22">
        <v>13.662533333333334</v>
      </c>
      <c r="H161" s="22">
        <v>1.2948</v>
      </c>
      <c r="I161" s="22">
        <v>4.4752000000000001</v>
      </c>
      <c r="J161" s="22">
        <v>3.8674666666666666</v>
      </c>
      <c r="K161" s="22">
        <v>0.60773333333333335</v>
      </c>
      <c r="L161" s="22">
        <v>0.38680000000000003</v>
      </c>
      <c r="M161" s="22">
        <v>0.42899007079157858</v>
      </c>
      <c r="N161" s="22">
        <v>11.602133333333333</v>
      </c>
      <c r="O161" s="22">
        <v>0.83199264536888062</v>
      </c>
      <c r="P161" s="22">
        <v>2.9006666666666669</v>
      </c>
    </row>
    <row r="162" spans="1:16">
      <c r="A162" s="17">
        <f t="shared" si="2"/>
        <v>14</v>
      </c>
      <c r="B162" s="21">
        <v>1</v>
      </c>
      <c r="C162" s="17">
        <v>160</v>
      </c>
      <c r="D162" s="17" t="s">
        <v>222</v>
      </c>
      <c r="E162" s="17" t="s">
        <v>33</v>
      </c>
      <c r="F162" s="17" t="s">
        <v>40</v>
      </c>
      <c r="G162" s="22">
        <v>14.3855223880597</v>
      </c>
      <c r="H162" s="22">
        <v>0.98044776119402977</v>
      </c>
      <c r="I162" s="22">
        <v>6.374328358208956</v>
      </c>
      <c r="J162" s="22">
        <v>2.0343283582089553</v>
      </c>
      <c r="K162" s="22">
        <v>0.8137313432835821</v>
      </c>
      <c r="L162" s="22">
        <v>0.13567164179104477</v>
      </c>
      <c r="M162" s="22">
        <v>0.47095370451887159</v>
      </c>
      <c r="N162" s="22">
        <v>11.867313432835822</v>
      </c>
      <c r="O162" s="22">
        <v>0.78199350172937854</v>
      </c>
      <c r="P162" s="22">
        <v>2.8480597014925371</v>
      </c>
    </row>
    <row r="163" spans="1:16">
      <c r="A163" s="17">
        <f t="shared" si="2"/>
        <v>14</v>
      </c>
      <c r="B163" s="21">
        <v>1</v>
      </c>
      <c r="C163" s="17">
        <v>161</v>
      </c>
      <c r="D163" s="17" t="s">
        <v>223</v>
      </c>
      <c r="E163" s="17" t="s">
        <v>45</v>
      </c>
      <c r="F163" s="17" t="s">
        <v>26</v>
      </c>
      <c r="G163" s="22">
        <v>10.717272727272729</v>
      </c>
      <c r="H163" s="22">
        <v>0.8545454545454545</v>
      </c>
      <c r="I163" s="22">
        <v>5.2</v>
      </c>
      <c r="J163" s="22">
        <v>1.9499999999999997</v>
      </c>
      <c r="K163" s="22">
        <v>0.54166666666666663</v>
      </c>
      <c r="L163" s="22">
        <v>1.1374242424242422</v>
      </c>
      <c r="M163" s="22">
        <v>0.47544646664506118</v>
      </c>
      <c r="N163" s="22">
        <v>8.8828787878787878</v>
      </c>
      <c r="O163" s="22">
        <v>0.83895870736086164</v>
      </c>
      <c r="P163" s="22">
        <v>1.687878787878788</v>
      </c>
    </row>
    <row r="164" spans="1:16">
      <c r="A164" s="17">
        <f t="shared" si="2"/>
        <v>14</v>
      </c>
      <c r="B164" s="21">
        <v>1</v>
      </c>
      <c r="C164" s="17">
        <v>162</v>
      </c>
      <c r="D164" s="17" t="s">
        <v>224</v>
      </c>
      <c r="E164" s="17" t="s">
        <v>39</v>
      </c>
      <c r="F164" s="17" t="s">
        <v>53</v>
      </c>
      <c r="G164" s="22">
        <v>14.6</v>
      </c>
      <c r="H164" s="22">
        <v>1.7402564102564104</v>
      </c>
      <c r="I164" s="22">
        <v>3.8751282051282052</v>
      </c>
      <c r="J164" s="22">
        <v>3.1848717948717948</v>
      </c>
      <c r="K164" s="22">
        <v>1.0615384615384615</v>
      </c>
      <c r="L164" s="22">
        <v>0.26538461538461539</v>
      </c>
      <c r="M164" s="22">
        <v>0.41810441865700659</v>
      </c>
      <c r="N164" s="22">
        <v>12.528461538461539</v>
      </c>
      <c r="O164" s="22">
        <v>0.76101195349598827</v>
      </c>
      <c r="P164" s="22">
        <v>3.1317948717948716</v>
      </c>
    </row>
    <row r="165" spans="1:16">
      <c r="A165" s="17">
        <f t="shared" si="2"/>
        <v>14</v>
      </c>
      <c r="B165" s="21">
        <v>1</v>
      </c>
      <c r="C165" s="17">
        <v>163</v>
      </c>
      <c r="D165" s="17" t="s">
        <v>225</v>
      </c>
      <c r="E165" s="17" t="s">
        <v>48</v>
      </c>
      <c r="F165" s="17" t="s">
        <v>57</v>
      </c>
      <c r="G165" s="22">
        <v>16.478243243243242</v>
      </c>
      <c r="H165" s="22">
        <v>3.0377027027027026</v>
      </c>
      <c r="I165" s="22">
        <v>2.7395945945945943</v>
      </c>
      <c r="J165" s="22">
        <v>1.369864864864865</v>
      </c>
      <c r="K165" s="22">
        <v>1.0436486486486487</v>
      </c>
      <c r="L165" s="22">
        <v>0.19567567567567568</v>
      </c>
      <c r="M165" s="22">
        <v>0.40880242565773367</v>
      </c>
      <c r="N165" s="22">
        <v>14.351081081081082</v>
      </c>
      <c r="O165" s="22">
        <v>0.7930190219097244</v>
      </c>
      <c r="P165" s="22">
        <v>2.1525675675675675</v>
      </c>
    </row>
    <row r="166" spans="1:16">
      <c r="A166" s="17">
        <f t="shared" si="2"/>
        <v>14</v>
      </c>
      <c r="B166" s="21">
        <v>1</v>
      </c>
      <c r="C166" s="17">
        <v>164</v>
      </c>
      <c r="D166" s="17" t="s">
        <v>226</v>
      </c>
      <c r="E166" s="17" t="s">
        <v>28</v>
      </c>
      <c r="F166" s="17" t="s">
        <v>23</v>
      </c>
      <c r="G166" s="22">
        <v>12.605416666666667</v>
      </c>
      <c r="H166" s="22">
        <v>1.2588888888888889</v>
      </c>
      <c r="I166" s="22">
        <v>2.4749999999999996</v>
      </c>
      <c r="J166" s="22">
        <v>3.7743055555555554</v>
      </c>
      <c r="K166" s="22">
        <v>0.86624999999999996</v>
      </c>
      <c r="L166" s="22">
        <v>0.30944444444444447</v>
      </c>
      <c r="M166" s="22">
        <v>0.48296937326752759</v>
      </c>
      <c r="N166" s="22">
        <v>10.271527777777777</v>
      </c>
      <c r="O166" s="22">
        <v>0.8160197263760739</v>
      </c>
      <c r="P166" s="22">
        <v>1.7461111111111112</v>
      </c>
    </row>
    <row r="167" spans="1:16">
      <c r="A167" s="17">
        <f t="shared" si="2"/>
        <v>14</v>
      </c>
      <c r="B167" s="21">
        <v>1</v>
      </c>
      <c r="C167" s="17">
        <v>165</v>
      </c>
      <c r="D167" s="17" t="s">
        <v>227</v>
      </c>
      <c r="E167" s="17" t="s">
        <v>63</v>
      </c>
      <c r="F167" s="17" t="s">
        <v>49</v>
      </c>
      <c r="G167" s="22">
        <v>11.211774193548386</v>
      </c>
      <c r="H167" s="22">
        <v>1.0458064516129033</v>
      </c>
      <c r="I167" s="22">
        <v>6.6412903225806454</v>
      </c>
      <c r="J167" s="22">
        <v>1.8025806451612905</v>
      </c>
      <c r="K167" s="22">
        <v>0.23725806451612905</v>
      </c>
      <c r="L167" s="22">
        <v>0.99612903225806448</v>
      </c>
      <c r="M167" s="22">
        <v>0.49998247335950646</v>
      </c>
      <c r="N167" s="22">
        <v>9.202580645161289</v>
      </c>
      <c r="O167" s="22">
        <v>0.74799699549323995</v>
      </c>
      <c r="P167" s="22">
        <v>1.2883870967741935</v>
      </c>
    </row>
    <row r="168" spans="1:16">
      <c r="A168" s="17">
        <f t="shared" si="2"/>
        <v>14</v>
      </c>
      <c r="B168" s="21">
        <v>1</v>
      </c>
      <c r="C168" s="17">
        <v>166</v>
      </c>
      <c r="D168" s="17" t="s">
        <v>228</v>
      </c>
      <c r="E168" s="17" t="s">
        <v>33</v>
      </c>
      <c r="F168" s="17" t="s">
        <v>49</v>
      </c>
      <c r="G168" s="22">
        <v>14.723142857142856</v>
      </c>
      <c r="H168" s="22">
        <v>2.375</v>
      </c>
      <c r="I168" s="22">
        <v>4.5457142857142854</v>
      </c>
      <c r="J168" s="22">
        <v>1.1364285714285713</v>
      </c>
      <c r="K168" s="22">
        <v>0.65800000000000003</v>
      </c>
      <c r="L168" s="22">
        <v>0.35885714285714287</v>
      </c>
      <c r="M168" s="22">
        <v>0.45065862366120896</v>
      </c>
      <c r="N168" s="22">
        <v>11.604285714285714</v>
      </c>
      <c r="O168" s="22">
        <v>0.81397353031702058</v>
      </c>
      <c r="P168" s="22">
        <v>2.3207142857142857</v>
      </c>
    </row>
    <row r="169" spans="1:16">
      <c r="A169" s="17">
        <f t="shared" si="2"/>
        <v>14</v>
      </c>
      <c r="B169" s="21">
        <v>1</v>
      </c>
      <c r="C169" s="17">
        <v>167</v>
      </c>
      <c r="D169" s="17" t="s">
        <v>229</v>
      </c>
      <c r="E169" s="17" t="s">
        <v>48</v>
      </c>
      <c r="F169" s="17" t="s">
        <v>70</v>
      </c>
      <c r="G169" s="22">
        <v>16.359436619718309</v>
      </c>
      <c r="H169" s="22">
        <v>2.3845070422535213</v>
      </c>
      <c r="I169" s="22">
        <v>3.8826760563380285</v>
      </c>
      <c r="J169" s="22">
        <v>1.6639436619718311</v>
      </c>
      <c r="K169" s="22">
        <v>1.2480281690140844</v>
      </c>
      <c r="L169" s="22">
        <v>0.34661971830985916</v>
      </c>
      <c r="M169" s="22">
        <v>0.40333770098830896</v>
      </c>
      <c r="N169" s="22">
        <v>13.866338028169015</v>
      </c>
      <c r="O169" s="22">
        <v>0.7450154239711082</v>
      </c>
      <c r="P169" s="22">
        <v>3.7439436619718309</v>
      </c>
    </row>
    <row r="170" spans="1:16">
      <c r="A170" s="17">
        <f t="shared" si="2"/>
        <v>15</v>
      </c>
      <c r="B170" s="21">
        <v>1</v>
      </c>
      <c r="C170" s="17">
        <v>168</v>
      </c>
      <c r="D170" s="17" t="s">
        <v>230</v>
      </c>
      <c r="E170" s="17" t="s">
        <v>28</v>
      </c>
      <c r="F170" s="17" t="s">
        <v>57</v>
      </c>
      <c r="G170" s="22">
        <v>12.213870967741936</v>
      </c>
      <c r="H170" s="22">
        <v>1.714032258064516</v>
      </c>
      <c r="I170" s="22">
        <v>3.4466129032258066</v>
      </c>
      <c r="J170" s="22">
        <v>4.2672580645161293</v>
      </c>
      <c r="K170" s="22">
        <v>0.71112903225806456</v>
      </c>
      <c r="L170" s="22">
        <v>0.16419354838709677</v>
      </c>
      <c r="M170" s="22">
        <v>0.43318106715910204</v>
      </c>
      <c r="N170" s="22">
        <v>9.9570967741935466</v>
      </c>
      <c r="O170" s="22">
        <v>0.81801535319388685</v>
      </c>
      <c r="P170" s="22">
        <v>2.290161290322581</v>
      </c>
    </row>
    <row r="171" spans="1:16">
      <c r="A171" s="17">
        <f t="shared" si="2"/>
        <v>15</v>
      </c>
      <c r="B171" s="21">
        <v>1</v>
      </c>
      <c r="C171" s="17">
        <v>169</v>
      </c>
      <c r="D171" s="17" t="s">
        <v>231</v>
      </c>
      <c r="E171" s="17" t="s">
        <v>28</v>
      </c>
      <c r="F171" s="17" t="s">
        <v>120</v>
      </c>
      <c r="G171" s="22">
        <v>13.601860465116278</v>
      </c>
      <c r="H171" s="22">
        <v>0.56837209302325586</v>
      </c>
      <c r="I171" s="22">
        <v>3.2725581395348837</v>
      </c>
      <c r="J171" s="22">
        <v>5.354883720930232</v>
      </c>
      <c r="K171" s="22">
        <v>1.19</v>
      </c>
      <c r="L171" s="22">
        <v>0.1786046511627907</v>
      </c>
      <c r="M171" s="22">
        <v>0.44755895546001084</v>
      </c>
      <c r="N171" s="22">
        <v>12.494651162790698</v>
      </c>
      <c r="O171" s="22">
        <v>0.73999627768471987</v>
      </c>
      <c r="P171" s="22">
        <v>2.4990697674418603</v>
      </c>
    </row>
    <row r="172" spans="1:16">
      <c r="A172" s="17">
        <f t="shared" si="2"/>
        <v>15</v>
      </c>
      <c r="B172" s="21">
        <v>1</v>
      </c>
      <c r="C172" s="17">
        <v>170</v>
      </c>
      <c r="D172" s="17" t="s">
        <v>232</v>
      </c>
      <c r="E172" s="17" t="s">
        <v>105</v>
      </c>
      <c r="F172" s="17" t="s">
        <v>29</v>
      </c>
      <c r="G172" s="22">
        <v>10.453898305084747</v>
      </c>
      <c r="H172" s="22">
        <v>1.5538983050847459</v>
      </c>
      <c r="I172" s="22">
        <v>4.5320338983050847</v>
      </c>
      <c r="J172" s="22">
        <v>2.1115254237288137</v>
      </c>
      <c r="K172" s="22">
        <v>0.87542372881355934</v>
      </c>
      <c r="L172" s="22">
        <v>0.30898305084745764</v>
      </c>
      <c r="M172" s="22">
        <v>0.44025231154991379</v>
      </c>
      <c r="N172" s="22">
        <v>8.6522033898305093</v>
      </c>
      <c r="O172" s="22">
        <v>0.82303003918154127</v>
      </c>
      <c r="P172" s="22">
        <v>1.5572881355932202</v>
      </c>
    </row>
    <row r="173" spans="1:16">
      <c r="A173" s="17">
        <f t="shared" si="2"/>
        <v>15</v>
      </c>
      <c r="B173" s="21">
        <v>1</v>
      </c>
      <c r="C173" s="17">
        <v>171</v>
      </c>
      <c r="D173" s="17" t="s">
        <v>233</v>
      </c>
      <c r="E173" s="17" t="s">
        <v>28</v>
      </c>
      <c r="F173" s="17" t="s">
        <v>23</v>
      </c>
      <c r="G173" s="22">
        <v>6.4101315789473681</v>
      </c>
      <c r="H173" s="22">
        <v>1.2118421052631578</v>
      </c>
      <c r="I173" s="22">
        <v>2.4255263157894738</v>
      </c>
      <c r="J173" s="22">
        <v>3.9599999999999995</v>
      </c>
      <c r="K173" s="22">
        <v>1.2869736842105264</v>
      </c>
      <c r="L173" s="22">
        <v>0.24749999999999997</v>
      </c>
      <c r="M173" s="22">
        <v>0.38069310763037706</v>
      </c>
      <c r="N173" s="22">
        <v>5.0990789473684206</v>
      </c>
      <c r="O173" s="22">
        <v>0.89000622942066387</v>
      </c>
      <c r="P173" s="22">
        <v>1.4785526315789475</v>
      </c>
    </row>
    <row r="174" spans="1:16">
      <c r="A174" s="17">
        <f t="shared" si="2"/>
        <v>15</v>
      </c>
      <c r="B174" s="21">
        <v>1</v>
      </c>
      <c r="C174" s="17">
        <v>172</v>
      </c>
      <c r="D174" s="17" t="s">
        <v>234</v>
      </c>
      <c r="E174" s="17" t="s">
        <v>28</v>
      </c>
      <c r="F174" s="17" t="s">
        <v>72</v>
      </c>
      <c r="G174" s="22">
        <v>10.31608108108108</v>
      </c>
      <c r="H174" s="22">
        <v>1.510945945945946</v>
      </c>
      <c r="I174" s="22">
        <v>2.9885135135135132</v>
      </c>
      <c r="J174" s="22">
        <v>4.0713513513513506</v>
      </c>
      <c r="K174" s="22">
        <v>0.73635135135135132</v>
      </c>
      <c r="L174" s="22">
        <v>0.3464864864864865</v>
      </c>
      <c r="M174" s="22">
        <v>0.47435834277550615</v>
      </c>
      <c r="N174" s="22">
        <v>8.2293243243243239</v>
      </c>
      <c r="O174" s="22">
        <v>0.86605676753460004</v>
      </c>
      <c r="P174" s="22">
        <v>1.1521621621621623</v>
      </c>
    </row>
    <row r="175" spans="1:16">
      <c r="A175" s="17">
        <f t="shared" si="2"/>
        <v>15</v>
      </c>
      <c r="B175" s="21">
        <v>1</v>
      </c>
      <c r="C175" s="17">
        <v>173</v>
      </c>
      <c r="D175" s="17" t="s">
        <v>235</v>
      </c>
      <c r="E175" s="17" t="s">
        <v>39</v>
      </c>
      <c r="F175" s="17" t="s">
        <v>75</v>
      </c>
      <c r="G175" s="22">
        <v>9.231285714285713</v>
      </c>
      <c r="H175" s="22">
        <v>1.8009999999999999</v>
      </c>
      <c r="I175" s="22">
        <v>3.7958571428571433</v>
      </c>
      <c r="J175" s="22">
        <v>2.1757142857142857</v>
      </c>
      <c r="K175" s="22">
        <v>0.97214285714285709</v>
      </c>
      <c r="L175" s="22">
        <v>0.50914285714285712</v>
      </c>
      <c r="M175" s="22">
        <v>0.41512362789666257</v>
      </c>
      <c r="N175" s="22">
        <v>7.7305714285714284</v>
      </c>
      <c r="O175" s="22">
        <v>0.77</v>
      </c>
      <c r="P175" s="22">
        <v>1.3142857142857143</v>
      </c>
    </row>
    <row r="176" spans="1:16">
      <c r="A176" s="17">
        <f t="shared" si="2"/>
        <v>15</v>
      </c>
      <c r="B176" s="21">
        <v>1</v>
      </c>
      <c r="C176" s="17">
        <v>174</v>
      </c>
      <c r="D176" s="17" t="s">
        <v>236</v>
      </c>
      <c r="E176" s="17" t="s">
        <v>105</v>
      </c>
      <c r="F176" s="17" t="s">
        <v>55</v>
      </c>
      <c r="G176" s="22">
        <v>7.2860869565217392</v>
      </c>
      <c r="H176" s="22">
        <v>1.3526086956521739</v>
      </c>
      <c r="I176" s="22">
        <v>4.2521739130434781</v>
      </c>
      <c r="J176" s="22">
        <v>1.6023188405797102</v>
      </c>
      <c r="K176" s="22">
        <v>1.1708695652173915</v>
      </c>
      <c r="L176" s="22">
        <v>0.49304347826086958</v>
      </c>
      <c r="M176" s="22">
        <v>0.42507365137523828</v>
      </c>
      <c r="N176" s="22">
        <v>5.854057971014492</v>
      </c>
      <c r="O176" s="22">
        <v>0.81705656640673352</v>
      </c>
      <c r="P176" s="22">
        <v>1.1708695652173915</v>
      </c>
    </row>
    <row r="177" spans="1:16">
      <c r="A177" s="17">
        <f t="shared" si="2"/>
        <v>15</v>
      </c>
      <c r="B177" s="21">
        <v>1</v>
      </c>
      <c r="C177" s="17">
        <v>175</v>
      </c>
      <c r="D177" s="17" t="s">
        <v>237</v>
      </c>
      <c r="E177" s="17" t="s">
        <v>39</v>
      </c>
      <c r="F177" s="17" t="s">
        <v>84</v>
      </c>
      <c r="G177" s="22">
        <v>12.087948717948718</v>
      </c>
      <c r="H177" s="22">
        <v>2.3069230769230771</v>
      </c>
      <c r="I177" s="22">
        <v>3.7938461538461534</v>
      </c>
      <c r="J177" s="22">
        <v>2.4548717948717949</v>
      </c>
      <c r="K177" s="22">
        <v>0.66948717948717951</v>
      </c>
      <c r="L177" s="22">
        <v>0.33474358974358975</v>
      </c>
      <c r="M177" s="22">
        <v>0.46645349722464458</v>
      </c>
      <c r="N177" s="22">
        <v>9.2619230769230771</v>
      </c>
      <c r="O177" s="22">
        <v>0.82096714654854186</v>
      </c>
      <c r="P177" s="22">
        <v>1.3892307692307693</v>
      </c>
    </row>
    <row r="178" spans="1:16">
      <c r="A178" s="17">
        <f t="shared" si="2"/>
        <v>15</v>
      </c>
      <c r="B178" s="21">
        <v>1</v>
      </c>
      <c r="C178" s="17">
        <v>176</v>
      </c>
      <c r="D178" s="17" t="s">
        <v>238</v>
      </c>
      <c r="E178" s="17" t="s">
        <v>33</v>
      </c>
      <c r="F178" s="17" t="s">
        <v>61</v>
      </c>
      <c r="G178" s="22">
        <v>12.04734375</v>
      </c>
      <c r="H178" s="22">
        <v>1.9295312499999999</v>
      </c>
      <c r="I178" s="22">
        <v>4.3</v>
      </c>
      <c r="J178" s="22">
        <v>1.45</v>
      </c>
      <c r="K178" s="22">
        <v>0.65</v>
      </c>
      <c r="L178" s="22">
        <v>0.2</v>
      </c>
      <c r="M178" s="22">
        <v>0.43470584080796665</v>
      </c>
      <c r="N178" s="22">
        <v>8.8493750000000002</v>
      </c>
      <c r="O178" s="22">
        <v>0.91301789077212803</v>
      </c>
      <c r="P178" s="22">
        <v>2.6549999999999998</v>
      </c>
    </row>
    <row r="179" spans="1:16">
      <c r="A179" s="17">
        <f t="shared" si="2"/>
        <v>15</v>
      </c>
      <c r="B179" s="21">
        <v>1</v>
      </c>
      <c r="C179" s="17">
        <v>177</v>
      </c>
      <c r="D179" s="17" t="s">
        <v>239</v>
      </c>
      <c r="E179" s="17" t="s">
        <v>105</v>
      </c>
      <c r="F179" s="17" t="s">
        <v>72</v>
      </c>
      <c r="G179" s="22">
        <v>11.649199999999999</v>
      </c>
      <c r="H179" s="22">
        <v>2.5050666666666666</v>
      </c>
      <c r="I179" s="22">
        <v>3.7001333333333331</v>
      </c>
      <c r="J179" s="22">
        <v>1.6624000000000001</v>
      </c>
      <c r="K179" s="22">
        <v>0.69706666666666672</v>
      </c>
      <c r="L179" s="22">
        <v>0.26813333333333333</v>
      </c>
      <c r="M179" s="22">
        <v>0.444520091763487</v>
      </c>
      <c r="N179" s="22">
        <v>9.0086666666666666</v>
      </c>
      <c r="O179" s="22">
        <v>0.83996053280710414</v>
      </c>
      <c r="P179" s="22">
        <v>1.3513333333333333</v>
      </c>
    </row>
    <row r="180" spans="1:16">
      <c r="A180" s="17">
        <f t="shared" si="2"/>
        <v>15</v>
      </c>
      <c r="B180" s="21">
        <v>1</v>
      </c>
      <c r="C180" s="17">
        <v>178</v>
      </c>
      <c r="D180" s="17" t="s">
        <v>240</v>
      </c>
      <c r="E180" s="17" t="s">
        <v>48</v>
      </c>
      <c r="F180" s="17" t="s">
        <v>42</v>
      </c>
      <c r="G180" s="22">
        <v>10.199117647058824</v>
      </c>
      <c r="H180" s="22">
        <v>1.1689705882352941</v>
      </c>
      <c r="I180" s="22">
        <v>3.1814705882352943</v>
      </c>
      <c r="J180" s="22">
        <v>2.158823529411765</v>
      </c>
      <c r="K180" s="22">
        <v>1.0226470588235295</v>
      </c>
      <c r="L180" s="22">
        <v>0.45455882352941179</v>
      </c>
      <c r="M180" s="22">
        <v>0.43625282610832594</v>
      </c>
      <c r="N180" s="22">
        <v>8.9761764705882356</v>
      </c>
      <c r="O180" s="22">
        <v>0.89001747487986016</v>
      </c>
      <c r="P180" s="22">
        <v>1.3464705882352941</v>
      </c>
    </row>
    <row r="181" spans="1:16">
      <c r="A181" s="17">
        <f t="shared" si="2"/>
        <v>15</v>
      </c>
      <c r="B181" s="21">
        <v>1</v>
      </c>
      <c r="C181" s="17">
        <v>179</v>
      </c>
      <c r="D181" s="17" t="s">
        <v>241</v>
      </c>
      <c r="E181" s="17" t="s">
        <v>48</v>
      </c>
      <c r="F181" s="17" t="s">
        <v>120</v>
      </c>
      <c r="G181" s="22">
        <v>15.036666666666667</v>
      </c>
      <c r="H181" s="22">
        <v>2.1936363636363638</v>
      </c>
      <c r="I181" s="22">
        <v>3.4510606060606062</v>
      </c>
      <c r="J181" s="22">
        <v>1.7850000000000001</v>
      </c>
      <c r="K181" s="22">
        <v>0.95196969696969691</v>
      </c>
      <c r="L181" s="22">
        <v>0.47606060606060607</v>
      </c>
      <c r="M181" s="22">
        <v>0.40374435576095546</v>
      </c>
      <c r="N181" s="22">
        <v>12.851666666666667</v>
      </c>
      <c r="O181" s="22">
        <v>0.87197899362306408</v>
      </c>
      <c r="P181" s="22">
        <v>2.8274242424242426</v>
      </c>
    </row>
    <row r="182" spans="1:16">
      <c r="A182" s="17">
        <f t="shared" si="2"/>
        <v>16</v>
      </c>
      <c r="B182" s="21">
        <v>1</v>
      </c>
      <c r="C182" s="17">
        <v>180</v>
      </c>
      <c r="D182" s="17" t="s">
        <v>242</v>
      </c>
      <c r="E182" s="17" t="s">
        <v>48</v>
      </c>
      <c r="F182" s="17" t="s">
        <v>49</v>
      </c>
      <c r="G182" s="22">
        <v>7.8987837837837835</v>
      </c>
      <c r="H182" s="22">
        <v>1.5182432432432431</v>
      </c>
      <c r="I182" s="22">
        <v>5.0241891891891894</v>
      </c>
      <c r="J182" s="22">
        <v>2.7720270270270269</v>
      </c>
      <c r="K182" s="22">
        <v>0.98175675675675689</v>
      </c>
      <c r="L182" s="22">
        <v>0.63527027027027028</v>
      </c>
      <c r="M182" s="22">
        <v>0.43988968283815971</v>
      </c>
      <c r="N182" s="22">
        <v>6.4678378378378376</v>
      </c>
      <c r="O182" s="22">
        <v>0.82095789135326258</v>
      </c>
      <c r="P182" s="22">
        <v>0.84081081081081077</v>
      </c>
    </row>
    <row r="183" spans="1:16">
      <c r="A183" s="17">
        <f t="shared" si="2"/>
        <v>16</v>
      </c>
      <c r="B183" s="21">
        <v>1</v>
      </c>
      <c r="C183" s="17">
        <v>181</v>
      </c>
      <c r="D183" s="17" t="s">
        <v>243</v>
      </c>
      <c r="E183" s="17" t="s">
        <v>33</v>
      </c>
      <c r="F183" s="17" t="s">
        <v>67</v>
      </c>
      <c r="G183" s="22">
        <v>5.8669999999999991</v>
      </c>
      <c r="H183" s="22">
        <v>1.2349999999999999</v>
      </c>
      <c r="I183" s="22">
        <v>6.9827500000000002</v>
      </c>
      <c r="J183" s="22">
        <v>2.5691250000000001</v>
      </c>
      <c r="K183" s="22">
        <v>0.85637500000000011</v>
      </c>
      <c r="L183" s="22">
        <v>0.39524999999999999</v>
      </c>
      <c r="M183" s="22">
        <v>0.44600505955518077</v>
      </c>
      <c r="N183" s="22">
        <v>4.7435</v>
      </c>
      <c r="O183" s="22">
        <v>0.84501845018450195</v>
      </c>
      <c r="P183" s="22">
        <v>0.47424999999999995</v>
      </c>
    </row>
    <row r="184" spans="1:16">
      <c r="A184" s="17">
        <f t="shared" si="2"/>
        <v>16</v>
      </c>
      <c r="B184" s="21">
        <v>1</v>
      </c>
      <c r="C184" s="17">
        <v>182</v>
      </c>
      <c r="D184" s="17" t="s">
        <v>244</v>
      </c>
      <c r="E184" s="17" t="s">
        <v>48</v>
      </c>
      <c r="F184" s="17" t="s">
        <v>77</v>
      </c>
      <c r="G184" s="22">
        <v>9.3748648648648629</v>
      </c>
      <c r="H184" s="22">
        <v>1.3463513513513512</v>
      </c>
      <c r="I184" s="22">
        <v>8.0849999999999991</v>
      </c>
      <c r="J184" s="22">
        <v>2.2662162162162161</v>
      </c>
      <c r="K184" s="22">
        <v>0.8574324324324325</v>
      </c>
      <c r="L184" s="22">
        <v>0.3062162162162162</v>
      </c>
      <c r="M184" s="22">
        <v>0.44711712363452211</v>
      </c>
      <c r="N184" s="22">
        <v>7.4718918918918931</v>
      </c>
      <c r="O184" s="22">
        <v>0.75103609373822622</v>
      </c>
      <c r="P184" s="22">
        <v>1.7933783783783785</v>
      </c>
    </row>
    <row r="185" spans="1:16">
      <c r="A185" s="17">
        <f t="shared" si="2"/>
        <v>16</v>
      </c>
      <c r="B185" s="21">
        <v>1</v>
      </c>
      <c r="C185" s="17">
        <v>183</v>
      </c>
      <c r="D185" s="17" t="s">
        <v>245</v>
      </c>
      <c r="E185" s="17" t="s">
        <v>33</v>
      </c>
      <c r="F185" s="17" t="s">
        <v>57</v>
      </c>
      <c r="G185" s="22">
        <v>7.6390666666666656</v>
      </c>
      <c r="H185" s="22">
        <v>0.56546666666666667</v>
      </c>
      <c r="I185" s="22">
        <v>4.1409333333333329</v>
      </c>
      <c r="J185" s="22">
        <v>2.9794666666666667</v>
      </c>
      <c r="K185" s="22">
        <v>1.0605333333333333</v>
      </c>
      <c r="L185" s="22">
        <v>0.50506666666666666</v>
      </c>
      <c r="M185" s="22">
        <v>0.43896234051574601</v>
      </c>
      <c r="N185" s="22">
        <v>6.9181333333333335</v>
      </c>
      <c r="O185" s="22">
        <v>0.6569726699369306</v>
      </c>
      <c r="P185" s="22">
        <v>1.5221333333333333</v>
      </c>
    </row>
    <row r="186" spans="1:16">
      <c r="A186" s="17">
        <f t="shared" si="2"/>
        <v>16</v>
      </c>
      <c r="B186" s="21">
        <v>1</v>
      </c>
      <c r="C186" s="17">
        <v>184</v>
      </c>
      <c r="D186" s="17" t="s">
        <v>246</v>
      </c>
      <c r="E186" s="17" t="s">
        <v>45</v>
      </c>
      <c r="F186" s="17" t="s">
        <v>94</v>
      </c>
      <c r="G186" s="22">
        <v>13.5825</v>
      </c>
      <c r="H186" s="22">
        <v>0.77265625000000004</v>
      </c>
      <c r="I186" s="22">
        <v>7.171875</v>
      </c>
      <c r="J186" s="22">
        <v>0.95625000000000004</v>
      </c>
      <c r="K186" s="22">
        <v>0.47812500000000002</v>
      </c>
      <c r="L186" s="22">
        <v>0.53125</v>
      </c>
      <c r="M186" s="22">
        <v>0.50026996305768689</v>
      </c>
      <c r="N186" s="22">
        <v>10.996874999999999</v>
      </c>
      <c r="O186" s="22">
        <v>0.63200174872943882</v>
      </c>
      <c r="P186" s="22">
        <v>2.8592187500000001</v>
      </c>
    </row>
    <row r="187" spans="1:16">
      <c r="A187" s="17">
        <f t="shared" si="2"/>
        <v>16</v>
      </c>
      <c r="B187" s="21">
        <v>1</v>
      </c>
      <c r="C187" s="17">
        <v>185</v>
      </c>
      <c r="D187" s="17" t="s">
        <v>247</v>
      </c>
      <c r="E187" s="17" t="s">
        <v>63</v>
      </c>
      <c r="F187" s="17" t="s">
        <v>100</v>
      </c>
      <c r="G187" s="22">
        <v>9.99</v>
      </c>
      <c r="H187" s="22">
        <v>0.75591549295774652</v>
      </c>
      <c r="I187" s="22">
        <v>5.6650704225352113</v>
      </c>
      <c r="J187" s="22">
        <v>1.5450704225352112</v>
      </c>
      <c r="K187" s="22">
        <v>0.61802816901408453</v>
      </c>
      <c r="L187" s="22">
        <v>0.823943661971831</v>
      </c>
      <c r="M187" s="22">
        <v>0.53427715662381636</v>
      </c>
      <c r="N187" s="22">
        <v>7.5708450704225347</v>
      </c>
      <c r="O187" s="22">
        <v>0.68701902748414367</v>
      </c>
      <c r="P187" s="22">
        <v>1.6654929577464788</v>
      </c>
    </row>
    <row r="188" spans="1:16">
      <c r="A188" s="17">
        <f t="shared" si="2"/>
        <v>16</v>
      </c>
      <c r="B188" s="21">
        <v>1</v>
      </c>
      <c r="C188" s="17">
        <v>186</v>
      </c>
      <c r="D188" s="17" t="s">
        <v>248</v>
      </c>
      <c r="E188" s="17" t="s">
        <v>63</v>
      </c>
      <c r="F188" s="17" t="s">
        <v>84</v>
      </c>
      <c r="G188" s="22">
        <v>9.1442028985507235</v>
      </c>
      <c r="H188" s="22">
        <v>0.27391304347826084</v>
      </c>
      <c r="I188" s="22">
        <v>4.9353623188405802</v>
      </c>
      <c r="J188" s="22">
        <v>1.287536231884058</v>
      </c>
      <c r="K188" s="22">
        <v>0.85826086956521741</v>
      </c>
      <c r="L188" s="22">
        <v>0.77246376811594197</v>
      </c>
      <c r="M188" s="22">
        <v>0.54836122660025743</v>
      </c>
      <c r="N188" s="22">
        <v>6.8671014492753626</v>
      </c>
      <c r="O188" s="22">
        <v>0.74997970614497933</v>
      </c>
      <c r="P188" s="22">
        <v>1.7853623188405796</v>
      </c>
    </row>
    <row r="189" spans="1:16">
      <c r="A189" s="17">
        <f t="shared" si="2"/>
        <v>16</v>
      </c>
      <c r="B189" s="21">
        <v>1</v>
      </c>
      <c r="C189" s="17">
        <v>187</v>
      </c>
      <c r="D189" s="17" t="s">
        <v>249</v>
      </c>
      <c r="E189" s="17" t="s">
        <v>22</v>
      </c>
      <c r="F189" s="17" t="s">
        <v>37</v>
      </c>
      <c r="G189" s="22">
        <v>8.7447887323943654</v>
      </c>
      <c r="H189" s="22">
        <v>0</v>
      </c>
      <c r="I189" s="22">
        <v>8.5154929577464795</v>
      </c>
      <c r="J189" s="22">
        <v>1.3592957746478873</v>
      </c>
      <c r="K189" s="22">
        <v>0.99943661971830977</v>
      </c>
      <c r="L189" s="22">
        <v>0.71957746478873241</v>
      </c>
      <c r="M189" s="22">
        <v>0.53800291849072335</v>
      </c>
      <c r="N189" s="22">
        <v>6.7563380281690142</v>
      </c>
      <c r="O189" s="22">
        <v>0.59000507070820885</v>
      </c>
      <c r="P189" s="22">
        <v>2.4998591549295774</v>
      </c>
    </row>
    <row r="190" spans="1:16">
      <c r="A190" s="17">
        <f t="shared" si="2"/>
        <v>16</v>
      </c>
      <c r="B190" s="21">
        <v>1</v>
      </c>
      <c r="C190" s="17">
        <v>188</v>
      </c>
      <c r="D190" s="17" t="s">
        <v>250</v>
      </c>
      <c r="E190" s="17" t="s">
        <v>22</v>
      </c>
      <c r="F190" s="17" t="s">
        <v>84</v>
      </c>
      <c r="G190" s="22">
        <v>7.7625373134328362</v>
      </c>
      <c r="H190" s="22">
        <v>0</v>
      </c>
      <c r="I190" s="22">
        <v>8.536119402985074</v>
      </c>
      <c r="J190" s="22">
        <v>1.6737313432835821</v>
      </c>
      <c r="K190" s="22">
        <v>0.94850746268656716</v>
      </c>
      <c r="L190" s="22">
        <v>0.66955223880597015</v>
      </c>
      <c r="M190" s="22">
        <v>0.60601213458356318</v>
      </c>
      <c r="N190" s="22">
        <v>5.4119402985074627</v>
      </c>
      <c r="O190" s="22">
        <v>0.47300786292688657</v>
      </c>
      <c r="P190" s="22">
        <v>2.5435820895522387</v>
      </c>
    </row>
    <row r="191" spans="1:16">
      <c r="A191" s="17">
        <f t="shared" si="2"/>
        <v>16</v>
      </c>
      <c r="B191" s="21">
        <v>1</v>
      </c>
      <c r="C191" s="17">
        <v>189</v>
      </c>
      <c r="D191" s="17" t="s">
        <v>251</v>
      </c>
      <c r="E191" s="17" t="s">
        <v>22</v>
      </c>
      <c r="F191" s="17" t="s">
        <v>40</v>
      </c>
      <c r="G191" s="22">
        <v>9.6090322580645164</v>
      </c>
      <c r="H191" s="22">
        <v>0.70645161290322578</v>
      </c>
      <c r="I191" s="22">
        <v>5.4248387096774202</v>
      </c>
      <c r="J191" s="22">
        <v>1.181290322580645</v>
      </c>
      <c r="K191" s="22">
        <v>0.39387096774193553</v>
      </c>
      <c r="L191" s="22">
        <v>0.83129032258064517</v>
      </c>
      <c r="M191" s="22">
        <v>0.59521163753914541</v>
      </c>
      <c r="N191" s="22">
        <v>6.3864516129032252</v>
      </c>
      <c r="O191" s="22">
        <v>0.72691197691197684</v>
      </c>
      <c r="P191" s="22">
        <v>1.7883870967741935</v>
      </c>
    </row>
    <row r="192" spans="1:16">
      <c r="A192" s="17">
        <f t="shared" si="2"/>
        <v>16</v>
      </c>
      <c r="B192" s="21">
        <v>1</v>
      </c>
      <c r="C192" s="17">
        <v>190</v>
      </c>
      <c r="D192" s="17" t="s">
        <v>252</v>
      </c>
      <c r="E192" s="17" t="s">
        <v>22</v>
      </c>
      <c r="F192" s="17" t="s">
        <v>55</v>
      </c>
      <c r="G192" s="22">
        <v>6.3696103896103899</v>
      </c>
      <c r="H192" s="22">
        <v>5.155844155844156E-2</v>
      </c>
      <c r="I192" s="22">
        <v>9.9449350649350645</v>
      </c>
      <c r="J192" s="22">
        <v>0.51</v>
      </c>
      <c r="K192" s="22">
        <v>0.51</v>
      </c>
      <c r="L192" s="22">
        <v>1.02</v>
      </c>
      <c r="M192" s="22">
        <v>0.60335158007858414</v>
      </c>
      <c r="N192" s="22">
        <v>3.867142857142857</v>
      </c>
      <c r="O192" s="22">
        <v>0.58498550991305953</v>
      </c>
      <c r="P192" s="22">
        <v>2.8232467532467531</v>
      </c>
    </row>
    <row r="193" spans="1:16">
      <c r="A193" s="17">
        <f t="shared" si="2"/>
        <v>16</v>
      </c>
      <c r="B193" s="21">
        <v>1</v>
      </c>
      <c r="C193" s="17">
        <v>191</v>
      </c>
      <c r="D193" s="17" t="s">
        <v>253</v>
      </c>
      <c r="E193" s="17" t="s">
        <v>48</v>
      </c>
      <c r="F193" s="17" t="s">
        <v>55</v>
      </c>
      <c r="G193" s="22">
        <v>8.4201333333333324</v>
      </c>
      <c r="H193" s="22">
        <v>0.56666666666666665</v>
      </c>
      <c r="I193" s="22">
        <v>2.4097333333333335</v>
      </c>
      <c r="J193" s="22">
        <v>2.6774666666666667</v>
      </c>
      <c r="K193" s="22">
        <v>1.0264</v>
      </c>
      <c r="L193" s="22">
        <v>0.26773333333333332</v>
      </c>
      <c r="M193" s="22">
        <v>0.48376325398840092</v>
      </c>
      <c r="N193" s="22">
        <v>6.8281333333333336</v>
      </c>
      <c r="O193" s="22">
        <v>0.76102522375915371</v>
      </c>
      <c r="P193" s="22">
        <v>1.6386666666666667</v>
      </c>
    </row>
    <row r="194" spans="1:16">
      <c r="A194" s="17">
        <f t="shared" si="2"/>
        <v>17</v>
      </c>
      <c r="B194" s="21">
        <v>1</v>
      </c>
      <c r="C194" s="17">
        <v>192</v>
      </c>
      <c r="D194" s="17" t="s">
        <v>254</v>
      </c>
      <c r="E194" s="17" t="s">
        <v>48</v>
      </c>
      <c r="F194" s="17" t="s">
        <v>61</v>
      </c>
      <c r="G194" s="22">
        <v>8.004666666666667</v>
      </c>
      <c r="H194" s="22">
        <v>1.4343999999999999</v>
      </c>
      <c r="I194" s="22">
        <v>2.4916</v>
      </c>
      <c r="J194" s="22">
        <v>2.3958666666666666</v>
      </c>
      <c r="K194" s="22">
        <v>0.91039999999999999</v>
      </c>
      <c r="L194" s="22">
        <v>0.23959999999999998</v>
      </c>
      <c r="M194" s="22">
        <v>0.42874750228762443</v>
      </c>
      <c r="N194" s="22">
        <v>7.1398666666666664</v>
      </c>
      <c r="O194" s="22">
        <v>0.78408029878618113</v>
      </c>
      <c r="P194" s="22">
        <v>0.57120000000000004</v>
      </c>
    </row>
    <row r="195" spans="1:16">
      <c r="A195" s="17">
        <f t="shared" si="2"/>
        <v>17</v>
      </c>
      <c r="B195" s="21">
        <v>1</v>
      </c>
      <c r="C195" s="17">
        <v>193</v>
      </c>
      <c r="D195" s="17" t="s">
        <v>255</v>
      </c>
      <c r="E195" s="17" t="s">
        <v>22</v>
      </c>
      <c r="F195" s="17" t="s">
        <v>72</v>
      </c>
      <c r="G195" s="22">
        <v>6.8694285714285712</v>
      </c>
      <c r="H195" s="22">
        <v>6.4000000000000001E-2</v>
      </c>
      <c r="I195" s="22">
        <v>5.4119999999999999</v>
      </c>
      <c r="J195" s="22">
        <v>0.79199999999999993</v>
      </c>
      <c r="K195" s="22">
        <v>0.42899999999999999</v>
      </c>
      <c r="L195" s="22">
        <v>1.2870000000000001</v>
      </c>
      <c r="M195" s="22">
        <v>0.58355706536628127</v>
      </c>
      <c r="N195" s="22">
        <v>5.2145714285714284</v>
      </c>
      <c r="O195" s="22">
        <v>0.65701239399869527</v>
      </c>
      <c r="P195" s="22">
        <v>1.095</v>
      </c>
    </row>
    <row r="196" spans="1:16">
      <c r="A196" s="17">
        <f t="shared" ref="A196:A221" si="3">_xlfn.FLOOR.MATH(C196/12)+1</f>
        <v>17</v>
      </c>
      <c r="B196" s="21">
        <v>1</v>
      </c>
      <c r="C196" s="17">
        <v>194</v>
      </c>
      <c r="D196" s="17" t="s">
        <v>256</v>
      </c>
      <c r="E196" s="17" t="s">
        <v>45</v>
      </c>
      <c r="F196" s="17" t="s">
        <v>67</v>
      </c>
      <c r="G196" s="22">
        <v>8.7589393939393947</v>
      </c>
      <c r="H196" s="22">
        <v>1.3262121212121212</v>
      </c>
      <c r="I196" s="22">
        <v>4.4200000000000008</v>
      </c>
      <c r="J196" s="22">
        <v>1.2750000000000001</v>
      </c>
      <c r="K196" s="22">
        <v>0.72257575757575754</v>
      </c>
      <c r="L196" s="22">
        <v>0.63757575757575757</v>
      </c>
      <c r="M196" s="22">
        <v>0.41970174083536338</v>
      </c>
      <c r="N196" s="22">
        <v>7.6504545454545445</v>
      </c>
      <c r="O196" s="22">
        <v>0.82594701658826442</v>
      </c>
      <c r="P196" s="22">
        <v>1.2239393939393939</v>
      </c>
    </row>
    <row r="197" spans="1:16">
      <c r="A197" s="17">
        <f t="shared" si="3"/>
        <v>17</v>
      </c>
      <c r="B197" s="21">
        <v>1</v>
      </c>
      <c r="C197" s="17">
        <v>195</v>
      </c>
      <c r="D197" s="17" t="s">
        <v>257</v>
      </c>
      <c r="E197" s="17" t="s">
        <v>48</v>
      </c>
      <c r="F197" s="17" t="s">
        <v>75</v>
      </c>
      <c r="G197" s="22">
        <v>9.5097435897435876</v>
      </c>
      <c r="H197" s="22">
        <v>2.2453846153846153</v>
      </c>
      <c r="I197" s="22">
        <v>3.0637179487179491</v>
      </c>
      <c r="J197" s="22">
        <v>1.5907692307692307</v>
      </c>
      <c r="K197" s="22">
        <v>0.94269230769230772</v>
      </c>
      <c r="L197" s="22">
        <v>0.58923076923076922</v>
      </c>
      <c r="M197" s="22">
        <v>0.41270308741962397</v>
      </c>
      <c r="N197" s="22">
        <v>7.8357692307692313</v>
      </c>
      <c r="O197" s="22">
        <v>0.78202869368235595</v>
      </c>
      <c r="P197" s="22">
        <v>1.0187179487179487</v>
      </c>
    </row>
    <row r="198" spans="1:16">
      <c r="A198" s="17">
        <f t="shared" si="3"/>
        <v>17</v>
      </c>
      <c r="B198" s="21">
        <v>1</v>
      </c>
      <c r="C198" s="17">
        <v>196</v>
      </c>
      <c r="D198" s="17" t="s">
        <v>258</v>
      </c>
      <c r="E198" s="17" t="s">
        <v>105</v>
      </c>
      <c r="F198" s="17" t="s">
        <v>118</v>
      </c>
      <c r="G198" s="22">
        <v>13.064868421052632</v>
      </c>
      <c r="H198" s="22">
        <v>1.3492105263157896</v>
      </c>
      <c r="I198" s="22">
        <v>3.5417105263157898</v>
      </c>
      <c r="J198" s="22">
        <v>2.3374999999999999</v>
      </c>
      <c r="K198" s="22">
        <v>0.99171052631578949</v>
      </c>
      <c r="L198" s="22">
        <v>0.28328947368421054</v>
      </c>
      <c r="M198" s="22">
        <v>0.44139427032687562</v>
      </c>
      <c r="N198" s="22">
        <v>10.554473684210526</v>
      </c>
      <c r="O198" s="22">
        <v>0.73300892785329375</v>
      </c>
      <c r="P198" s="22">
        <v>3.2718421052631577</v>
      </c>
    </row>
    <row r="199" spans="1:16">
      <c r="A199" s="17">
        <f t="shared" si="3"/>
        <v>17</v>
      </c>
      <c r="B199" s="21">
        <v>1</v>
      </c>
      <c r="C199" s="17">
        <v>197</v>
      </c>
      <c r="D199" s="17" t="s">
        <v>259</v>
      </c>
      <c r="E199" s="17" t="s">
        <v>22</v>
      </c>
      <c r="F199" s="17" t="s">
        <v>35</v>
      </c>
      <c r="G199" s="22">
        <v>9.5184999999999995</v>
      </c>
      <c r="H199" s="22">
        <v>8.2166666666666666E-2</v>
      </c>
      <c r="I199" s="22">
        <v>6.7164999999999999</v>
      </c>
      <c r="J199" s="22">
        <v>1.635</v>
      </c>
      <c r="K199" s="22">
        <v>0.57450000000000001</v>
      </c>
      <c r="L199" s="22">
        <v>0.35350000000000004</v>
      </c>
      <c r="M199" s="22">
        <v>0.56843554060253865</v>
      </c>
      <c r="N199" s="22">
        <v>6.5389999999999997</v>
      </c>
      <c r="O199" s="22">
        <v>0.71202512890416647</v>
      </c>
      <c r="P199" s="22">
        <v>2.8121666666666667</v>
      </c>
    </row>
    <row r="200" spans="1:16">
      <c r="A200" s="17">
        <f t="shared" si="3"/>
        <v>17</v>
      </c>
      <c r="B200" s="21">
        <v>1</v>
      </c>
      <c r="C200" s="17">
        <v>198</v>
      </c>
      <c r="D200" s="17" t="s">
        <v>260</v>
      </c>
      <c r="E200" s="17" t="s">
        <v>45</v>
      </c>
      <c r="F200" s="17" t="s">
        <v>31</v>
      </c>
      <c r="G200" s="22">
        <v>5.9113157894736839</v>
      </c>
      <c r="H200" s="22">
        <v>2.9868421052631579E-2</v>
      </c>
      <c r="I200" s="22">
        <v>6.1156578947368416</v>
      </c>
      <c r="J200" s="22">
        <v>1.0192105263157893</v>
      </c>
      <c r="K200" s="22">
        <v>1.06</v>
      </c>
      <c r="L200" s="22">
        <v>0.81539473684210528</v>
      </c>
      <c r="M200" s="22">
        <v>0.60227236047900323</v>
      </c>
      <c r="N200" s="22">
        <v>4.0764473684210527</v>
      </c>
      <c r="O200" s="22">
        <v>0.5809981108312342</v>
      </c>
      <c r="P200" s="22">
        <v>1.6715789473684211</v>
      </c>
    </row>
    <row r="201" spans="1:16">
      <c r="A201" s="17">
        <f t="shared" si="3"/>
        <v>17</v>
      </c>
      <c r="B201" s="21">
        <v>1</v>
      </c>
      <c r="C201" s="17">
        <v>199</v>
      </c>
      <c r="D201" s="17" t="s">
        <v>261</v>
      </c>
      <c r="E201" s="17" t="s">
        <v>105</v>
      </c>
      <c r="F201" s="17" t="s">
        <v>49</v>
      </c>
      <c r="G201" s="22">
        <v>9.9816666666666691</v>
      </c>
      <c r="H201" s="22">
        <v>0.75576923076923086</v>
      </c>
      <c r="I201" s="22">
        <v>4.6406410256410258</v>
      </c>
      <c r="J201" s="22">
        <v>2.1141025641025641</v>
      </c>
      <c r="K201" s="22">
        <v>0.56717948717948719</v>
      </c>
      <c r="L201" s="22">
        <v>0.25782051282051283</v>
      </c>
      <c r="M201" s="22">
        <v>0.50124326564442612</v>
      </c>
      <c r="N201" s="22">
        <v>7.4246153846153851</v>
      </c>
      <c r="O201" s="22">
        <v>0.82798451920214355</v>
      </c>
      <c r="P201" s="22">
        <v>2.1532051282051281</v>
      </c>
    </row>
    <row r="202" spans="1:16">
      <c r="A202" s="17">
        <f t="shared" si="3"/>
        <v>17</v>
      </c>
      <c r="B202" s="21">
        <v>1</v>
      </c>
      <c r="C202" s="17">
        <v>200</v>
      </c>
      <c r="D202" s="17" t="s">
        <v>262</v>
      </c>
      <c r="E202" s="17" t="s">
        <v>45</v>
      </c>
      <c r="F202" s="17" t="s">
        <v>84</v>
      </c>
      <c r="G202" s="22">
        <v>7.8872972972972972</v>
      </c>
      <c r="H202" s="22">
        <v>0.44094594594594599</v>
      </c>
      <c r="I202" s="22">
        <v>4.9354054054054055</v>
      </c>
      <c r="J202" s="22">
        <v>1.7166216216216217</v>
      </c>
      <c r="K202" s="22">
        <v>0.77243243243243243</v>
      </c>
      <c r="L202" s="22">
        <v>0.60081081081081078</v>
      </c>
      <c r="M202" s="22">
        <v>0.55447306577836586</v>
      </c>
      <c r="N202" s="22">
        <v>5.9228378378378377</v>
      </c>
      <c r="O202" s="22">
        <v>0.67403028417340793</v>
      </c>
      <c r="P202" s="22">
        <v>1.3029729729729731</v>
      </c>
    </row>
    <row r="203" spans="1:16">
      <c r="A203" s="17">
        <f t="shared" si="3"/>
        <v>17</v>
      </c>
      <c r="B203" s="21">
        <v>1</v>
      </c>
      <c r="C203" s="17">
        <v>201</v>
      </c>
      <c r="D203" s="17" t="s">
        <v>263</v>
      </c>
      <c r="E203" s="17" t="s">
        <v>105</v>
      </c>
      <c r="F203" s="17" t="s">
        <v>75</v>
      </c>
      <c r="G203" s="22">
        <v>7.2281818181818185</v>
      </c>
      <c r="H203" s="22">
        <v>1.0681818181818181</v>
      </c>
      <c r="I203" s="22">
        <v>4.7133333333333329</v>
      </c>
      <c r="J203" s="22">
        <v>1.1783333333333332</v>
      </c>
      <c r="K203" s="22">
        <v>0.63121212121212111</v>
      </c>
      <c r="L203" s="22">
        <v>0.63121212121212111</v>
      </c>
      <c r="M203" s="22">
        <v>0.48220347700853816</v>
      </c>
      <c r="N203" s="22">
        <v>5.8915151515151516</v>
      </c>
      <c r="O203" s="22">
        <v>0.73790039747486547</v>
      </c>
      <c r="P203" s="22">
        <v>0.64803030303030307</v>
      </c>
    </row>
    <row r="204" spans="1:16">
      <c r="A204" s="17">
        <f t="shared" si="3"/>
        <v>17</v>
      </c>
      <c r="B204" s="21">
        <v>1</v>
      </c>
      <c r="C204" s="17">
        <v>202</v>
      </c>
      <c r="D204" s="17" t="s">
        <v>264</v>
      </c>
      <c r="E204" s="17" t="s">
        <v>45</v>
      </c>
      <c r="F204" s="17" t="s">
        <v>70</v>
      </c>
      <c r="G204" s="22">
        <v>11.152432432432432</v>
      </c>
      <c r="H204" s="22">
        <v>1.8193243243243242</v>
      </c>
      <c r="I204" s="22">
        <v>5.46</v>
      </c>
      <c r="J204" s="22">
        <v>2.8513513513513513</v>
      </c>
      <c r="K204" s="22">
        <v>0.4852702702702702</v>
      </c>
      <c r="L204" s="22">
        <v>1.0313513513513513</v>
      </c>
      <c r="M204" s="22">
        <v>0.38784678337692241</v>
      </c>
      <c r="N204" s="22">
        <v>10.799054054054054</v>
      </c>
      <c r="O204" s="22">
        <v>0.73803316299926991</v>
      </c>
      <c r="P204" s="22">
        <v>1.2958108108108108</v>
      </c>
    </row>
    <row r="205" spans="1:16">
      <c r="A205" s="17">
        <f t="shared" si="3"/>
        <v>17</v>
      </c>
      <c r="B205" s="21">
        <v>1</v>
      </c>
      <c r="C205" s="17">
        <v>203</v>
      </c>
      <c r="D205" s="17" t="s">
        <v>265</v>
      </c>
      <c r="E205" s="17" t="s">
        <v>28</v>
      </c>
      <c r="F205" s="17" t="s">
        <v>31</v>
      </c>
      <c r="G205" s="22">
        <v>7.4464516129032248</v>
      </c>
      <c r="H205" s="22">
        <v>1.507741935483871</v>
      </c>
      <c r="I205" s="22">
        <v>3.5406451612903229</v>
      </c>
      <c r="J205" s="22">
        <v>2.5964516129032256</v>
      </c>
      <c r="K205" s="22">
        <v>0.75532258064516122</v>
      </c>
      <c r="L205" s="22">
        <v>0.6609677419354838</v>
      </c>
      <c r="M205" s="22">
        <v>0.42191609946579173</v>
      </c>
      <c r="N205" s="22">
        <v>5.947903225806451</v>
      </c>
      <c r="O205" s="22">
        <v>0.77304772234273322</v>
      </c>
      <c r="P205" s="22">
        <v>1.1896774193548387</v>
      </c>
    </row>
    <row r="206" spans="1:16">
      <c r="A206" s="17">
        <f t="shared" si="3"/>
        <v>18</v>
      </c>
      <c r="B206" s="21">
        <v>1</v>
      </c>
      <c r="C206" s="17">
        <v>204</v>
      </c>
      <c r="D206" s="17" t="s">
        <v>266</v>
      </c>
      <c r="E206" s="17" t="s">
        <v>39</v>
      </c>
      <c r="F206" s="17" t="s">
        <v>46</v>
      </c>
      <c r="G206" s="22">
        <v>10.440597014925373</v>
      </c>
      <c r="H206" s="22">
        <v>2.0876119402985074</v>
      </c>
      <c r="I206" s="22">
        <v>3.25</v>
      </c>
      <c r="J206" s="22">
        <v>2.0583582089552239</v>
      </c>
      <c r="K206" s="22">
        <v>0.81253731343283575</v>
      </c>
      <c r="L206" s="22">
        <v>0.10835820895522388</v>
      </c>
      <c r="M206" s="22">
        <v>0.43070735658294074</v>
      </c>
      <c r="N206" s="22">
        <v>8.0159701492537323</v>
      </c>
      <c r="O206" s="22">
        <v>0.86001773049645391</v>
      </c>
      <c r="P206" s="22">
        <v>1.6835820895522389</v>
      </c>
    </row>
    <row r="207" spans="1:16">
      <c r="A207" s="17">
        <f t="shared" si="3"/>
        <v>18</v>
      </c>
      <c r="B207" s="21">
        <v>1</v>
      </c>
      <c r="C207" s="17">
        <v>205</v>
      </c>
      <c r="D207" s="17" t="s">
        <v>267</v>
      </c>
      <c r="E207" s="17" t="s">
        <v>105</v>
      </c>
      <c r="F207" s="17" t="s">
        <v>100</v>
      </c>
      <c r="G207" s="22">
        <v>8.8304054054054042</v>
      </c>
      <c r="H207" s="22">
        <v>0.78837837837837843</v>
      </c>
      <c r="I207" s="22">
        <v>4.9568918918918907</v>
      </c>
      <c r="J207" s="22">
        <v>0.99135135135135133</v>
      </c>
      <c r="K207" s="22">
        <v>0.61364864864864865</v>
      </c>
      <c r="L207" s="22">
        <v>0.84972972972972971</v>
      </c>
      <c r="M207" s="22">
        <v>0.50814573764751925</v>
      </c>
      <c r="N207" s="22">
        <v>6.5612162162162155</v>
      </c>
      <c r="O207" s="22">
        <v>0.72198551342138906</v>
      </c>
      <c r="P207" s="22">
        <v>1.902972972972973</v>
      </c>
    </row>
    <row r="208" spans="1:16">
      <c r="A208" s="17">
        <f t="shared" si="3"/>
        <v>18</v>
      </c>
      <c r="B208" s="21">
        <v>1</v>
      </c>
      <c r="C208" s="17">
        <v>206</v>
      </c>
      <c r="D208" s="17" t="s">
        <v>268</v>
      </c>
      <c r="E208" s="17" t="s">
        <v>48</v>
      </c>
      <c r="F208" s="17" t="s">
        <v>40</v>
      </c>
      <c r="G208" s="22">
        <v>9.2689473684210526</v>
      </c>
      <c r="H208" s="22">
        <v>1.5485526315789473</v>
      </c>
      <c r="I208" s="22">
        <v>2.6161842105263156</v>
      </c>
      <c r="J208" s="22">
        <v>1.9906578947368421</v>
      </c>
      <c r="K208" s="22">
        <v>0.90999999999999992</v>
      </c>
      <c r="L208" s="22">
        <v>0.3981578947368421</v>
      </c>
      <c r="M208" s="22">
        <v>0.43656865959849883</v>
      </c>
      <c r="N208" s="22">
        <v>7.2228947368421057</v>
      </c>
      <c r="O208" s="22">
        <v>0.85102170125138599</v>
      </c>
      <c r="P208" s="22">
        <v>1.6613157894736843</v>
      </c>
    </row>
    <row r="209" spans="1:16">
      <c r="A209" s="17">
        <f t="shared" si="3"/>
        <v>18</v>
      </c>
      <c r="B209" s="21">
        <v>1</v>
      </c>
      <c r="C209" s="17">
        <v>207</v>
      </c>
      <c r="D209" s="17" t="s">
        <v>269</v>
      </c>
      <c r="E209" s="17" t="s">
        <v>33</v>
      </c>
      <c r="F209" s="17" t="s">
        <v>108</v>
      </c>
      <c r="G209" s="22">
        <v>13.905333333333335</v>
      </c>
      <c r="H209" s="22">
        <v>1.8332000000000002</v>
      </c>
      <c r="I209" s="22">
        <v>3.2950666666666666</v>
      </c>
      <c r="J209" s="22">
        <v>1.3634666666666668</v>
      </c>
      <c r="K209" s="22">
        <v>0.34093333333333331</v>
      </c>
      <c r="L209" s="22">
        <v>0.11359999999999999</v>
      </c>
      <c r="M209" s="22">
        <v>0.49510468996369772</v>
      </c>
      <c r="N209" s="22">
        <v>10.9084</v>
      </c>
      <c r="O209" s="22">
        <v>0.83200908059023837</v>
      </c>
      <c r="P209" s="22">
        <v>1.5270666666666666</v>
      </c>
    </row>
    <row r="210" spans="1:16">
      <c r="A210" s="17">
        <f t="shared" si="3"/>
        <v>18</v>
      </c>
      <c r="B210" s="21">
        <v>1</v>
      </c>
      <c r="C210" s="17">
        <v>208</v>
      </c>
      <c r="D210" s="17" t="s">
        <v>270</v>
      </c>
      <c r="E210" s="17" t="s">
        <v>48</v>
      </c>
      <c r="F210" s="17" t="s">
        <v>55</v>
      </c>
      <c r="G210" s="22">
        <v>6.4113636363636362</v>
      </c>
      <c r="H210" s="22">
        <v>0.94606060606060605</v>
      </c>
      <c r="I210" s="22">
        <v>3.1768181818181822</v>
      </c>
      <c r="J210" s="22">
        <v>1.3196969696969696</v>
      </c>
      <c r="K210" s="22">
        <v>1.2218181818181819</v>
      </c>
      <c r="L210" s="22">
        <v>0.48878787878787877</v>
      </c>
      <c r="M210" s="22">
        <v>0.43475186947654654</v>
      </c>
      <c r="N210" s="22">
        <v>5.5719696969696972</v>
      </c>
      <c r="O210" s="22">
        <v>0.69595513256288244</v>
      </c>
      <c r="P210" s="22">
        <v>0.89151515151515159</v>
      </c>
    </row>
    <row r="211" spans="1:16">
      <c r="A211" s="17">
        <f t="shared" si="3"/>
        <v>18</v>
      </c>
      <c r="B211" s="21">
        <v>1</v>
      </c>
      <c r="C211" s="17">
        <v>209</v>
      </c>
      <c r="D211" s="17" t="s">
        <v>271</v>
      </c>
      <c r="E211" s="17" t="s">
        <v>39</v>
      </c>
      <c r="F211" s="17" t="s">
        <v>55</v>
      </c>
      <c r="G211" s="22">
        <v>9.6045714285714308</v>
      </c>
      <c r="H211" s="22">
        <v>1.485857142857143</v>
      </c>
      <c r="I211" s="22">
        <v>2.0569999999999999</v>
      </c>
      <c r="J211" s="22">
        <v>1.87</v>
      </c>
      <c r="K211" s="22">
        <v>0.70128571428571429</v>
      </c>
      <c r="L211" s="22">
        <v>0.187</v>
      </c>
      <c r="M211" s="22">
        <v>0.47398033470547002</v>
      </c>
      <c r="N211" s="22">
        <v>7.9472857142857132</v>
      </c>
      <c r="O211" s="22">
        <v>0.92001797348910364</v>
      </c>
      <c r="P211" s="22">
        <v>0.63585714285714279</v>
      </c>
    </row>
    <row r="212" spans="1:16">
      <c r="A212" s="17">
        <f t="shared" si="3"/>
        <v>18</v>
      </c>
      <c r="B212" s="21">
        <v>1</v>
      </c>
      <c r="C212" s="17">
        <v>210</v>
      </c>
      <c r="D212" s="17" t="s">
        <v>272</v>
      </c>
      <c r="E212" s="17" t="s">
        <v>25</v>
      </c>
      <c r="F212" s="17" t="s">
        <v>61</v>
      </c>
      <c r="G212" s="22">
        <v>5.82</v>
      </c>
      <c r="H212" s="22">
        <v>0.62558823529411767</v>
      </c>
      <c r="I212" s="22">
        <v>2.8895588235294114</v>
      </c>
      <c r="J212" s="22">
        <v>2.85</v>
      </c>
      <c r="K212" s="22">
        <v>1.1083823529411765</v>
      </c>
      <c r="L212" s="22">
        <v>0.27705882352941175</v>
      </c>
      <c r="M212" s="22">
        <v>0.46396880469157786</v>
      </c>
      <c r="N212" s="22">
        <v>4.7895588235294113</v>
      </c>
      <c r="O212" s="22">
        <v>0.78292907583665949</v>
      </c>
      <c r="P212" s="22">
        <v>0.9579411764705883</v>
      </c>
    </row>
    <row r="213" spans="1:16">
      <c r="A213" s="17">
        <f t="shared" si="3"/>
        <v>18</v>
      </c>
      <c r="B213" s="21">
        <v>1</v>
      </c>
      <c r="C213" s="17">
        <v>211</v>
      </c>
      <c r="D213" s="17" t="s">
        <v>273</v>
      </c>
      <c r="E213" s="17" t="s">
        <v>45</v>
      </c>
      <c r="F213" s="17" t="s">
        <v>51</v>
      </c>
      <c r="G213" s="22">
        <v>7.7402702702702699</v>
      </c>
      <c r="H213" s="22">
        <v>1.9071621621621622</v>
      </c>
      <c r="I213" s="22">
        <v>5.0331081081081077</v>
      </c>
      <c r="J213" s="22">
        <v>1.3129729729729729</v>
      </c>
      <c r="K213" s="22">
        <v>0.4924324324324324</v>
      </c>
      <c r="L213" s="22">
        <v>0.76594594594594589</v>
      </c>
      <c r="M213" s="22">
        <v>0.42259770918947276</v>
      </c>
      <c r="N213" s="22">
        <v>6.1821621621621619</v>
      </c>
      <c r="O213" s="22">
        <v>0.89407790143084265</v>
      </c>
      <c r="P213" s="22">
        <v>0.68</v>
      </c>
    </row>
    <row r="214" spans="1:16">
      <c r="A214" s="17">
        <f t="shared" si="3"/>
        <v>18</v>
      </c>
      <c r="B214" s="21">
        <v>1</v>
      </c>
      <c r="C214" s="17">
        <v>212</v>
      </c>
      <c r="D214" s="17" t="s">
        <v>274</v>
      </c>
      <c r="E214" s="17" t="s">
        <v>28</v>
      </c>
      <c r="F214" s="17" t="s">
        <v>59</v>
      </c>
      <c r="G214" s="22">
        <v>12.33</v>
      </c>
      <c r="H214" s="22">
        <v>2.0196774193548386</v>
      </c>
      <c r="I214" s="22">
        <v>3.03</v>
      </c>
      <c r="J214" s="22">
        <v>3.2319354838709677</v>
      </c>
      <c r="K214" s="22">
        <v>0.505</v>
      </c>
      <c r="L214" s="22">
        <v>0.20193548387096774</v>
      </c>
      <c r="M214" s="22">
        <v>0.42079460892338155</v>
      </c>
      <c r="N214" s="22">
        <v>10.100322580645162</v>
      </c>
      <c r="O214" s="22">
        <v>0.89603960396039606</v>
      </c>
      <c r="P214" s="22">
        <v>2.02</v>
      </c>
    </row>
    <row r="215" spans="1:16">
      <c r="A215" s="17">
        <f t="shared" si="3"/>
        <v>18</v>
      </c>
      <c r="B215" s="21">
        <v>1</v>
      </c>
      <c r="C215" s="17">
        <v>213</v>
      </c>
      <c r="D215" s="17" t="s">
        <v>275</v>
      </c>
      <c r="E215" s="17" t="s">
        <v>45</v>
      </c>
      <c r="F215" s="17" t="s">
        <v>40</v>
      </c>
      <c r="G215" s="22">
        <v>10.795757575757575</v>
      </c>
      <c r="H215" s="22">
        <v>2.6721212121212123</v>
      </c>
      <c r="I215" s="22">
        <v>2.9531818181818181</v>
      </c>
      <c r="J215" s="22">
        <v>0.76560606060606062</v>
      </c>
      <c r="K215" s="22">
        <v>0.54681818181818187</v>
      </c>
      <c r="L215" s="22">
        <v>0.21878787878787878</v>
      </c>
      <c r="M215" s="22">
        <v>0.42594622605783988</v>
      </c>
      <c r="N215" s="22">
        <v>7.6019696969696975</v>
      </c>
      <c r="O215" s="22">
        <v>0.8670068569606123</v>
      </c>
      <c r="P215" s="22">
        <v>1.9003030303030304</v>
      </c>
    </row>
    <row r="216" spans="1:16">
      <c r="A216" s="17">
        <f t="shared" si="3"/>
        <v>18</v>
      </c>
      <c r="B216" s="21">
        <v>1</v>
      </c>
      <c r="C216" s="17">
        <v>214</v>
      </c>
      <c r="D216" s="17" t="s">
        <v>276</v>
      </c>
      <c r="E216" s="17" t="s">
        <v>48</v>
      </c>
      <c r="F216" s="17" t="s">
        <v>51</v>
      </c>
      <c r="G216" s="22">
        <v>10.896056338028169</v>
      </c>
      <c r="H216" s="22">
        <v>2.6671830985915492</v>
      </c>
      <c r="I216" s="22">
        <v>3.0678873239436619</v>
      </c>
      <c r="J216" s="22">
        <v>1.4771830985915493</v>
      </c>
      <c r="K216" s="22">
        <v>0.73859154929577464</v>
      </c>
      <c r="L216" s="22">
        <v>0.11366197183098592</v>
      </c>
      <c r="M216" s="22">
        <v>0.43633899649633107</v>
      </c>
      <c r="N216" s="22">
        <v>8.5222535211267587</v>
      </c>
      <c r="O216" s="22">
        <v>0.92893736572467367</v>
      </c>
      <c r="P216" s="22">
        <v>0.85225352112676056</v>
      </c>
    </row>
    <row r="217" spans="1:16">
      <c r="A217" s="17">
        <f t="shared" si="3"/>
        <v>18</v>
      </c>
      <c r="B217" s="21">
        <v>1</v>
      </c>
      <c r="C217" s="17">
        <v>215</v>
      </c>
      <c r="D217" s="17" t="s">
        <v>277</v>
      </c>
      <c r="E217" s="17" t="s">
        <v>48</v>
      </c>
      <c r="F217" s="17" t="s">
        <v>75</v>
      </c>
      <c r="G217" s="22">
        <v>9.2201612903225829</v>
      </c>
      <c r="H217" s="22">
        <v>1.2453225806451611</v>
      </c>
      <c r="I217" s="22">
        <v>3.1183870967741938</v>
      </c>
      <c r="J217" s="22">
        <v>1.3593548387096774</v>
      </c>
      <c r="K217" s="22">
        <v>0.83951612903225803</v>
      </c>
      <c r="L217" s="22">
        <v>0.51967741935483869</v>
      </c>
      <c r="M217" s="22">
        <v>0.4377970052900565</v>
      </c>
      <c r="N217" s="22">
        <v>7.1954838709677418</v>
      </c>
      <c r="O217" s="22">
        <v>0.89499999999999991</v>
      </c>
      <c r="P217" s="22">
        <v>1.8709677419354838</v>
      </c>
    </row>
    <row r="218" spans="1:16">
      <c r="A218" s="17">
        <f t="shared" si="3"/>
        <v>19</v>
      </c>
      <c r="B218" s="21">
        <v>1</v>
      </c>
      <c r="C218" s="17">
        <v>216</v>
      </c>
      <c r="D218" s="17" t="s">
        <v>278</v>
      </c>
      <c r="E218" s="17" t="s">
        <v>39</v>
      </c>
      <c r="F218" s="17" t="s">
        <v>26</v>
      </c>
      <c r="G218" s="22">
        <v>7.6810666666666654</v>
      </c>
      <c r="H218" s="22">
        <v>0.25</v>
      </c>
      <c r="I218" s="22">
        <v>5.7</v>
      </c>
      <c r="J218" s="22">
        <v>1.75</v>
      </c>
      <c r="K218" s="22">
        <v>0.95</v>
      </c>
      <c r="L218" s="22">
        <v>0.45</v>
      </c>
      <c r="M218" s="22">
        <v>0.54056435345127407</v>
      </c>
      <c r="N218" s="22">
        <v>5.7505333333333333</v>
      </c>
      <c r="O218" s="22">
        <v>0.75403726708074537</v>
      </c>
      <c r="P218" s="22">
        <v>1.61</v>
      </c>
    </row>
    <row r="219" spans="1:16">
      <c r="A219" s="17">
        <f t="shared" si="3"/>
        <v>19</v>
      </c>
      <c r="B219" s="21">
        <v>1</v>
      </c>
      <c r="C219" s="17">
        <v>217</v>
      </c>
      <c r="D219" s="17" t="s">
        <v>279</v>
      </c>
      <c r="E219" s="17" t="s">
        <v>25</v>
      </c>
      <c r="F219" s="17" t="s">
        <v>37</v>
      </c>
      <c r="G219" s="22">
        <v>11.777285714285716</v>
      </c>
      <c r="H219" s="22">
        <v>1.1477142857142857</v>
      </c>
      <c r="I219" s="22">
        <v>2.5165714285714285</v>
      </c>
      <c r="J219" s="22">
        <v>2.8069999999999999</v>
      </c>
      <c r="K219" s="22">
        <v>0.58071428571428574</v>
      </c>
      <c r="L219" s="22">
        <v>0.33871428571428575</v>
      </c>
      <c r="M219" s="22">
        <v>0.45173276598294954</v>
      </c>
      <c r="N219" s="22">
        <v>9.5347142857142853</v>
      </c>
      <c r="O219" s="22">
        <v>0.81298985707699389</v>
      </c>
      <c r="P219" s="22">
        <v>2.4788571428571431</v>
      </c>
    </row>
    <row r="220" spans="1:16">
      <c r="A220" s="17">
        <f t="shared" si="3"/>
        <v>19</v>
      </c>
      <c r="B220" s="21">
        <v>1</v>
      </c>
      <c r="C220" s="17">
        <v>218</v>
      </c>
      <c r="D220" s="17" t="s">
        <v>280</v>
      </c>
      <c r="E220" s="17" t="s">
        <v>28</v>
      </c>
      <c r="F220" s="17" t="s">
        <v>51</v>
      </c>
      <c r="G220" s="22">
        <v>11.401733333333333</v>
      </c>
      <c r="H220" s="22">
        <v>1.0161333333333333</v>
      </c>
      <c r="I220" s="22">
        <v>3.0551999999999997</v>
      </c>
      <c r="J220" s="22">
        <v>3.2866666666666666</v>
      </c>
      <c r="K220" s="22">
        <v>0.46293333333333331</v>
      </c>
      <c r="L220" s="22">
        <v>4.6266666666666671E-2</v>
      </c>
      <c r="M220" s="22">
        <v>0.50618500439620406</v>
      </c>
      <c r="N220" s="22">
        <v>8.7954666666666661</v>
      </c>
      <c r="O220" s="22">
        <v>0.80199234822782062</v>
      </c>
      <c r="P220" s="22">
        <v>1.8470666666666666</v>
      </c>
    </row>
    <row r="221" spans="1:16">
      <c r="A221" s="17">
        <f t="shared" si="3"/>
        <v>19</v>
      </c>
      <c r="B221" s="21">
        <v>1</v>
      </c>
      <c r="C221" s="17">
        <v>219</v>
      </c>
      <c r="D221" s="17" t="s">
        <v>281</v>
      </c>
      <c r="E221" s="17" t="s">
        <v>22</v>
      </c>
      <c r="F221" s="17" t="s">
        <v>57</v>
      </c>
      <c r="G221" s="22">
        <v>8.5838157894736824</v>
      </c>
      <c r="H221" s="22">
        <v>0.29644736842105263</v>
      </c>
      <c r="I221" s="22">
        <v>6.4009210526315794</v>
      </c>
      <c r="J221" s="22">
        <v>1.5318421052631579</v>
      </c>
      <c r="K221" s="22">
        <v>0.82065789473684203</v>
      </c>
      <c r="L221" s="22">
        <v>0.87539473684210523</v>
      </c>
      <c r="M221" s="22">
        <v>0.49229829550877052</v>
      </c>
      <c r="N221" s="22">
        <v>6.893552631578947</v>
      </c>
      <c r="O221" s="22">
        <v>0.6800286327845384</v>
      </c>
      <c r="P221" s="22">
        <v>2.2057894736842103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F554-6D27-B440-9061-F512F14E4B51}">
  <dimension ref="A1:N244"/>
  <sheetViews>
    <sheetView workbookViewId="0">
      <selection activeCell="R19" sqref="R19"/>
    </sheetView>
  </sheetViews>
  <sheetFormatPr defaultColWidth="10.85546875" defaultRowHeight="15"/>
  <cols>
    <col min="1" max="1" width="20.140625" style="17" bestFit="1" customWidth="1"/>
    <col min="2" max="2" width="5.140625" style="17" bestFit="1" customWidth="1"/>
    <col min="3" max="3" width="11.140625" style="17" bestFit="1" customWidth="1"/>
    <col min="4" max="6" width="4.7109375" style="17" bestFit="1" customWidth="1"/>
    <col min="7" max="7" width="4" style="17" bestFit="1" customWidth="1"/>
    <col min="8" max="8" width="3.7109375" style="17" bestFit="1" customWidth="1"/>
    <col min="9" max="11" width="4.7109375" style="17" bestFit="1" customWidth="1"/>
    <col min="12" max="12" width="3.28515625" style="17" bestFit="1" customWidth="1"/>
    <col min="13" max="13" width="4.7109375" style="17" bestFit="1" customWidth="1"/>
    <col min="14" max="14" width="3.7109375" style="17" bestFit="1" customWidth="1"/>
    <col min="15" max="16384" width="10.85546875" style="17"/>
  </cols>
  <sheetData>
    <row r="1" spans="1:14">
      <c r="A1" s="17" t="s">
        <v>282</v>
      </c>
      <c r="B1" s="17" t="s">
        <v>20</v>
      </c>
      <c r="C1" s="17" t="s">
        <v>283</v>
      </c>
      <c r="D1" s="17" t="s">
        <v>5</v>
      </c>
      <c r="E1" s="17" t="s">
        <v>7</v>
      </c>
      <c r="F1" s="17" t="s">
        <v>8</v>
      </c>
      <c r="G1" s="17" t="s">
        <v>10</v>
      </c>
      <c r="H1" s="17" t="s">
        <v>9</v>
      </c>
      <c r="I1" s="17" t="s">
        <v>11</v>
      </c>
      <c r="J1" s="17" t="s">
        <v>13</v>
      </c>
      <c r="K1" s="17" t="s">
        <v>284</v>
      </c>
      <c r="L1" s="17" t="s">
        <v>285</v>
      </c>
      <c r="M1" s="17" t="s">
        <v>31</v>
      </c>
      <c r="N1" s="17" t="s">
        <v>286</v>
      </c>
    </row>
    <row r="2" spans="1:14">
      <c r="A2" s="17" t="s">
        <v>38</v>
      </c>
      <c r="B2" s="17" t="s">
        <v>40</v>
      </c>
      <c r="C2" s="17" t="s">
        <v>287</v>
      </c>
      <c r="D2" s="17">
        <v>30.2</v>
      </c>
      <c r="E2" s="17">
        <v>5</v>
      </c>
      <c r="F2" s="17">
        <v>5.7</v>
      </c>
      <c r="G2" s="17">
        <v>0.4</v>
      </c>
      <c r="H2" s="17">
        <v>1.3</v>
      </c>
      <c r="I2" s="17">
        <v>0.46899999999999997</v>
      </c>
      <c r="J2" s="17">
        <v>0.86699999999999999</v>
      </c>
      <c r="K2" s="17">
        <v>2.5</v>
      </c>
      <c r="L2" s="17">
        <v>73</v>
      </c>
      <c r="M2" s="17">
        <v>36.1</v>
      </c>
      <c r="N2" s="17">
        <v>3</v>
      </c>
    </row>
    <row r="3" spans="1:14">
      <c r="A3" s="17" t="s">
        <v>27</v>
      </c>
      <c r="B3" s="17" t="s">
        <v>29</v>
      </c>
      <c r="C3" s="17" t="s">
        <v>288</v>
      </c>
      <c r="D3" s="17">
        <v>29.4</v>
      </c>
      <c r="E3" s="17">
        <v>5.3</v>
      </c>
      <c r="F3" s="17">
        <v>5.6</v>
      </c>
      <c r="G3" s="17">
        <v>0.2</v>
      </c>
      <c r="H3" s="17">
        <v>1.3</v>
      </c>
      <c r="I3" s="17">
        <v>0.47399999999999998</v>
      </c>
      <c r="J3" s="17">
        <v>0.92800000000000005</v>
      </c>
      <c r="K3" s="17">
        <v>5</v>
      </c>
      <c r="L3" s="17">
        <v>75</v>
      </c>
      <c r="M3" s="17">
        <v>34.700000000000003</v>
      </c>
      <c r="N3" s="17">
        <v>3.2</v>
      </c>
    </row>
    <row r="4" spans="1:14">
      <c r="A4" s="17" t="s">
        <v>50</v>
      </c>
      <c r="B4" s="17" t="s">
        <v>51</v>
      </c>
      <c r="C4" s="17" t="s">
        <v>288</v>
      </c>
      <c r="D4" s="17">
        <v>29</v>
      </c>
      <c r="E4" s="17">
        <v>8.5</v>
      </c>
      <c r="F4" s="17">
        <v>9</v>
      </c>
      <c r="G4" s="17">
        <v>0.5</v>
      </c>
      <c r="H4" s="17">
        <v>1.1000000000000001</v>
      </c>
      <c r="I4" s="17">
        <v>0.48199999999999998</v>
      </c>
      <c r="J4" s="17">
        <v>0.747</v>
      </c>
      <c r="K4" s="17">
        <v>3.1</v>
      </c>
      <c r="L4" s="17">
        <v>78</v>
      </c>
      <c r="M4" s="17">
        <v>34.700000000000003</v>
      </c>
      <c r="N4" s="17">
        <v>4.2</v>
      </c>
    </row>
    <row r="5" spans="1:14">
      <c r="A5" s="17" t="s">
        <v>76</v>
      </c>
      <c r="B5" s="17" t="s">
        <v>77</v>
      </c>
      <c r="C5" s="17" t="s">
        <v>289</v>
      </c>
      <c r="D5" s="17">
        <v>28.1</v>
      </c>
      <c r="E5" s="17">
        <v>7</v>
      </c>
      <c r="F5" s="17">
        <v>4.5999999999999996</v>
      </c>
      <c r="G5" s="17">
        <v>0.7</v>
      </c>
      <c r="H5" s="17">
        <v>1</v>
      </c>
      <c r="I5" s="17">
        <v>0.61399999999999999</v>
      </c>
      <c r="J5" s="17">
        <v>0.69499999999999995</v>
      </c>
      <c r="K5" s="17">
        <v>0.2</v>
      </c>
      <c r="L5" s="17">
        <v>75</v>
      </c>
      <c r="M5" s="17">
        <v>33.4</v>
      </c>
      <c r="N5" s="17">
        <v>2.5</v>
      </c>
    </row>
    <row r="6" spans="1:14">
      <c r="A6" s="17" t="s">
        <v>34</v>
      </c>
      <c r="B6" s="17" t="s">
        <v>35</v>
      </c>
      <c r="C6" s="17" t="s">
        <v>28</v>
      </c>
      <c r="D6" s="17">
        <v>27.7</v>
      </c>
      <c r="E6" s="17">
        <v>4.0999999999999996</v>
      </c>
      <c r="F6" s="17">
        <v>7.1</v>
      </c>
      <c r="G6" s="17">
        <v>0.3</v>
      </c>
      <c r="H6" s="17">
        <v>0.9</v>
      </c>
      <c r="I6" s="17">
        <v>0.45300000000000001</v>
      </c>
      <c r="J6" s="17">
        <v>0.91400000000000003</v>
      </c>
      <c r="K6" s="17">
        <v>3.9</v>
      </c>
      <c r="L6" s="17">
        <v>77</v>
      </c>
      <c r="M6" s="17">
        <v>36</v>
      </c>
      <c r="N6" s="17">
        <v>2.8</v>
      </c>
    </row>
    <row r="7" spans="1:14">
      <c r="A7" s="17" t="s">
        <v>44</v>
      </c>
      <c r="B7" s="17" t="s">
        <v>46</v>
      </c>
      <c r="C7" s="17" t="s">
        <v>290</v>
      </c>
      <c r="D7" s="17">
        <v>27.6</v>
      </c>
      <c r="E7" s="17">
        <v>11.2</v>
      </c>
      <c r="F7" s="17">
        <v>5.5</v>
      </c>
      <c r="G7" s="17">
        <v>1.1000000000000001</v>
      </c>
      <c r="H7" s="17">
        <v>1.2</v>
      </c>
      <c r="I7" s="17">
        <v>0.57999999999999996</v>
      </c>
      <c r="J7" s="17">
        <v>0.68500000000000005</v>
      </c>
      <c r="K7" s="17">
        <v>1.1000000000000001</v>
      </c>
      <c r="L7" s="17">
        <v>77</v>
      </c>
      <c r="M7" s="17">
        <v>33.200000000000003</v>
      </c>
      <c r="N7" s="17">
        <v>3.3</v>
      </c>
    </row>
    <row r="8" spans="1:14">
      <c r="A8" s="17" t="s">
        <v>36</v>
      </c>
      <c r="B8" s="17" t="s">
        <v>37</v>
      </c>
      <c r="C8" s="17" t="s">
        <v>290</v>
      </c>
      <c r="D8" s="17">
        <v>27</v>
      </c>
      <c r="E8" s="17">
        <v>11.2</v>
      </c>
      <c r="F8" s="17">
        <v>3</v>
      </c>
      <c r="G8" s="17">
        <v>1.4</v>
      </c>
      <c r="H8" s="17">
        <v>1</v>
      </c>
      <c r="I8" s="17">
        <v>0.499</v>
      </c>
      <c r="J8" s="17">
        <v>0.82799999999999996</v>
      </c>
      <c r="K8" s="17">
        <v>1.2</v>
      </c>
      <c r="L8" s="17">
        <v>69</v>
      </c>
      <c r="M8" s="17">
        <v>30.9</v>
      </c>
      <c r="N8" s="17">
        <v>3.1</v>
      </c>
    </row>
    <row r="9" spans="1:14">
      <c r="A9" s="17" t="s">
        <v>41</v>
      </c>
      <c r="B9" s="17" t="s">
        <v>42</v>
      </c>
      <c r="C9" s="17" t="s">
        <v>291</v>
      </c>
      <c r="D9" s="17">
        <v>26.9</v>
      </c>
      <c r="E9" s="17">
        <v>7.2</v>
      </c>
      <c r="F9" s="17">
        <v>4.3</v>
      </c>
      <c r="G9" s="17">
        <v>0.6</v>
      </c>
      <c r="H9" s="17">
        <v>1.2</v>
      </c>
      <c r="I9" s="17">
        <v>0.45800000000000002</v>
      </c>
      <c r="J9" s="17">
        <v>0.85199999999999998</v>
      </c>
      <c r="K9" s="17">
        <v>3</v>
      </c>
      <c r="L9" s="17">
        <v>78</v>
      </c>
      <c r="M9" s="17">
        <v>35.6</v>
      </c>
      <c r="N9" s="17">
        <v>2.7</v>
      </c>
    </row>
    <row r="10" spans="1:14">
      <c r="A10" s="17" t="s">
        <v>32</v>
      </c>
      <c r="B10" s="17" t="s">
        <v>26</v>
      </c>
      <c r="C10" s="17" t="s">
        <v>291</v>
      </c>
      <c r="D10" s="17">
        <v>26.5</v>
      </c>
      <c r="E10" s="17">
        <v>6.8</v>
      </c>
      <c r="F10" s="17">
        <v>4.9000000000000004</v>
      </c>
      <c r="G10" s="17">
        <v>1.1000000000000001</v>
      </c>
      <c r="H10" s="17">
        <v>0.7</v>
      </c>
      <c r="I10" s="17">
        <v>0.53600000000000003</v>
      </c>
      <c r="J10" s="17">
        <v>0.88900000000000001</v>
      </c>
      <c r="K10" s="17">
        <v>2.2000000000000002</v>
      </c>
      <c r="L10" s="17">
        <v>72</v>
      </c>
      <c r="M10" s="17">
        <v>34.1</v>
      </c>
      <c r="N10" s="17">
        <v>3.1</v>
      </c>
    </row>
    <row r="11" spans="1:14">
      <c r="A11" s="17" t="s">
        <v>21</v>
      </c>
      <c r="B11" s="17" t="s">
        <v>23</v>
      </c>
      <c r="C11" s="17" t="s">
        <v>290</v>
      </c>
      <c r="D11" s="17">
        <v>26.3</v>
      </c>
      <c r="E11" s="17">
        <v>10.7</v>
      </c>
      <c r="F11" s="17">
        <v>7.7</v>
      </c>
      <c r="G11" s="17">
        <v>0.8</v>
      </c>
      <c r="H11" s="17">
        <v>1.4</v>
      </c>
      <c r="I11" s="17">
        <v>0.55200000000000005</v>
      </c>
      <c r="J11" s="17">
        <v>0.83899999999999997</v>
      </c>
      <c r="K11" s="17">
        <v>1.4</v>
      </c>
      <c r="L11" s="17">
        <v>77</v>
      </c>
      <c r="M11" s="17">
        <v>35</v>
      </c>
      <c r="N11" s="17">
        <v>3.1</v>
      </c>
    </row>
    <row r="12" spans="1:14">
      <c r="A12" s="17" t="s">
        <v>58</v>
      </c>
      <c r="B12" s="17" t="s">
        <v>59</v>
      </c>
      <c r="C12" s="17" t="s">
        <v>287</v>
      </c>
      <c r="D12" s="17">
        <v>26.2</v>
      </c>
      <c r="E12" s="17">
        <v>4.9000000000000004</v>
      </c>
      <c r="F12" s="17">
        <v>4.5</v>
      </c>
      <c r="G12" s="17">
        <v>0.5</v>
      </c>
      <c r="H12" s="17">
        <v>0.8</v>
      </c>
      <c r="I12" s="17">
        <v>0.48899999999999999</v>
      </c>
      <c r="J12" s="17">
        <v>0.84299999999999997</v>
      </c>
      <c r="K12" s="17">
        <v>3.2</v>
      </c>
      <c r="L12" s="17">
        <v>74</v>
      </c>
      <c r="M12" s="17">
        <v>34.9</v>
      </c>
      <c r="N12" s="17">
        <v>3.2</v>
      </c>
    </row>
    <row r="13" spans="1:14">
      <c r="A13" s="17" t="s">
        <v>66</v>
      </c>
      <c r="B13" s="17" t="s">
        <v>292</v>
      </c>
      <c r="C13" s="17" t="s">
        <v>288</v>
      </c>
      <c r="D13" s="17">
        <v>25.5</v>
      </c>
      <c r="E13" s="17">
        <v>4.3</v>
      </c>
      <c r="F13" s="17">
        <v>4.9000000000000004</v>
      </c>
      <c r="G13" s="17">
        <v>0.3</v>
      </c>
      <c r="H13" s="17">
        <v>1.1000000000000001</v>
      </c>
      <c r="I13" s="17">
        <v>0.44400000000000001</v>
      </c>
      <c r="J13" s="17">
        <v>0.83599999999999997</v>
      </c>
      <c r="K13" s="17">
        <v>3.1</v>
      </c>
      <c r="L13" s="17">
        <v>75</v>
      </c>
      <c r="M13" s="17">
        <v>34.200000000000003</v>
      </c>
      <c r="N13" s="17">
        <v>2.7</v>
      </c>
    </row>
    <row r="14" spans="1:14">
      <c r="A14" s="17" t="s">
        <v>91</v>
      </c>
      <c r="B14" s="17" t="s">
        <v>72</v>
      </c>
      <c r="C14" s="17" t="s">
        <v>293</v>
      </c>
      <c r="D14" s="17">
        <v>25.4</v>
      </c>
      <c r="E14" s="17">
        <v>4.2</v>
      </c>
      <c r="F14" s="17">
        <v>4.7</v>
      </c>
      <c r="G14" s="17">
        <v>0.2</v>
      </c>
      <c r="H14" s="17">
        <v>0.8</v>
      </c>
      <c r="I14" s="17">
        <v>0.48299999999999998</v>
      </c>
      <c r="J14" s="17">
        <v>0.88100000000000001</v>
      </c>
      <c r="K14" s="17">
        <v>2</v>
      </c>
      <c r="L14" s="17">
        <v>77</v>
      </c>
      <c r="M14" s="17">
        <v>35</v>
      </c>
      <c r="N14" s="17">
        <v>3.1</v>
      </c>
    </row>
    <row r="15" spans="1:14">
      <c r="A15" s="17" t="s">
        <v>24</v>
      </c>
      <c r="B15" s="17" t="s">
        <v>26</v>
      </c>
      <c r="C15" s="17" t="s">
        <v>288</v>
      </c>
      <c r="D15" s="17">
        <v>25.1</v>
      </c>
      <c r="E15" s="17">
        <v>7.3</v>
      </c>
      <c r="F15" s="17">
        <v>10.1</v>
      </c>
      <c r="G15" s="17">
        <v>0.8</v>
      </c>
      <c r="H15" s="17">
        <v>1.3</v>
      </c>
      <c r="I15" s="17">
        <v>0.48</v>
      </c>
      <c r="J15" s="17">
        <v>0.875</v>
      </c>
      <c r="K15" s="17">
        <v>3</v>
      </c>
      <c r="L15" s="17">
        <v>76</v>
      </c>
      <c r="M15" s="17">
        <v>36.200000000000003</v>
      </c>
      <c r="N15" s="17">
        <v>3.9</v>
      </c>
    </row>
    <row r="16" spans="1:14">
      <c r="A16" s="17" t="s">
        <v>60</v>
      </c>
      <c r="B16" s="17" t="s">
        <v>61</v>
      </c>
      <c r="C16" s="17" t="s">
        <v>28</v>
      </c>
      <c r="D16" s="17">
        <v>25.1</v>
      </c>
      <c r="E16" s="17">
        <v>3.9</v>
      </c>
      <c r="F16" s="17">
        <v>9.1</v>
      </c>
      <c r="G16" s="17">
        <v>0.2</v>
      </c>
      <c r="H16" s="17">
        <v>0.8</v>
      </c>
      <c r="I16" s="17">
        <v>0.44600000000000001</v>
      </c>
      <c r="J16" s="17">
        <v>0.874</v>
      </c>
      <c r="K16" s="17">
        <v>2.5</v>
      </c>
      <c r="L16" s="17">
        <v>78</v>
      </c>
      <c r="M16" s="17">
        <v>34.299999999999997</v>
      </c>
      <c r="N16" s="17">
        <v>3.8</v>
      </c>
    </row>
    <row r="17" spans="1:14">
      <c r="A17" s="17" t="s">
        <v>47</v>
      </c>
      <c r="B17" s="17" t="s">
        <v>49</v>
      </c>
      <c r="C17" s="17" t="s">
        <v>294</v>
      </c>
      <c r="D17" s="17">
        <v>24.5</v>
      </c>
      <c r="E17" s="17">
        <v>6.7</v>
      </c>
      <c r="F17" s="17">
        <v>4.8</v>
      </c>
      <c r="G17" s="17">
        <v>0.5</v>
      </c>
      <c r="H17" s="17">
        <v>1.3</v>
      </c>
      <c r="I17" s="17">
        <v>0.45600000000000002</v>
      </c>
      <c r="J17" s="17">
        <v>0.88200000000000001</v>
      </c>
      <c r="K17" s="17">
        <v>3.4</v>
      </c>
      <c r="L17" s="17">
        <v>74</v>
      </c>
      <c r="M17" s="17">
        <v>34.700000000000003</v>
      </c>
      <c r="N17" s="17">
        <v>3.2</v>
      </c>
    </row>
    <row r="18" spans="1:14">
      <c r="A18" s="17" t="s">
        <v>43</v>
      </c>
      <c r="B18" s="17" t="s">
        <v>26</v>
      </c>
      <c r="C18" s="17" t="s">
        <v>288</v>
      </c>
      <c r="D18" s="17">
        <v>24.4</v>
      </c>
      <c r="E18" s="17">
        <v>4.3</v>
      </c>
      <c r="F18" s="17">
        <v>5.4</v>
      </c>
      <c r="G18" s="17">
        <v>0.5</v>
      </c>
      <c r="H18" s="17">
        <v>1.3</v>
      </c>
      <c r="I18" s="17">
        <v>0.51</v>
      </c>
      <c r="J18" s="17">
        <v>0.90100000000000002</v>
      </c>
      <c r="K18" s="17">
        <v>2.7</v>
      </c>
      <c r="L18" s="17">
        <v>53</v>
      </c>
      <c r="M18" s="17">
        <v>34.1</v>
      </c>
      <c r="N18" s="17">
        <v>2.4</v>
      </c>
    </row>
    <row r="19" spans="1:14">
      <c r="A19" s="17" t="s">
        <v>30</v>
      </c>
      <c r="B19" s="17" t="s">
        <v>31</v>
      </c>
      <c r="C19" s="17" t="s">
        <v>22</v>
      </c>
      <c r="D19" s="17">
        <v>24.4</v>
      </c>
      <c r="E19" s="17">
        <v>10.3</v>
      </c>
      <c r="F19" s="17">
        <v>3.9</v>
      </c>
      <c r="G19" s="17">
        <v>1.3</v>
      </c>
      <c r="H19" s="17">
        <v>0.8</v>
      </c>
      <c r="I19" s="17">
        <v>0.495</v>
      </c>
      <c r="J19" s="17">
        <v>0.81200000000000006</v>
      </c>
      <c r="K19" s="17">
        <v>2.6</v>
      </c>
      <c r="L19" s="17">
        <v>73</v>
      </c>
      <c r="M19" s="17">
        <v>34</v>
      </c>
      <c r="N19" s="17">
        <v>3.1</v>
      </c>
    </row>
    <row r="20" spans="1:14">
      <c r="A20" s="17" t="s">
        <v>93</v>
      </c>
      <c r="B20" s="17" t="s">
        <v>94</v>
      </c>
      <c r="C20" s="17" t="s">
        <v>28</v>
      </c>
      <c r="D20" s="17">
        <v>24.3</v>
      </c>
      <c r="E20" s="17">
        <v>3.4</v>
      </c>
      <c r="F20" s="17">
        <v>7.3</v>
      </c>
      <c r="G20" s="17">
        <v>0.5</v>
      </c>
      <c r="H20" s="17">
        <v>1.5</v>
      </c>
      <c r="I20" s="17">
        <v>0.48699999999999999</v>
      </c>
      <c r="J20" s="17">
        <v>0.72499999999999998</v>
      </c>
      <c r="K20" s="17">
        <v>1.6</v>
      </c>
      <c r="L20" s="17">
        <v>76</v>
      </c>
      <c r="M20" s="17">
        <v>34.6</v>
      </c>
      <c r="N20" s="17">
        <v>2.8</v>
      </c>
    </row>
    <row r="21" spans="1:14">
      <c r="A21" s="17" t="s">
        <v>79</v>
      </c>
      <c r="B21" s="17" t="s">
        <v>42</v>
      </c>
      <c r="C21" s="17" t="s">
        <v>295</v>
      </c>
      <c r="D21" s="17">
        <v>24</v>
      </c>
      <c r="E21" s="17">
        <v>5.9</v>
      </c>
      <c r="F21" s="17">
        <v>3.2</v>
      </c>
      <c r="G21" s="17">
        <v>0.5</v>
      </c>
      <c r="H21" s="17">
        <v>1.2</v>
      </c>
      <c r="I21" s="17">
        <v>0.48099999999999998</v>
      </c>
      <c r="J21" s="17">
        <v>0.75900000000000001</v>
      </c>
      <c r="K21" s="17">
        <v>2.8</v>
      </c>
      <c r="L21" s="17">
        <v>74</v>
      </c>
      <c r="M21" s="17">
        <v>34.4</v>
      </c>
      <c r="N21" s="17">
        <v>2.6</v>
      </c>
    </row>
    <row r="22" spans="1:14">
      <c r="A22" s="17" t="s">
        <v>80</v>
      </c>
      <c r="B22" s="17" t="s">
        <v>55</v>
      </c>
      <c r="C22" s="17" t="s">
        <v>296</v>
      </c>
      <c r="D22" s="17">
        <v>23.5</v>
      </c>
      <c r="E22" s="17">
        <v>7.6</v>
      </c>
      <c r="F22" s="17">
        <v>7.5</v>
      </c>
      <c r="G22" s="17">
        <v>0.6</v>
      </c>
      <c r="H22" s="17">
        <v>1.1000000000000001</v>
      </c>
      <c r="I22" s="17">
        <v>0.51800000000000002</v>
      </c>
      <c r="J22" s="17">
        <v>0.71899999999999997</v>
      </c>
      <c r="K22" s="17">
        <v>2</v>
      </c>
      <c r="L22" s="17">
        <v>77</v>
      </c>
      <c r="M22" s="17">
        <v>33.700000000000003</v>
      </c>
      <c r="N22" s="17">
        <v>3.2</v>
      </c>
    </row>
    <row r="23" spans="1:14">
      <c r="A23" s="17" t="s">
        <v>97</v>
      </c>
      <c r="B23" s="17" t="s">
        <v>77</v>
      </c>
      <c r="C23" s="17" t="s">
        <v>291</v>
      </c>
      <c r="D23" s="17">
        <v>23.3</v>
      </c>
      <c r="E23" s="17">
        <v>5.0999999999999996</v>
      </c>
      <c r="F23" s="17">
        <v>4.4000000000000004</v>
      </c>
      <c r="G23" s="17">
        <v>0.5</v>
      </c>
      <c r="H23" s="17">
        <v>0.8</v>
      </c>
      <c r="I23" s="17">
        <v>0.46700000000000003</v>
      </c>
      <c r="J23" s="17">
        <v>0.85099999999999998</v>
      </c>
      <c r="K23" s="17">
        <v>2.1</v>
      </c>
      <c r="L23" s="17">
        <v>74</v>
      </c>
      <c r="M23" s="17">
        <v>34.799999999999997</v>
      </c>
      <c r="N23" s="17">
        <v>2.5</v>
      </c>
    </row>
    <row r="24" spans="1:14">
      <c r="A24" s="17" t="s">
        <v>54</v>
      </c>
      <c r="B24" s="17" t="s">
        <v>55</v>
      </c>
      <c r="C24" s="17" t="s">
        <v>290</v>
      </c>
      <c r="D24" s="17">
        <v>23</v>
      </c>
      <c r="E24" s="17">
        <v>8.5</v>
      </c>
      <c r="F24" s="17">
        <v>2.7</v>
      </c>
      <c r="G24" s="17">
        <v>1.8</v>
      </c>
      <c r="H24" s="17">
        <v>1.3</v>
      </c>
      <c r="I24" s="17">
        <v>0.51700000000000002</v>
      </c>
      <c r="J24" s="17">
        <v>0.78300000000000003</v>
      </c>
      <c r="K24" s="17">
        <v>0.8</v>
      </c>
      <c r="L24" s="17">
        <v>74</v>
      </c>
      <c r="M24" s="17">
        <v>33.1</v>
      </c>
      <c r="N24" s="17">
        <v>2.1</v>
      </c>
    </row>
    <row r="25" spans="1:14">
      <c r="A25" s="17" t="s">
        <v>140</v>
      </c>
      <c r="B25" s="17" t="s">
        <v>118</v>
      </c>
      <c r="C25" s="17" t="s">
        <v>288</v>
      </c>
      <c r="D25" s="17">
        <v>22.3</v>
      </c>
      <c r="E25" s="17">
        <v>3.1</v>
      </c>
      <c r="F25" s="17">
        <v>3.9</v>
      </c>
      <c r="G25" s="17">
        <v>0.2</v>
      </c>
      <c r="H25" s="17">
        <v>1</v>
      </c>
      <c r="I25" s="17">
        <v>0.47399999999999998</v>
      </c>
      <c r="J25" s="17">
        <v>0.82799999999999996</v>
      </c>
      <c r="K25" s="17">
        <v>1.6</v>
      </c>
      <c r="L25" s="17">
        <v>76</v>
      </c>
      <c r="M25" s="17">
        <v>35.1</v>
      </c>
      <c r="N25" s="17">
        <v>2.5</v>
      </c>
    </row>
    <row r="26" spans="1:14">
      <c r="A26" s="17" t="s">
        <v>69</v>
      </c>
      <c r="B26" s="17" t="s">
        <v>70</v>
      </c>
      <c r="C26" s="17" t="s">
        <v>288</v>
      </c>
      <c r="D26" s="17">
        <v>22.3</v>
      </c>
      <c r="E26" s="17">
        <v>4.5999999999999996</v>
      </c>
      <c r="F26" s="17">
        <v>5.2</v>
      </c>
      <c r="G26" s="17">
        <v>0.6</v>
      </c>
      <c r="H26" s="17">
        <v>1</v>
      </c>
      <c r="I26" s="17">
        <v>0.48099999999999998</v>
      </c>
      <c r="J26" s="17">
        <v>0.81100000000000005</v>
      </c>
      <c r="K26" s="17">
        <v>2</v>
      </c>
      <c r="L26" s="17">
        <v>75</v>
      </c>
      <c r="M26" s="17">
        <v>34.700000000000003</v>
      </c>
      <c r="N26" s="17">
        <v>2.7</v>
      </c>
    </row>
    <row r="27" spans="1:14">
      <c r="A27" s="17" t="s">
        <v>297</v>
      </c>
      <c r="B27" s="17" t="s">
        <v>35</v>
      </c>
      <c r="C27" s="17" t="s">
        <v>288</v>
      </c>
      <c r="D27" s="17">
        <v>22.2</v>
      </c>
      <c r="E27" s="17">
        <v>4.0999999999999996</v>
      </c>
      <c r="F27" s="17">
        <v>4.0999999999999996</v>
      </c>
      <c r="G27" s="17">
        <v>0.4</v>
      </c>
      <c r="H27" s="17">
        <v>0.9</v>
      </c>
      <c r="I27" s="17">
        <v>0.45600000000000002</v>
      </c>
      <c r="J27" s="17">
        <v>0.79900000000000004</v>
      </c>
      <c r="K27" s="17">
        <v>3.4</v>
      </c>
      <c r="L27" s="17">
        <v>75</v>
      </c>
      <c r="M27" s="17">
        <v>35.5</v>
      </c>
      <c r="N27" s="17">
        <v>1.6</v>
      </c>
    </row>
    <row r="28" spans="1:14">
      <c r="A28" s="17" t="s">
        <v>135</v>
      </c>
      <c r="B28" s="17" t="s">
        <v>84</v>
      </c>
      <c r="C28" s="17" t="s">
        <v>28</v>
      </c>
      <c r="D28" s="17">
        <v>21.9</v>
      </c>
      <c r="E28" s="17">
        <v>4.3</v>
      </c>
      <c r="F28" s="17">
        <v>8</v>
      </c>
      <c r="G28" s="17">
        <v>0.3</v>
      </c>
      <c r="H28" s="17">
        <v>1</v>
      </c>
      <c r="I28" s="17">
        <v>0.47599999999999998</v>
      </c>
      <c r="J28" s="17">
        <v>0.76300000000000001</v>
      </c>
      <c r="K28" s="17">
        <v>1.5</v>
      </c>
      <c r="L28" s="17">
        <v>76</v>
      </c>
      <c r="M28" s="17">
        <v>33.6</v>
      </c>
      <c r="N28" s="17">
        <v>3.3</v>
      </c>
    </row>
    <row r="29" spans="1:14">
      <c r="A29" s="17" t="s">
        <v>125</v>
      </c>
      <c r="B29" s="17" t="s">
        <v>49</v>
      </c>
      <c r="C29" s="17" t="s">
        <v>298</v>
      </c>
      <c r="D29" s="17">
        <v>21.9</v>
      </c>
      <c r="E29" s="17">
        <v>5.7</v>
      </c>
      <c r="F29" s="17">
        <v>4</v>
      </c>
      <c r="G29" s="17">
        <v>0.4</v>
      </c>
      <c r="H29" s="17">
        <v>1.4</v>
      </c>
      <c r="I29" s="17">
        <v>0.47699999999999998</v>
      </c>
      <c r="J29" s="17">
        <v>0.85199999999999998</v>
      </c>
      <c r="K29" s="17">
        <v>1.7</v>
      </c>
      <c r="L29" s="17">
        <v>14</v>
      </c>
      <c r="M29" s="17">
        <v>29.8</v>
      </c>
      <c r="N29" s="17">
        <v>2</v>
      </c>
    </row>
    <row r="30" spans="1:14">
      <c r="A30" s="17" t="s">
        <v>87</v>
      </c>
      <c r="B30" s="17" t="s">
        <v>88</v>
      </c>
      <c r="C30" s="17" t="s">
        <v>290</v>
      </c>
      <c r="D30" s="17">
        <v>21.7</v>
      </c>
      <c r="E30" s="17">
        <v>9.4</v>
      </c>
      <c r="F30" s="17">
        <v>4.5</v>
      </c>
      <c r="G30" s="17">
        <v>0.3</v>
      </c>
      <c r="H30" s="17">
        <v>0.8</v>
      </c>
      <c r="I30" s="17">
        <v>0.45900000000000002</v>
      </c>
      <c r="J30" s="17">
        <v>0.78400000000000003</v>
      </c>
      <c r="K30" s="17">
        <v>1.8</v>
      </c>
      <c r="L30" s="17">
        <v>78</v>
      </c>
      <c r="M30" s="17">
        <v>35.5</v>
      </c>
      <c r="N30" s="17">
        <v>3</v>
      </c>
    </row>
    <row r="31" spans="1:14">
      <c r="A31" s="17" t="s">
        <v>102</v>
      </c>
      <c r="B31" s="17" t="s">
        <v>31</v>
      </c>
      <c r="C31" s="17" t="s">
        <v>287</v>
      </c>
      <c r="D31" s="17">
        <v>21.6</v>
      </c>
      <c r="E31" s="17">
        <v>4.9000000000000004</v>
      </c>
      <c r="F31" s="17">
        <v>3.6</v>
      </c>
      <c r="G31" s="17">
        <v>0.5</v>
      </c>
      <c r="H31" s="17">
        <v>1.2</v>
      </c>
      <c r="I31" s="17">
        <v>0.435</v>
      </c>
      <c r="J31" s="17">
        <v>0.78600000000000003</v>
      </c>
      <c r="K31" s="17">
        <v>2.8</v>
      </c>
      <c r="L31" s="17">
        <v>79</v>
      </c>
      <c r="M31" s="17">
        <v>34.299999999999997</v>
      </c>
      <c r="N31" s="17">
        <v>2.4</v>
      </c>
    </row>
    <row r="32" spans="1:14">
      <c r="A32" s="17" t="s">
        <v>99</v>
      </c>
      <c r="B32" s="17" t="s">
        <v>100</v>
      </c>
      <c r="C32" s="17" t="s">
        <v>290</v>
      </c>
      <c r="D32" s="17">
        <v>20.9</v>
      </c>
      <c r="E32" s="17">
        <v>8.8000000000000007</v>
      </c>
      <c r="F32" s="17">
        <v>1.6</v>
      </c>
      <c r="G32" s="17">
        <v>1.1000000000000001</v>
      </c>
      <c r="H32" s="17">
        <v>0.8</v>
      </c>
      <c r="I32" s="17">
        <v>0.53100000000000003</v>
      </c>
      <c r="J32" s="17">
        <v>0.67100000000000004</v>
      </c>
      <c r="K32" s="17">
        <v>1.8</v>
      </c>
      <c r="L32" s="17">
        <v>72</v>
      </c>
      <c r="M32" s="17">
        <v>32.299999999999997</v>
      </c>
      <c r="N32" s="17">
        <v>2.1</v>
      </c>
    </row>
    <row r="33" spans="1:14">
      <c r="A33" s="17" t="s">
        <v>68</v>
      </c>
      <c r="B33" s="17" t="s">
        <v>59</v>
      </c>
      <c r="C33" s="17" t="s">
        <v>22</v>
      </c>
      <c r="D33" s="17">
        <v>20.7</v>
      </c>
      <c r="E33" s="17">
        <v>11.3</v>
      </c>
      <c r="F33" s="17">
        <v>3.2</v>
      </c>
      <c r="G33" s="17">
        <v>0.8</v>
      </c>
      <c r="H33" s="17">
        <v>0.8</v>
      </c>
      <c r="I33" s="17">
        <v>0.48899999999999999</v>
      </c>
      <c r="J33" s="17">
        <v>0.83</v>
      </c>
      <c r="K33" s="17">
        <v>2</v>
      </c>
      <c r="L33" s="17">
        <v>75</v>
      </c>
      <c r="M33" s="17">
        <v>33.1</v>
      </c>
      <c r="N33" s="17">
        <v>1.9</v>
      </c>
    </row>
    <row r="34" spans="1:14">
      <c r="A34" s="17" t="s">
        <v>82</v>
      </c>
      <c r="B34" s="17" t="s">
        <v>23</v>
      </c>
      <c r="C34" s="17" t="s">
        <v>291</v>
      </c>
      <c r="D34" s="17">
        <v>20.5</v>
      </c>
      <c r="E34" s="17">
        <v>7.9</v>
      </c>
      <c r="F34" s="17">
        <v>1.3</v>
      </c>
      <c r="G34" s="17">
        <v>0.9</v>
      </c>
      <c r="H34" s="17">
        <v>0.8</v>
      </c>
      <c r="I34" s="17">
        <v>0.52200000000000002</v>
      </c>
      <c r="J34" s="17">
        <v>0.79800000000000004</v>
      </c>
      <c r="K34" s="17">
        <v>3</v>
      </c>
      <c r="L34" s="17">
        <v>73</v>
      </c>
      <c r="M34" s="17">
        <v>31.8</v>
      </c>
      <c r="N34" s="17">
        <v>1.6</v>
      </c>
    </row>
    <row r="35" spans="1:14">
      <c r="A35" s="17" t="s">
        <v>85</v>
      </c>
      <c r="B35" s="17" t="s">
        <v>51</v>
      </c>
      <c r="C35" s="17" t="s">
        <v>290</v>
      </c>
      <c r="D35" s="17">
        <v>20.5</v>
      </c>
      <c r="E35" s="17">
        <v>8.8000000000000007</v>
      </c>
      <c r="F35" s="17">
        <v>1.7</v>
      </c>
      <c r="G35" s="17">
        <v>1.4</v>
      </c>
      <c r="H35" s="17">
        <v>0.6</v>
      </c>
      <c r="I35" s="17">
        <v>0.46600000000000003</v>
      </c>
      <c r="J35" s="17">
        <v>0.83799999999999997</v>
      </c>
      <c r="K35" s="17">
        <v>2.2999999999999998</v>
      </c>
      <c r="L35" s="17">
        <v>70</v>
      </c>
      <c r="M35" s="17">
        <v>31.4</v>
      </c>
      <c r="N35" s="17">
        <v>1.4</v>
      </c>
    </row>
    <row r="36" spans="1:14">
      <c r="A36" s="17" t="s">
        <v>95</v>
      </c>
      <c r="B36" s="17" t="s">
        <v>46</v>
      </c>
      <c r="C36" s="17" t="s">
        <v>294</v>
      </c>
      <c r="D36" s="17">
        <v>20.2</v>
      </c>
      <c r="E36" s="17">
        <v>5.6</v>
      </c>
      <c r="F36" s="17">
        <v>4.9000000000000004</v>
      </c>
      <c r="G36" s="17">
        <v>0.1</v>
      </c>
      <c r="H36" s="17">
        <v>1.1000000000000001</v>
      </c>
      <c r="I36" s="17">
        <v>0.46899999999999997</v>
      </c>
      <c r="J36" s="17">
        <v>0.88700000000000001</v>
      </c>
      <c r="K36" s="17">
        <v>2.2999999999999998</v>
      </c>
      <c r="L36" s="17">
        <v>77</v>
      </c>
      <c r="M36" s="17">
        <v>33</v>
      </c>
      <c r="N36" s="17">
        <v>2.5</v>
      </c>
    </row>
    <row r="37" spans="1:14">
      <c r="A37" s="17" t="s">
        <v>52</v>
      </c>
      <c r="B37" s="17" t="s">
        <v>53</v>
      </c>
      <c r="C37" s="17" t="s">
        <v>294</v>
      </c>
      <c r="D37" s="17">
        <v>20.100000000000001</v>
      </c>
      <c r="E37" s="17">
        <v>5.5</v>
      </c>
      <c r="F37" s="17">
        <v>5</v>
      </c>
      <c r="G37" s="17">
        <v>0.4</v>
      </c>
      <c r="H37" s="17">
        <v>1.8</v>
      </c>
      <c r="I37" s="17">
        <v>0.48399999999999999</v>
      </c>
      <c r="J37" s="17">
        <v>0.85099999999999998</v>
      </c>
      <c r="K37" s="17">
        <v>0.6</v>
      </c>
      <c r="L37" s="17">
        <v>73</v>
      </c>
      <c r="M37" s="17">
        <v>34</v>
      </c>
      <c r="N37" s="17">
        <v>2.1</v>
      </c>
    </row>
    <row r="38" spans="1:14">
      <c r="A38" s="17" t="s">
        <v>111</v>
      </c>
      <c r="B38" s="17" t="s">
        <v>31</v>
      </c>
      <c r="C38" s="17" t="s">
        <v>288</v>
      </c>
      <c r="D38" s="17">
        <v>20</v>
      </c>
      <c r="E38" s="17">
        <v>2.9</v>
      </c>
      <c r="F38" s="17">
        <v>6.2</v>
      </c>
      <c r="G38" s="17">
        <v>0.4</v>
      </c>
      <c r="H38" s="17">
        <v>1.2</v>
      </c>
      <c r="I38" s="17">
        <v>0.43099999999999999</v>
      </c>
      <c r="J38" s="17">
        <v>0.77500000000000002</v>
      </c>
      <c r="K38" s="17">
        <v>3.1</v>
      </c>
      <c r="L38" s="17">
        <v>72</v>
      </c>
      <c r="M38" s="17">
        <v>30.9</v>
      </c>
      <c r="N38" s="17">
        <v>2.8</v>
      </c>
    </row>
    <row r="39" spans="1:14">
      <c r="A39" s="17" t="s">
        <v>89</v>
      </c>
      <c r="B39" s="17" t="s">
        <v>57</v>
      </c>
      <c r="C39" s="17" t="s">
        <v>299</v>
      </c>
      <c r="D39" s="17">
        <v>19.899999999999999</v>
      </c>
      <c r="E39" s="17">
        <v>7.5</v>
      </c>
      <c r="F39" s="17">
        <v>3.7</v>
      </c>
      <c r="G39" s="17">
        <v>0.7</v>
      </c>
      <c r="H39" s="17">
        <v>1.1000000000000001</v>
      </c>
      <c r="I39" s="17">
        <v>0.45</v>
      </c>
      <c r="J39" s="17">
        <v>0.82</v>
      </c>
      <c r="K39" s="17">
        <v>1.4</v>
      </c>
      <c r="L39" s="17">
        <v>62</v>
      </c>
      <c r="M39" s="17">
        <v>34.9</v>
      </c>
      <c r="N39" s="17">
        <v>2.1</v>
      </c>
    </row>
    <row r="40" spans="1:14">
      <c r="A40" s="17" t="s">
        <v>157</v>
      </c>
      <c r="B40" s="17" t="s">
        <v>115</v>
      </c>
      <c r="C40" s="17" t="s">
        <v>291</v>
      </c>
      <c r="D40" s="17">
        <v>19.7</v>
      </c>
      <c r="E40" s="17">
        <v>4.4000000000000004</v>
      </c>
      <c r="F40" s="17">
        <v>2.2000000000000002</v>
      </c>
      <c r="G40" s="17">
        <v>1.2</v>
      </c>
      <c r="H40" s="17">
        <v>0.6</v>
      </c>
      <c r="I40" s="17">
        <v>0.45</v>
      </c>
      <c r="J40" s="17">
        <v>0.82</v>
      </c>
      <c r="K40" s="17">
        <v>2</v>
      </c>
      <c r="L40" s="17">
        <v>76</v>
      </c>
      <c r="M40" s="17">
        <v>33.700000000000003</v>
      </c>
      <c r="N40" s="17">
        <v>1.7</v>
      </c>
    </row>
    <row r="41" spans="1:14">
      <c r="A41" s="17" t="s">
        <v>74</v>
      </c>
      <c r="B41" s="17" t="s">
        <v>75</v>
      </c>
      <c r="C41" s="17" t="s">
        <v>290</v>
      </c>
      <c r="D41" s="17">
        <v>19.600000000000001</v>
      </c>
      <c r="E41" s="17">
        <v>11.9</v>
      </c>
      <c r="F41" s="17">
        <v>6.1</v>
      </c>
      <c r="G41" s="17">
        <v>0.5</v>
      </c>
      <c r="H41" s="17">
        <v>1.1000000000000001</v>
      </c>
      <c r="I41" s="17">
        <v>0.56399999999999995</v>
      </c>
      <c r="J41" s="17">
        <v>0.73</v>
      </c>
      <c r="K41" s="17">
        <v>0.6</v>
      </c>
      <c r="L41" s="17">
        <v>75</v>
      </c>
      <c r="M41" s="17">
        <v>34.700000000000003</v>
      </c>
      <c r="N41" s="17">
        <v>3</v>
      </c>
    </row>
    <row r="42" spans="1:14">
      <c r="A42" s="17" t="s">
        <v>116</v>
      </c>
      <c r="B42" s="17" t="s">
        <v>59</v>
      </c>
      <c r="C42" s="17" t="s">
        <v>294</v>
      </c>
      <c r="D42" s="17">
        <v>19.5</v>
      </c>
      <c r="E42" s="17">
        <v>4.4000000000000004</v>
      </c>
      <c r="F42" s="17">
        <v>5.0999999999999996</v>
      </c>
      <c r="G42" s="17">
        <v>0.3</v>
      </c>
      <c r="H42" s="17">
        <v>1</v>
      </c>
      <c r="I42" s="17">
        <v>0.504</v>
      </c>
      <c r="J42" s="17">
        <v>0.86699999999999999</v>
      </c>
      <c r="K42" s="17">
        <v>0.3</v>
      </c>
      <c r="L42" s="17">
        <v>77</v>
      </c>
      <c r="M42" s="17">
        <v>34</v>
      </c>
      <c r="N42" s="17">
        <v>2</v>
      </c>
    </row>
    <row r="43" spans="1:14">
      <c r="A43" s="17" t="s">
        <v>141</v>
      </c>
      <c r="B43" s="17" t="s">
        <v>75</v>
      </c>
      <c r="C43" s="17" t="s">
        <v>288</v>
      </c>
      <c r="D43" s="17">
        <v>19.3</v>
      </c>
      <c r="E43" s="17">
        <v>4.7</v>
      </c>
      <c r="F43" s="17">
        <v>5.5</v>
      </c>
      <c r="G43" s="17">
        <v>0.2</v>
      </c>
      <c r="H43" s="17">
        <v>0.8</v>
      </c>
      <c r="I43" s="17">
        <v>0.44900000000000001</v>
      </c>
      <c r="J43" s="17">
        <v>0.85699999999999998</v>
      </c>
      <c r="K43" s="17">
        <v>2.1</v>
      </c>
      <c r="L43" s="17">
        <v>72</v>
      </c>
      <c r="M43" s="17">
        <v>33.4</v>
      </c>
      <c r="N43" s="17">
        <v>2.1</v>
      </c>
    </row>
    <row r="44" spans="1:14">
      <c r="A44" s="17" t="s">
        <v>300</v>
      </c>
      <c r="B44" s="17" t="s">
        <v>55</v>
      </c>
      <c r="C44" s="17" t="s">
        <v>28</v>
      </c>
      <c r="D44" s="17">
        <v>19.100000000000001</v>
      </c>
      <c r="E44" s="17">
        <v>8.8000000000000007</v>
      </c>
      <c r="F44" s="17">
        <v>8.3000000000000007</v>
      </c>
      <c r="G44" s="17">
        <v>0.3</v>
      </c>
      <c r="H44" s="17">
        <v>1.3</v>
      </c>
      <c r="I44" s="17">
        <v>0.46</v>
      </c>
      <c r="J44" s="17">
        <v>0.71899999999999997</v>
      </c>
      <c r="K44" s="17">
        <v>1</v>
      </c>
      <c r="L44" s="17">
        <v>76</v>
      </c>
      <c r="M44" s="17">
        <v>34</v>
      </c>
      <c r="N44" s="17">
        <v>3.6</v>
      </c>
    </row>
    <row r="45" spans="1:14">
      <c r="A45" s="17" t="s">
        <v>131</v>
      </c>
      <c r="B45" s="17" t="s">
        <v>75</v>
      </c>
      <c r="C45" s="17" t="s">
        <v>287</v>
      </c>
      <c r="D45" s="17">
        <v>18.899999999999999</v>
      </c>
      <c r="E45" s="17">
        <v>4.4000000000000004</v>
      </c>
      <c r="F45" s="17">
        <v>4.9000000000000004</v>
      </c>
      <c r="G45" s="17">
        <v>0.5</v>
      </c>
      <c r="H45" s="17">
        <v>1.4</v>
      </c>
      <c r="I45" s="17">
        <v>0.44</v>
      </c>
      <c r="J45" s="17">
        <v>0.77700000000000002</v>
      </c>
      <c r="K45" s="17">
        <v>1.6</v>
      </c>
      <c r="L45" s="17">
        <v>72</v>
      </c>
      <c r="M45" s="17">
        <v>31.3</v>
      </c>
      <c r="N45" s="17">
        <v>2.4</v>
      </c>
    </row>
    <row r="46" spans="1:14">
      <c r="A46" s="17" t="s">
        <v>103</v>
      </c>
      <c r="B46" s="17" t="s">
        <v>37</v>
      </c>
      <c r="C46" s="17" t="s">
        <v>291</v>
      </c>
      <c r="D46" s="17">
        <v>18.8</v>
      </c>
      <c r="E46" s="17">
        <v>7</v>
      </c>
      <c r="F46" s="17">
        <v>3.2</v>
      </c>
      <c r="G46" s="17">
        <v>0.8</v>
      </c>
      <c r="H46" s="17">
        <v>0.9</v>
      </c>
      <c r="I46" s="17">
        <v>0.499</v>
      </c>
      <c r="J46" s="17">
        <v>0.87</v>
      </c>
      <c r="K46" s="17">
        <v>1.4</v>
      </c>
      <c r="L46" s="17">
        <v>77</v>
      </c>
      <c r="M46" s="17">
        <v>33.9</v>
      </c>
      <c r="N46" s="17">
        <v>1.7</v>
      </c>
    </row>
    <row r="47" spans="1:14">
      <c r="A47" s="17" t="s">
        <v>64</v>
      </c>
      <c r="B47" s="17" t="s">
        <v>65</v>
      </c>
      <c r="C47" s="17" t="s">
        <v>288</v>
      </c>
      <c r="D47" s="17">
        <v>18.8</v>
      </c>
      <c r="E47" s="17">
        <v>6.4</v>
      </c>
      <c r="F47" s="17">
        <v>7.1</v>
      </c>
      <c r="G47" s="17">
        <v>0.4</v>
      </c>
      <c r="H47" s="17">
        <v>1.7</v>
      </c>
      <c r="I47" s="17">
        <v>0.44600000000000001</v>
      </c>
      <c r="J47" s="17">
        <v>0.76400000000000001</v>
      </c>
      <c r="K47" s="17">
        <v>2.1</v>
      </c>
      <c r="L47" s="17">
        <v>76</v>
      </c>
      <c r="M47" s="17">
        <v>32.6</v>
      </c>
      <c r="N47" s="17">
        <v>3.3</v>
      </c>
    </row>
    <row r="48" spans="1:14">
      <c r="A48" s="17" t="s">
        <v>128</v>
      </c>
      <c r="B48" s="17" t="s">
        <v>88</v>
      </c>
      <c r="C48" s="17" t="s">
        <v>28</v>
      </c>
      <c r="D48" s="17">
        <v>18.7</v>
      </c>
      <c r="E48" s="17">
        <v>3.9</v>
      </c>
      <c r="F48" s="17">
        <v>4.4000000000000004</v>
      </c>
      <c r="G48" s="17">
        <v>0.3</v>
      </c>
      <c r="H48" s="17">
        <v>1</v>
      </c>
      <c r="I48" s="17">
        <v>0.42899999999999999</v>
      </c>
      <c r="J48" s="17">
        <v>0.87</v>
      </c>
      <c r="K48" s="17">
        <v>2.7</v>
      </c>
      <c r="L48" s="17">
        <v>70</v>
      </c>
      <c r="M48" s="17">
        <v>32.299999999999997</v>
      </c>
      <c r="N48" s="17">
        <v>1.9</v>
      </c>
    </row>
    <row r="49" spans="1:14">
      <c r="A49" s="17" t="s">
        <v>56</v>
      </c>
      <c r="B49" s="17" t="s">
        <v>57</v>
      </c>
      <c r="C49" s="17" t="s">
        <v>288</v>
      </c>
      <c r="D49" s="17">
        <v>18.600000000000001</v>
      </c>
      <c r="E49" s="17">
        <v>3.9</v>
      </c>
      <c r="F49" s="17">
        <v>5.9</v>
      </c>
      <c r="G49" s="17">
        <v>0.6</v>
      </c>
      <c r="H49" s="17">
        <v>1.5</v>
      </c>
      <c r="I49" s="17">
        <v>0.39200000000000002</v>
      </c>
      <c r="J49" s="17">
        <v>0.87</v>
      </c>
      <c r="K49" s="17">
        <v>3.2</v>
      </c>
      <c r="L49" s="17">
        <v>71</v>
      </c>
      <c r="M49" s="17">
        <v>35</v>
      </c>
      <c r="N49" s="17">
        <v>1.8</v>
      </c>
    </row>
    <row r="50" spans="1:14">
      <c r="A50" s="17" t="s">
        <v>165</v>
      </c>
      <c r="B50" s="17" t="s">
        <v>29</v>
      </c>
      <c r="C50" s="17" t="s">
        <v>295</v>
      </c>
      <c r="D50" s="17">
        <v>18.600000000000001</v>
      </c>
      <c r="E50" s="17">
        <v>4.8</v>
      </c>
      <c r="F50" s="17">
        <v>2</v>
      </c>
      <c r="G50" s="17">
        <v>0.5</v>
      </c>
      <c r="H50" s="17">
        <v>0.9</v>
      </c>
      <c r="I50" s="17">
        <v>0.45400000000000001</v>
      </c>
      <c r="J50" s="17">
        <v>0.82599999999999996</v>
      </c>
      <c r="K50" s="17">
        <v>3</v>
      </c>
      <c r="L50" s="17">
        <v>46</v>
      </c>
      <c r="M50" s="17">
        <v>30.6</v>
      </c>
      <c r="N50" s="17">
        <v>1.4</v>
      </c>
    </row>
    <row r="51" spans="1:14">
      <c r="A51" s="17" t="s">
        <v>117</v>
      </c>
      <c r="B51" s="17" t="s">
        <v>118</v>
      </c>
      <c r="C51" s="17" t="s">
        <v>288</v>
      </c>
      <c r="D51" s="17">
        <v>18.2</v>
      </c>
      <c r="E51" s="17">
        <v>2.5</v>
      </c>
      <c r="F51" s="17">
        <v>6</v>
      </c>
      <c r="G51" s="17">
        <v>0.1</v>
      </c>
      <c r="H51" s="17">
        <v>1.2</v>
      </c>
      <c r="I51" s="17">
        <v>0.44400000000000001</v>
      </c>
      <c r="J51" s="17">
        <v>0.87</v>
      </c>
      <c r="K51" s="17">
        <v>2.2000000000000002</v>
      </c>
      <c r="L51" s="17">
        <v>73</v>
      </c>
      <c r="M51" s="17">
        <v>33.700000000000003</v>
      </c>
      <c r="N51" s="17">
        <v>3</v>
      </c>
    </row>
    <row r="52" spans="1:14">
      <c r="A52" s="17" t="s">
        <v>129</v>
      </c>
      <c r="B52" s="17" t="s">
        <v>65</v>
      </c>
      <c r="C52" s="17" t="s">
        <v>288</v>
      </c>
      <c r="D52" s="17">
        <v>18.2</v>
      </c>
      <c r="E52" s="17">
        <v>4.2</v>
      </c>
      <c r="F52" s="17">
        <v>4</v>
      </c>
      <c r="G52" s="17">
        <v>0.4</v>
      </c>
      <c r="H52" s="17">
        <v>1.1000000000000001</v>
      </c>
      <c r="I52" s="17">
        <v>0.437</v>
      </c>
      <c r="J52" s="17">
        <v>0.83599999999999997</v>
      </c>
      <c r="K52" s="17">
        <v>2.8</v>
      </c>
      <c r="L52" s="17">
        <v>77</v>
      </c>
      <c r="M52" s="17">
        <v>33.9</v>
      </c>
      <c r="N52" s="17">
        <v>1.8</v>
      </c>
    </row>
    <row r="53" spans="1:14">
      <c r="A53" s="17" t="s">
        <v>62</v>
      </c>
      <c r="B53" s="17" t="s">
        <v>53</v>
      </c>
      <c r="C53" s="17" t="s">
        <v>290</v>
      </c>
      <c r="D53" s="17">
        <v>17.899999999999999</v>
      </c>
      <c r="E53" s="17">
        <v>8.9</v>
      </c>
      <c r="F53" s="17">
        <v>4.4000000000000004</v>
      </c>
      <c r="G53" s="17">
        <v>1</v>
      </c>
      <c r="H53" s="17">
        <v>1.2</v>
      </c>
      <c r="I53" s="17">
        <v>0.56599999999999995</v>
      </c>
      <c r="J53" s="17">
        <v>0.77300000000000002</v>
      </c>
      <c r="K53" s="17">
        <v>0.1</v>
      </c>
      <c r="L53" s="17">
        <v>75</v>
      </c>
      <c r="M53" s="17">
        <v>33.9</v>
      </c>
      <c r="N53" s="17">
        <v>2.6</v>
      </c>
    </row>
    <row r="54" spans="1:14">
      <c r="A54" s="17" t="s">
        <v>184</v>
      </c>
      <c r="B54" s="17" t="s">
        <v>40</v>
      </c>
      <c r="C54" s="17" t="s">
        <v>288</v>
      </c>
      <c r="D54" s="17">
        <v>17.8</v>
      </c>
      <c r="E54" s="17">
        <v>3.6</v>
      </c>
      <c r="F54" s="17">
        <v>6.7</v>
      </c>
      <c r="G54" s="17">
        <v>0.3</v>
      </c>
      <c r="H54" s="17">
        <v>0.8</v>
      </c>
      <c r="I54" s="17">
        <v>0.43</v>
      </c>
      <c r="J54" s="17">
        <v>0.78800000000000003</v>
      </c>
      <c r="K54" s="17">
        <v>1.8</v>
      </c>
      <c r="L54" s="17">
        <v>72</v>
      </c>
      <c r="M54" s="17">
        <v>31</v>
      </c>
      <c r="N54" s="17">
        <v>2.6</v>
      </c>
    </row>
    <row r="55" spans="1:14">
      <c r="A55" s="17" t="s">
        <v>132</v>
      </c>
      <c r="B55" s="17" t="s">
        <v>23</v>
      </c>
      <c r="C55" s="17" t="s">
        <v>301</v>
      </c>
      <c r="D55" s="17">
        <v>17.8</v>
      </c>
      <c r="E55" s="17">
        <v>3.5</v>
      </c>
      <c r="F55" s="17">
        <v>4.2</v>
      </c>
      <c r="G55" s="17">
        <v>0.3</v>
      </c>
      <c r="H55" s="17">
        <v>1.1000000000000001</v>
      </c>
      <c r="I55" s="17">
        <v>0.46800000000000003</v>
      </c>
      <c r="J55" s="17">
        <v>0.872</v>
      </c>
      <c r="K55" s="17">
        <v>2.2000000000000002</v>
      </c>
      <c r="L55" s="17">
        <v>19</v>
      </c>
      <c r="M55" s="17">
        <v>30.9</v>
      </c>
      <c r="N55" s="17">
        <v>1.9</v>
      </c>
    </row>
    <row r="56" spans="1:14">
      <c r="A56" s="17" t="s">
        <v>162</v>
      </c>
      <c r="B56" s="17" t="s">
        <v>292</v>
      </c>
      <c r="C56" s="17" t="s">
        <v>291</v>
      </c>
      <c r="D56" s="17">
        <v>17.7</v>
      </c>
      <c r="E56" s="17">
        <v>3.8</v>
      </c>
      <c r="F56" s="17">
        <v>1.8</v>
      </c>
      <c r="G56" s="17">
        <v>0.1</v>
      </c>
      <c r="H56" s="17">
        <v>0.6</v>
      </c>
      <c r="I56" s="17">
        <v>0.45500000000000002</v>
      </c>
      <c r="J56" s="17">
        <v>0.871</v>
      </c>
      <c r="K56" s="17">
        <v>2.6</v>
      </c>
      <c r="L56" s="17">
        <v>78</v>
      </c>
      <c r="M56" s="17">
        <v>31.3</v>
      </c>
      <c r="N56" s="17">
        <v>1.9</v>
      </c>
    </row>
    <row r="57" spans="1:14">
      <c r="A57" s="17" t="s">
        <v>302</v>
      </c>
      <c r="B57" s="17" t="s">
        <v>88</v>
      </c>
      <c r="C57" s="17" t="s">
        <v>287</v>
      </c>
      <c r="D57" s="17">
        <v>17.600000000000001</v>
      </c>
      <c r="E57" s="17">
        <v>5.6</v>
      </c>
      <c r="F57" s="17">
        <v>2.9</v>
      </c>
      <c r="G57" s="17">
        <v>0.3</v>
      </c>
      <c r="H57" s="17">
        <v>0.7</v>
      </c>
      <c r="I57" s="17">
        <v>0.441</v>
      </c>
      <c r="J57" s="17">
        <v>0.73499999999999999</v>
      </c>
      <c r="K57" s="17">
        <v>1.7</v>
      </c>
      <c r="L57" s="17">
        <v>77</v>
      </c>
      <c r="M57" s="17">
        <v>33.799999999999997</v>
      </c>
      <c r="N57" s="17">
        <v>1.9</v>
      </c>
    </row>
    <row r="58" spans="1:14">
      <c r="A58" s="17" t="s">
        <v>86</v>
      </c>
      <c r="B58" s="17" t="s">
        <v>46</v>
      </c>
      <c r="C58" s="17" t="s">
        <v>288</v>
      </c>
      <c r="D58" s="17">
        <v>17.600000000000001</v>
      </c>
      <c r="E58" s="17">
        <v>4.5</v>
      </c>
      <c r="F58" s="17">
        <v>6.1</v>
      </c>
      <c r="G58" s="17">
        <v>0.5</v>
      </c>
      <c r="H58" s="17">
        <v>1.6</v>
      </c>
      <c r="I58" s="17">
        <v>0.49</v>
      </c>
      <c r="J58" s="17">
        <v>0.76300000000000001</v>
      </c>
      <c r="K58" s="17">
        <v>1.9</v>
      </c>
      <c r="L58" s="17">
        <v>74</v>
      </c>
      <c r="M58" s="17">
        <v>33.200000000000003</v>
      </c>
      <c r="N58" s="17">
        <v>2.4</v>
      </c>
    </row>
    <row r="59" spans="1:14">
      <c r="A59" s="17" t="s">
        <v>147</v>
      </c>
      <c r="B59" s="17" t="s">
        <v>100</v>
      </c>
      <c r="C59" s="17" t="s">
        <v>39</v>
      </c>
      <c r="D59" s="17">
        <v>17.5</v>
      </c>
      <c r="E59" s="17">
        <v>3.8</v>
      </c>
      <c r="F59" s="17">
        <v>3.1</v>
      </c>
      <c r="G59" s="17">
        <v>0.3</v>
      </c>
      <c r="H59" s="17">
        <v>1.3</v>
      </c>
      <c r="I59" s="17">
        <v>0.42799999999999999</v>
      </c>
      <c r="J59" s="17">
        <v>0.79900000000000004</v>
      </c>
      <c r="K59" s="17">
        <v>2.5</v>
      </c>
      <c r="L59" s="17">
        <v>75</v>
      </c>
      <c r="M59" s="17">
        <v>31.8</v>
      </c>
      <c r="N59" s="17">
        <v>2.7</v>
      </c>
    </row>
    <row r="60" spans="1:14">
      <c r="A60" s="17" t="s">
        <v>149</v>
      </c>
      <c r="B60" s="17" t="s">
        <v>75</v>
      </c>
      <c r="C60" s="17" t="s">
        <v>303</v>
      </c>
      <c r="D60" s="17">
        <v>17.3</v>
      </c>
      <c r="E60" s="17">
        <v>4.8</v>
      </c>
      <c r="F60" s="17">
        <v>1.5</v>
      </c>
      <c r="G60" s="17">
        <v>0.5</v>
      </c>
      <c r="H60" s="17">
        <v>0.9</v>
      </c>
      <c r="I60" s="17">
        <v>0.51700000000000002</v>
      </c>
      <c r="J60" s="17">
        <v>0.79600000000000004</v>
      </c>
      <c r="K60" s="17">
        <v>1.3</v>
      </c>
      <c r="L60" s="17">
        <v>54</v>
      </c>
      <c r="M60" s="17">
        <v>30.8</v>
      </c>
      <c r="N60" s="17">
        <v>1.2</v>
      </c>
    </row>
    <row r="61" spans="1:14">
      <c r="A61" s="17" t="s">
        <v>83</v>
      </c>
      <c r="B61" s="17" t="s">
        <v>84</v>
      </c>
      <c r="C61" s="17" t="s">
        <v>304</v>
      </c>
      <c r="D61" s="17">
        <v>17.3</v>
      </c>
      <c r="E61" s="17">
        <v>6.3</v>
      </c>
      <c r="F61" s="17">
        <v>1.3</v>
      </c>
      <c r="G61" s="17">
        <v>1.6</v>
      </c>
      <c r="H61" s="17">
        <v>1</v>
      </c>
      <c r="I61" s="17">
        <v>0.47399999999999998</v>
      </c>
      <c r="J61" s="17">
        <v>0.79100000000000004</v>
      </c>
      <c r="K61" s="17">
        <v>2.1</v>
      </c>
      <c r="L61" s="17">
        <v>72</v>
      </c>
      <c r="M61" s="17">
        <v>29.6</v>
      </c>
      <c r="N61" s="17">
        <v>1.7</v>
      </c>
    </row>
    <row r="62" spans="1:14">
      <c r="A62" s="17" t="s">
        <v>124</v>
      </c>
      <c r="B62" s="17" t="s">
        <v>61</v>
      </c>
      <c r="C62" s="17" t="s">
        <v>290</v>
      </c>
      <c r="D62" s="17">
        <v>17.3</v>
      </c>
      <c r="E62" s="17">
        <v>8.4</v>
      </c>
      <c r="F62" s="17">
        <v>1.2</v>
      </c>
      <c r="G62" s="17">
        <v>1</v>
      </c>
      <c r="H62" s="17">
        <v>0.5</v>
      </c>
      <c r="I62" s="17">
        <v>0.56899999999999995</v>
      </c>
      <c r="J62" s="17">
        <v>0.81299999999999994</v>
      </c>
      <c r="K62" s="17">
        <v>1.2</v>
      </c>
      <c r="L62" s="17">
        <v>75</v>
      </c>
      <c r="M62" s="17">
        <v>30.2</v>
      </c>
      <c r="N62" s="17">
        <v>1.4</v>
      </c>
    </row>
    <row r="63" spans="1:14">
      <c r="A63" s="17" t="s">
        <v>107</v>
      </c>
      <c r="B63" s="17" t="s">
        <v>108</v>
      </c>
      <c r="C63" s="17" t="s">
        <v>288</v>
      </c>
      <c r="D63" s="17">
        <v>17.2</v>
      </c>
      <c r="E63" s="17">
        <v>3.6</v>
      </c>
      <c r="F63" s="17">
        <v>4.2</v>
      </c>
      <c r="G63" s="17">
        <v>1</v>
      </c>
      <c r="H63" s="17">
        <v>0.9</v>
      </c>
      <c r="I63" s="17">
        <v>0.439</v>
      </c>
      <c r="J63" s="17">
        <v>0.84199999999999997</v>
      </c>
      <c r="K63" s="17">
        <v>2.2000000000000002</v>
      </c>
      <c r="L63" s="17">
        <v>73</v>
      </c>
      <c r="M63" s="17">
        <v>30.8</v>
      </c>
      <c r="N63" s="17">
        <v>1.7</v>
      </c>
    </row>
    <row r="64" spans="1:14">
      <c r="A64" s="17" t="s">
        <v>186</v>
      </c>
      <c r="B64" s="17" t="s">
        <v>292</v>
      </c>
      <c r="C64" s="17" t="s">
        <v>288</v>
      </c>
      <c r="D64" s="17">
        <v>17.100000000000001</v>
      </c>
      <c r="E64" s="17">
        <v>3.7</v>
      </c>
      <c r="F64" s="17">
        <v>2.2999999999999998</v>
      </c>
      <c r="G64" s="17">
        <v>0.2</v>
      </c>
      <c r="H64" s="17">
        <v>0.9</v>
      </c>
      <c r="I64" s="17">
        <v>0.438</v>
      </c>
      <c r="J64" s="17">
        <v>0.876</v>
      </c>
      <c r="K64" s="17">
        <v>2.8</v>
      </c>
      <c r="L64" s="17">
        <v>76</v>
      </c>
      <c r="M64" s="17">
        <v>26.9</v>
      </c>
      <c r="N64" s="17">
        <v>1.6</v>
      </c>
    </row>
    <row r="65" spans="1:14">
      <c r="A65" s="17" t="s">
        <v>158</v>
      </c>
      <c r="B65" s="17" t="s">
        <v>29</v>
      </c>
      <c r="C65" s="17" t="s">
        <v>287</v>
      </c>
      <c r="D65" s="17">
        <v>17</v>
      </c>
      <c r="E65" s="17">
        <v>4.5</v>
      </c>
      <c r="F65" s="17">
        <v>2.2999999999999998</v>
      </c>
      <c r="G65" s="17">
        <v>0.9</v>
      </c>
      <c r="H65" s="17">
        <v>0.8</v>
      </c>
      <c r="I65" s="17">
        <v>0.47</v>
      </c>
      <c r="J65" s="17">
        <v>0.71899999999999997</v>
      </c>
      <c r="K65" s="17">
        <v>1.8</v>
      </c>
      <c r="L65" s="17">
        <v>76</v>
      </c>
      <c r="M65" s="17">
        <v>31.7</v>
      </c>
      <c r="N65" s="17">
        <v>1.8</v>
      </c>
    </row>
    <row r="66" spans="1:14">
      <c r="A66" s="17" t="s">
        <v>104</v>
      </c>
      <c r="B66" s="17" t="s">
        <v>65</v>
      </c>
      <c r="C66" s="17" t="s">
        <v>287</v>
      </c>
      <c r="D66" s="17">
        <v>16.899999999999999</v>
      </c>
      <c r="E66" s="17">
        <v>5.2</v>
      </c>
      <c r="F66" s="17">
        <v>3.9</v>
      </c>
      <c r="G66" s="17">
        <v>0.3</v>
      </c>
      <c r="H66" s="17">
        <v>1.1000000000000001</v>
      </c>
      <c r="I66" s="17">
        <v>0.47899999999999998</v>
      </c>
      <c r="J66" s="17">
        <v>0.84099999999999997</v>
      </c>
      <c r="K66" s="17">
        <v>1.7</v>
      </c>
      <c r="L66" s="17">
        <v>71</v>
      </c>
      <c r="M66" s="17">
        <v>32.4</v>
      </c>
      <c r="N66" s="17">
        <v>2</v>
      </c>
    </row>
    <row r="67" spans="1:14">
      <c r="A67" s="17" t="s">
        <v>114</v>
      </c>
      <c r="B67" s="17" t="s">
        <v>115</v>
      </c>
      <c r="C67" s="17" t="s">
        <v>288</v>
      </c>
      <c r="D67" s="17">
        <v>16.8</v>
      </c>
      <c r="E67" s="17">
        <v>5.3</v>
      </c>
      <c r="F67" s="17">
        <v>4.5</v>
      </c>
      <c r="G67" s="17">
        <v>0.5</v>
      </c>
      <c r="H67" s="17">
        <v>1.3</v>
      </c>
      <c r="I67" s="17">
        <v>0.42499999999999999</v>
      </c>
      <c r="J67" s="17">
        <v>0.82899999999999996</v>
      </c>
      <c r="K67" s="17">
        <v>2.2000000000000002</v>
      </c>
      <c r="L67" s="17">
        <v>75</v>
      </c>
      <c r="M67" s="17">
        <v>31.7</v>
      </c>
      <c r="N67" s="17">
        <v>3.6</v>
      </c>
    </row>
    <row r="68" spans="1:14">
      <c r="A68" s="17" t="s">
        <v>206</v>
      </c>
      <c r="B68" s="17" t="s">
        <v>51</v>
      </c>
      <c r="C68" s="17" t="s">
        <v>287</v>
      </c>
      <c r="D68" s="17">
        <v>16.600000000000001</v>
      </c>
      <c r="E68" s="17">
        <v>3.3</v>
      </c>
      <c r="F68" s="17">
        <v>2</v>
      </c>
      <c r="G68" s="17">
        <v>0.1</v>
      </c>
      <c r="H68" s="17">
        <v>0.5</v>
      </c>
      <c r="I68" s="17">
        <v>0.44400000000000001</v>
      </c>
      <c r="J68" s="17">
        <v>0.82</v>
      </c>
      <c r="K68" s="17">
        <v>3</v>
      </c>
      <c r="L68" s="17">
        <v>78</v>
      </c>
      <c r="M68" s="17">
        <v>29.9</v>
      </c>
      <c r="N68" s="17">
        <v>1</v>
      </c>
    </row>
    <row r="69" spans="1:14">
      <c r="A69" s="17" t="s">
        <v>137</v>
      </c>
      <c r="B69" s="17" t="s">
        <v>94</v>
      </c>
      <c r="C69" s="17" t="s">
        <v>287</v>
      </c>
      <c r="D69" s="17">
        <v>16.5</v>
      </c>
      <c r="E69" s="17">
        <v>4.4000000000000004</v>
      </c>
      <c r="F69" s="17">
        <v>3</v>
      </c>
      <c r="G69" s="17">
        <v>0.4</v>
      </c>
      <c r="H69" s="17">
        <v>0.8</v>
      </c>
      <c r="I69" s="17">
        <v>0.42799999999999999</v>
      </c>
      <c r="J69" s="17">
        <v>0.83899999999999997</v>
      </c>
      <c r="K69" s="17">
        <v>3.6</v>
      </c>
      <c r="L69" s="17">
        <v>78</v>
      </c>
      <c r="M69" s="17">
        <v>32.799999999999997</v>
      </c>
      <c r="N69" s="17">
        <v>1.8</v>
      </c>
    </row>
    <row r="70" spans="1:14">
      <c r="A70" s="17" t="s">
        <v>142</v>
      </c>
      <c r="B70" s="17" t="s">
        <v>35</v>
      </c>
      <c r="C70" s="17" t="s">
        <v>287</v>
      </c>
      <c r="D70" s="17">
        <v>16.3</v>
      </c>
      <c r="E70" s="17">
        <v>3.2</v>
      </c>
      <c r="F70" s="17">
        <v>1.6</v>
      </c>
      <c r="G70" s="17">
        <v>0.3</v>
      </c>
      <c r="H70" s="17">
        <v>1</v>
      </c>
      <c r="I70" s="17">
        <v>0.47199999999999998</v>
      </c>
      <c r="J70" s="17">
        <v>0.85899999999999999</v>
      </c>
      <c r="K70" s="17">
        <v>2.2000000000000002</v>
      </c>
      <c r="L70" s="17">
        <v>77</v>
      </c>
      <c r="M70" s="17">
        <v>30.1</v>
      </c>
      <c r="N70" s="17">
        <v>1.5</v>
      </c>
    </row>
    <row r="71" spans="1:14">
      <c r="A71" s="17" t="s">
        <v>195</v>
      </c>
      <c r="B71" s="17" t="s">
        <v>84</v>
      </c>
      <c r="C71" s="17" t="s">
        <v>287</v>
      </c>
      <c r="D71" s="17">
        <v>16.2</v>
      </c>
      <c r="E71" s="17">
        <v>3.2</v>
      </c>
      <c r="F71" s="17">
        <v>2.2000000000000002</v>
      </c>
      <c r="G71" s="17">
        <v>0.4</v>
      </c>
      <c r="H71" s="17">
        <v>1.1000000000000001</v>
      </c>
      <c r="I71" s="17">
        <v>0.41899999999999998</v>
      </c>
      <c r="J71" s="17">
        <v>0.79500000000000004</v>
      </c>
      <c r="K71" s="17">
        <v>1.9</v>
      </c>
      <c r="L71" s="17">
        <v>76</v>
      </c>
      <c r="M71" s="17">
        <v>29.6</v>
      </c>
      <c r="N71" s="17">
        <v>1.7</v>
      </c>
    </row>
    <row r="72" spans="1:14">
      <c r="A72" s="17" t="s">
        <v>159</v>
      </c>
      <c r="B72" s="17" t="s">
        <v>88</v>
      </c>
      <c r="C72" s="17" t="s">
        <v>287</v>
      </c>
      <c r="D72" s="17">
        <v>16.2</v>
      </c>
      <c r="E72" s="17">
        <v>3.3</v>
      </c>
      <c r="F72" s="17">
        <v>3</v>
      </c>
      <c r="G72" s="17">
        <v>0.4</v>
      </c>
      <c r="H72" s="17">
        <v>1.1000000000000001</v>
      </c>
      <c r="I72" s="17">
        <v>0.46100000000000002</v>
      </c>
      <c r="J72" s="17">
        <v>0.80400000000000005</v>
      </c>
      <c r="K72" s="17">
        <v>2.5</v>
      </c>
      <c r="L72" s="17">
        <v>73</v>
      </c>
      <c r="M72" s="17">
        <v>32.5</v>
      </c>
      <c r="N72" s="17">
        <v>1.9</v>
      </c>
    </row>
    <row r="73" spans="1:14">
      <c r="A73" s="17" t="s">
        <v>193</v>
      </c>
      <c r="B73" s="17" t="s">
        <v>31</v>
      </c>
      <c r="C73" s="17" t="s">
        <v>305</v>
      </c>
      <c r="D73" s="17">
        <v>16.100000000000001</v>
      </c>
      <c r="E73" s="17">
        <v>3.7</v>
      </c>
      <c r="F73" s="17">
        <v>1.8</v>
      </c>
      <c r="G73" s="17">
        <v>0.2</v>
      </c>
      <c r="H73" s="17">
        <v>0.8</v>
      </c>
      <c r="I73" s="17">
        <v>0.43099999999999999</v>
      </c>
      <c r="J73" s="17">
        <v>0.82199999999999995</v>
      </c>
      <c r="K73" s="17">
        <v>3.2</v>
      </c>
      <c r="L73" s="17">
        <v>74</v>
      </c>
      <c r="M73" s="17">
        <v>29.5</v>
      </c>
      <c r="N73" s="17">
        <v>1.4</v>
      </c>
    </row>
    <row r="74" spans="1:14">
      <c r="A74" s="17" t="s">
        <v>133</v>
      </c>
      <c r="B74" s="17" t="s">
        <v>292</v>
      </c>
      <c r="C74" s="17" t="s">
        <v>28</v>
      </c>
      <c r="D74" s="17">
        <v>15.9</v>
      </c>
      <c r="E74" s="17">
        <v>4</v>
      </c>
      <c r="F74" s="17">
        <v>5.4</v>
      </c>
      <c r="G74" s="17">
        <v>0.2</v>
      </c>
      <c r="H74" s="17">
        <v>1.1000000000000001</v>
      </c>
      <c r="I74" s="17">
        <v>0.438</v>
      </c>
      <c r="J74" s="17">
        <v>0.85399999999999998</v>
      </c>
      <c r="K74" s="17">
        <v>2.6</v>
      </c>
      <c r="L74" s="17">
        <v>70</v>
      </c>
      <c r="M74" s="17">
        <v>29.8</v>
      </c>
      <c r="N74" s="17">
        <v>1.7</v>
      </c>
    </row>
    <row r="75" spans="1:14">
      <c r="A75" s="17" t="s">
        <v>123</v>
      </c>
      <c r="B75" s="17" t="s">
        <v>108</v>
      </c>
      <c r="C75" s="17" t="s">
        <v>306</v>
      </c>
      <c r="D75" s="17">
        <v>15.9</v>
      </c>
      <c r="E75" s="17">
        <v>7</v>
      </c>
      <c r="F75" s="17">
        <v>6</v>
      </c>
      <c r="G75" s="17">
        <v>0.1</v>
      </c>
      <c r="H75" s="17">
        <v>1.6</v>
      </c>
      <c r="I75" s="17">
        <v>0.46</v>
      </c>
      <c r="J75" s="17">
        <v>0.78900000000000003</v>
      </c>
      <c r="K75" s="17">
        <v>0.9</v>
      </c>
      <c r="L75" s="17">
        <v>75</v>
      </c>
      <c r="M75" s="17">
        <v>31.9</v>
      </c>
      <c r="N75" s="17">
        <v>1.9</v>
      </c>
    </row>
    <row r="76" spans="1:14">
      <c r="A76" s="17" t="s">
        <v>207</v>
      </c>
      <c r="B76" s="17" t="s">
        <v>108</v>
      </c>
      <c r="C76" s="17" t="s">
        <v>291</v>
      </c>
      <c r="D76" s="17">
        <v>15.8</v>
      </c>
      <c r="E76" s="17">
        <v>5.8</v>
      </c>
      <c r="F76" s="17">
        <v>2.1</v>
      </c>
      <c r="G76" s="17">
        <v>0.4</v>
      </c>
      <c r="H76" s="17">
        <v>0.7</v>
      </c>
      <c r="I76" s="17">
        <v>0.48499999999999999</v>
      </c>
      <c r="J76" s="17">
        <v>0.745</v>
      </c>
      <c r="K76" s="17">
        <v>1.1000000000000001</v>
      </c>
      <c r="L76" s="17">
        <v>76</v>
      </c>
      <c r="M76" s="17">
        <v>30.3</v>
      </c>
      <c r="N76" s="17">
        <v>1.3</v>
      </c>
    </row>
    <row r="77" spans="1:14">
      <c r="A77" s="17" t="s">
        <v>307</v>
      </c>
      <c r="B77" s="17" t="s">
        <v>100</v>
      </c>
      <c r="C77" s="17" t="s">
        <v>293</v>
      </c>
      <c r="D77" s="17">
        <v>15.7</v>
      </c>
      <c r="E77" s="17">
        <v>3.7</v>
      </c>
      <c r="F77" s="17">
        <v>5.5</v>
      </c>
      <c r="G77" s="17">
        <v>0.4</v>
      </c>
      <c r="H77" s="17">
        <v>1.1000000000000001</v>
      </c>
      <c r="I77" s="17">
        <v>0.44400000000000001</v>
      </c>
      <c r="J77" s="17">
        <v>0.746</v>
      </c>
      <c r="K77" s="17">
        <v>1.8</v>
      </c>
      <c r="L77" s="17">
        <v>74</v>
      </c>
      <c r="M77" s="17">
        <v>30.9</v>
      </c>
      <c r="N77" s="17">
        <v>3</v>
      </c>
    </row>
    <row r="78" spans="1:14">
      <c r="A78" s="17" t="s">
        <v>98</v>
      </c>
      <c r="B78" s="17" t="s">
        <v>72</v>
      </c>
      <c r="C78" s="17" t="s">
        <v>22</v>
      </c>
      <c r="D78" s="17">
        <v>15.6</v>
      </c>
      <c r="E78" s="17">
        <v>10.7</v>
      </c>
      <c r="F78" s="17">
        <v>1.6</v>
      </c>
      <c r="G78" s="17">
        <v>1.2</v>
      </c>
      <c r="H78" s="17">
        <v>0.6</v>
      </c>
      <c r="I78" s="17">
        <v>0.61499999999999999</v>
      </c>
      <c r="J78" s="17">
        <v>0.75900000000000001</v>
      </c>
      <c r="K78" s="17">
        <v>0.1</v>
      </c>
      <c r="L78" s="17">
        <v>77</v>
      </c>
      <c r="M78" s="17">
        <v>31.6</v>
      </c>
      <c r="N78" s="17">
        <v>1.6</v>
      </c>
    </row>
    <row r="79" spans="1:14">
      <c r="A79" s="17" t="s">
        <v>71</v>
      </c>
      <c r="B79" s="17" t="s">
        <v>72</v>
      </c>
      <c r="C79" s="17" t="s">
        <v>28</v>
      </c>
      <c r="D79" s="17">
        <v>15.6</v>
      </c>
      <c r="E79" s="17">
        <v>4.4000000000000004</v>
      </c>
      <c r="F79" s="17">
        <v>8.1</v>
      </c>
      <c r="G79" s="17">
        <v>0.3</v>
      </c>
      <c r="H79" s="17">
        <v>1.3</v>
      </c>
      <c r="I79" s="17">
        <v>0.49</v>
      </c>
      <c r="J79" s="17">
        <v>0.92700000000000005</v>
      </c>
      <c r="K79" s="17">
        <v>1.4</v>
      </c>
      <c r="L79" s="17">
        <v>76</v>
      </c>
      <c r="M79" s="17">
        <v>30.4</v>
      </c>
      <c r="N79" s="17">
        <v>2.1</v>
      </c>
    </row>
    <row r="80" spans="1:14">
      <c r="A80" s="17" t="s">
        <v>121</v>
      </c>
      <c r="B80" s="17" t="s">
        <v>53</v>
      </c>
      <c r="C80" s="17" t="s">
        <v>28</v>
      </c>
      <c r="D80" s="17">
        <v>15.5</v>
      </c>
      <c r="E80" s="17">
        <v>4.8</v>
      </c>
      <c r="F80" s="17">
        <v>6.5</v>
      </c>
      <c r="G80" s="17">
        <v>0.3</v>
      </c>
      <c r="H80" s="17">
        <v>1.1000000000000001</v>
      </c>
      <c r="I80" s="17">
        <v>0.439</v>
      </c>
      <c r="J80" s="17">
        <v>0.83799999999999997</v>
      </c>
      <c r="K80" s="17">
        <v>2.5</v>
      </c>
      <c r="L80" s="17">
        <v>73</v>
      </c>
      <c r="M80" s="17">
        <v>33.799999999999997</v>
      </c>
      <c r="N80" s="17">
        <v>2.6</v>
      </c>
    </row>
    <row r="81" spans="1:14">
      <c r="A81" s="17" t="s">
        <v>138</v>
      </c>
      <c r="B81" s="17" t="s">
        <v>61</v>
      </c>
      <c r="C81" s="17" t="s">
        <v>294</v>
      </c>
      <c r="D81" s="17">
        <v>15.5</v>
      </c>
      <c r="E81" s="17">
        <v>3.7</v>
      </c>
      <c r="F81" s="17">
        <v>3.2</v>
      </c>
      <c r="G81" s="17">
        <v>0.3</v>
      </c>
      <c r="H81" s="17">
        <v>1</v>
      </c>
      <c r="I81" s="17">
        <v>0.46300000000000002</v>
      </c>
      <c r="J81" s="17">
        <v>0.86</v>
      </c>
      <c r="K81" s="17">
        <v>3</v>
      </c>
      <c r="L81" s="17">
        <v>74</v>
      </c>
      <c r="M81" s="17">
        <v>30.8</v>
      </c>
      <c r="N81" s="17">
        <v>1.3</v>
      </c>
    </row>
    <row r="82" spans="1:14">
      <c r="A82" s="17" t="s">
        <v>308</v>
      </c>
      <c r="B82" s="17" t="s">
        <v>57</v>
      </c>
      <c r="C82" s="17" t="s">
        <v>291</v>
      </c>
      <c r="D82" s="17">
        <v>15.3</v>
      </c>
      <c r="E82" s="17">
        <v>5.4</v>
      </c>
      <c r="F82" s="17">
        <v>2</v>
      </c>
      <c r="G82" s="17">
        <v>0.6</v>
      </c>
      <c r="H82" s="17">
        <v>1.4</v>
      </c>
      <c r="I82" s="17">
        <v>0.47</v>
      </c>
      <c r="J82" s="17">
        <v>0.75700000000000001</v>
      </c>
      <c r="K82" s="17">
        <v>2.2999999999999998</v>
      </c>
      <c r="L82" s="17">
        <v>72</v>
      </c>
      <c r="M82" s="17">
        <v>32.6</v>
      </c>
      <c r="N82" s="17">
        <v>1.5</v>
      </c>
    </row>
    <row r="83" spans="1:14">
      <c r="A83" s="17" t="s">
        <v>309</v>
      </c>
      <c r="B83" s="17" t="s">
        <v>100</v>
      </c>
      <c r="C83" s="17" t="s">
        <v>28</v>
      </c>
      <c r="D83" s="17">
        <v>15</v>
      </c>
      <c r="E83" s="17">
        <v>3.3</v>
      </c>
      <c r="F83" s="17">
        <v>5.5</v>
      </c>
      <c r="G83" s="17">
        <v>0.7</v>
      </c>
      <c r="H83" s="17">
        <v>0.9</v>
      </c>
      <c r="I83" s="17">
        <v>0.42099999999999999</v>
      </c>
      <c r="J83" s="17">
        <v>0.749</v>
      </c>
      <c r="K83" s="17">
        <v>1.4</v>
      </c>
      <c r="L83" s="17">
        <v>47</v>
      </c>
      <c r="M83" s="17">
        <v>26.1</v>
      </c>
      <c r="N83" s="17">
        <v>2.7</v>
      </c>
    </row>
    <row r="84" spans="1:14">
      <c r="A84" s="17" t="s">
        <v>174</v>
      </c>
      <c r="B84" s="17" t="s">
        <v>115</v>
      </c>
      <c r="C84" s="17" t="s">
        <v>105</v>
      </c>
      <c r="D84" s="17">
        <v>14.9</v>
      </c>
      <c r="E84" s="17">
        <v>4.8</v>
      </c>
      <c r="F84" s="17">
        <v>1.6</v>
      </c>
      <c r="G84" s="17">
        <v>0.2</v>
      </c>
      <c r="H84" s="17">
        <v>0.9</v>
      </c>
      <c r="I84" s="17">
        <v>0.42099999999999999</v>
      </c>
      <c r="J84" s="17">
        <v>0.83799999999999997</v>
      </c>
      <c r="K84" s="17">
        <v>2.9</v>
      </c>
      <c r="L84" s="17">
        <v>78</v>
      </c>
      <c r="M84" s="17">
        <v>32.5</v>
      </c>
      <c r="N84" s="17">
        <v>1.1000000000000001</v>
      </c>
    </row>
    <row r="85" spans="1:14">
      <c r="A85" s="17" t="s">
        <v>241</v>
      </c>
      <c r="B85" s="17" t="s">
        <v>120</v>
      </c>
      <c r="C85" s="17" t="s">
        <v>287</v>
      </c>
      <c r="D85" s="17">
        <v>14.9</v>
      </c>
      <c r="E85" s="17">
        <v>3.6</v>
      </c>
      <c r="F85" s="17">
        <v>1.9</v>
      </c>
      <c r="G85" s="17">
        <v>0.4</v>
      </c>
      <c r="H85" s="17">
        <v>1.1000000000000001</v>
      </c>
      <c r="I85" s="17">
        <v>0.40699999999999997</v>
      </c>
      <c r="J85" s="17">
        <v>0.85299999999999998</v>
      </c>
      <c r="K85" s="17">
        <v>2.1</v>
      </c>
      <c r="L85" s="17">
        <v>73</v>
      </c>
      <c r="M85" s="17">
        <v>29.1</v>
      </c>
      <c r="N85" s="17">
        <v>1.6</v>
      </c>
    </row>
    <row r="86" spans="1:14">
      <c r="A86" s="17" t="s">
        <v>166</v>
      </c>
      <c r="B86" s="17" t="s">
        <v>94</v>
      </c>
      <c r="C86" s="17" t="s">
        <v>291</v>
      </c>
      <c r="D86" s="17">
        <v>14.9</v>
      </c>
      <c r="E86" s="17">
        <v>5.3</v>
      </c>
      <c r="F86" s="17">
        <v>3</v>
      </c>
      <c r="G86" s="17">
        <v>0.2</v>
      </c>
      <c r="H86" s="17">
        <v>0.7</v>
      </c>
      <c r="I86" s="17">
        <v>0.47599999999999998</v>
      </c>
      <c r="J86" s="17">
        <v>0.82399999999999995</v>
      </c>
      <c r="K86" s="17">
        <v>1.6</v>
      </c>
      <c r="L86" s="17">
        <v>75</v>
      </c>
      <c r="M86" s="17">
        <v>34.9</v>
      </c>
      <c r="N86" s="17">
        <v>1.4</v>
      </c>
    </row>
    <row r="87" spans="1:14">
      <c r="A87" s="17" t="s">
        <v>122</v>
      </c>
      <c r="B87" s="17" t="s">
        <v>77</v>
      </c>
      <c r="C87" s="17" t="s">
        <v>22</v>
      </c>
      <c r="D87" s="17">
        <v>14.8</v>
      </c>
      <c r="E87" s="17">
        <v>10.7</v>
      </c>
      <c r="F87" s="17">
        <v>1.7</v>
      </c>
      <c r="G87" s="17">
        <v>0.9</v>
      </c>
      <c r="H87" s="17">
        <v>0.5</v>
      </c>
      <c r="I87" s="17">
        <v>0.57899999999999996</v>
      </c>
      <c r="J87" s="17">
        <v>0.77400000000000002</v>
      </c>
      <c r="K87" s="17">
        <v>0.3</v>
      </c>
      <c r="L87" s="17">
        <v>76</v>
      </c>
      <c r="M87" s="17">
        <v>28.1</v>
      </c>
      <c r="N87" s="17">
        <v>1.7</v>
      </c>
    </row>
    <row r="88" spans="1:14">
      <c r="A88" s="17" t="s">
        <v>126</v>
      </c>
      <c r="B88" s="17" t="s">
        <v>61</v>
      </c>
      <c r="C88" s="17" t="s">
        <v>22</v>
      </c>
      <c r="D88" s="17">
        <v>14.6</v>
      </c>
      <c r="E88" s="17">
        <v>12.3</v>
      </c>
      <c r="F88" s="17">
        <v>0.9</v>
      </c>
      <c r="G88" s="17">
        <v>1.9</v>
      </c>
      <c r="H88" s="17">
        <v>0.6</v>
      </c>
      <c r="I88" s="17">
        <v>0.60299999999999998</v>
      </c>
      <c r="J88" s="17">
        <v>0.58399999999999996</v>
      </c>
      <c r="K88" s="17">
        <v>0</v>
      </c>
      <c r="L88" s="17">
        <v>77</v>
      </c>
      <c r="M88" s="17">
        <v>31.1</v>
      </c>
      <c r="N88" s="17">
        <v>1.2</v>
      </c>
    </row>
    <row r="89" spans="1:14">
      <c r="A89" s="17" t="s">
        <v>189</v>
      </c>
      <c r="B89" s="17" t="s">
        <v>49</v>
      </c>
      <c r="C89" s="17" t="s">
        <v>288</v>
      </c>
      <c r="D89" s="17">
        <v>14.5</v>
      </c>
      <c r="E89" s="17">
        <v>3.1</v>
      </c>
      <c r="F89" s="17">
        <v>4.2</v>
      </c>
      <c r="G89" s="17">
        <v>0.1</v>
      </c>
      <c r="H89" s="17">
        <v>0.8</v>
      </c>
      <c r="I89" s="17">
        <v>0.443</v>
      </c>
      <c r="J89" s="17">
        <v>0.84899999999999998</v>
      </c>
      <c r="K89" s="17">
        <v>2.4</v>
      </c>
      <c r="L89" s="17">
        <v>76</v>
      </c>
      <c r="M89" s="17">
        <v>28.2</v>
      </c>
      <c r="N89" s="17">
        <v>1.6</v>
      </c>
    </row>
    <row r="90" spans="1:14">
      <c r="A90" s="17" t="s">
        <v>106</v>
      </c>
      <c r="B90" s="17" t="s">
        <v>94</v>
      </c>
      <c r="C90" s="17" t="s">
        <v>288</v>
      </c>
      <c r="D90" s="17">
        <v>14.4</v>
      </c>
      <c r="E90" s="17">
        <v>3.2</v>
      </c>
      <c r="F90" s="17">
        <v>5.6</v>
      </c>
      <c r="G90" s="17">
        <v>0.5</v>
      </c>
      <c r="H90" s="17">
        <v>1.3</v>
      </c>
      <c r="I90" s="17">
        <v>0.46200000000000002</v>
      </c>
      <c r="J90" s="17">
        <v>0.86</v>
      </c>
      <c r="K90" s="17">
        <v>2.2000000000000002</v>
      </c>
      <c r="L90" s="17">
        <v>75</v>
      </c>
      <c r="M90" s="17">
        <v>31.9</v>
      </c>
      <c r="N90" s="17">
        <v>1.7</v>
      </c>
    </row>
    <row r="91" spans="1:14">
      <c r="A91" s="17" t="s">
        <v>208</v>
      </c>
      <c r="B91" s="17" t="s">
        <v>40</v>
      </c>
      <c r="C91" s="17" t="s">
        <v>291</v>
      </c>
      <c r="D91" s="17">
        <v>14.3</v>
      </c>
      <c r="E91" s="17">
        <v>5.4</v>
      </c>
      <c r="F91" s="17">
        <v>1.8</v>
      </c>
      <c r="G91" s="17">
        <v>0.5</v>
      </c>
      <c r="H91" s="17">
        <v>0.7</v>
      </c>
      <c r="I91" s="17">
        <v>0.44400000000000001</v>
      </c>
      <c r="J91" s="17">
        <v>0.73199999999999998</v>
      </c>
      <c r="K91" s="17">
        <v>1.8</v>
      </c>
      <c r="L91" s="17">
        <v>75</v>
      </c>
      <c r="M91" s="17">
        <v>28.4</v>
      </c>
      <c r="N91" s="17">
        <v>1.6</v>
      </c>
    </row>
    <row r="92" spans="1:14">
      <c r="A92" s="17" t="s">
        <v>198</v>
      </c>
      <c r="B92" s="17" t="s">
        <v>53</v>
      </c>
      <c r="C92" s="17" t="s">
        <v>288</v>
      </c>
      <c r="D92" s="17">
        <v>14.3</v>
      </c>
      <c r="E92" s="17">
        <v>4.5999999999999996</v>
      </c>
      <c r="F92" s="17">
        <v>2.9</v>
      </c>
      <c r="G92" s="17">
        <v>0.3</v>
      </c>
      <c r="H92" s="17">
        <v>0.6</v>
      </c>
      <c r="I92" s="17">
        <v>0.436</v>
      </c>
      <c r="J92" s="17">
        <v>0.82099999999999995</v>
      </c>
      <c r="K92" s="17">
        <v>1.9</v>
      </c>
      <c r="L92" s="17">
        <v>74</v>
      </c>
      <c r="M92" s="17">
        <v>29</v>
      </c>
      <c r="N92" s="17">
        <v>1.8</v>
      </c>
    </row>
    <row r="93" spans="1:14">
      <c r="A93" s="17" t="s">
        <v>73</v>
      </c>
      <c r="B93" s="17" t="s">
        <v>292</v>
      </c>
      <c r="C93" s="17" t="s">
        <v>22</v>
      </c>
      <c r="D93" s="17">
        <v>14.1</v>
      </c>
      <c r="E93" s="17">
        <v>12.3</v>
      </c>
      <c r="F93" s="17">
        <v>1.2</v>
      </c>
      <c r="G93" s="17">
        <v>2.4</v>
      </c>
      <c r="H93" s="17">
        <v>0.6</v>
      </c>
      <c r="I93" s="17">
        <v>0.67500000000000004</v>
      </c>
      <c r="J93" s="17">
        <v>0.625</v>
      </c>
      <c r="K93" s="17">
        <v>0</v>
      </c>
      <c r="L93" s="17">
        <v>78</v>
      </c>
      <c r="M93" s="17">
        <v>31.4</v>
      </c>
      <c r="N93" s="17">
        <v>1.6</v>
      </c>
    </row>
    <row r="94" spans="1:14">
      <c r="A94" s="17" t="s">
        <v>155</v>
      </c>
      <c r="B94" s="17" t="s">
        <v>120</v>
      </c>
      <c r="C94" s="17" t="s">
        <v>288</v>
      </c>
      <c r="D94" s="17">
        <v>14.1</v>
      </c>
      <c r="E94" s="17">
        <v>3.1</v>
      </c>
      <c r="F94" s="17">
        <v>5.0999999999999996</v>
      </c>
      <c r="G94" s="17">
        <v>0.2</v>
      </c>
      <c r="H94" s="17">
        <v>1.4</v>
      </c>
      <c r="I94" s="17">
        <v>0.436</v>
      </c>
      <c r="J94" s="17">
        <v>0.76100000000000001</v>
      </c>
      <c r="K94" s="17">
        <v>1.3</v>
      </c>
      <c r="L94" s="17">
        <v>76</v>
      </c>
      <c r="M94" s="17">
        <v>30.5</v>
      </c>
      <c r="N94" s="17">
        <v>3</v>
      </c>
    </row>
    <row r="95" spans="1:14">
      <c r="A95" s="17" t="s">
        <v>176</v>
      </c>
      <c r="B95" s="17" t="s">
        <v>23</v>
      </c>
      <c r="C95" s="17" t="s">
        <v>287</v>
      </c>
      <c r="D95" s="17">
        <v>14</v>
      </c>
      <c r="E95" s="17">
        <v>4.0999999999999996</v>
      </c>
      <c r="F95" s="17">
        <v>3.2</v>
      </c>
      <c r="G95" s="17">
        <v>0.4</v>
      </c>
      <c r="H95" s="17">
        <v>0.9</v>
      </c>
      <c r="I95" s="17">
        <v>0.435</v>
      </c>
      <c r="J95" s="17">
        <v>0.79200000000000004</v>
      </c>
      <c r="K95" s="17">
        <v>1.9</v>
      </c>
      <c r="L95" s="17">
        <v>72</v>
      </c>
      <c r="M95" s="17">
        <v>31.9</v>
      </c>
      <c r="N95" s="17">
        <v>1.7</v>
      </c>
    </row>
    <row r="96" spans="1:14">
      <c r="A96" s="17" t="s">
        <v>110</v>
      </c>
      <c r="B96" s="17" t="s">
        <v>94</v>
      </c>
      <c r="C96" s="17" t="s">
        <v>290</v>
      </c>
      <c r="D96" s="17">
        <v>14</v>
      </c>
      <c r="E96" s="17">
        <v>8.1</v>
      </c>
      <c r="F96" s="17">
        <v>1.6</v>
      </c>
      <c r="G96" s="17">
        <v>1.6</v>
      </c>
      <c r="H96" s="17">
        <v>0.6</v>
      </c>
      <c r="I96" s="17">
        <v>0.64100000000000001</v>
      </c>
      <c r="J96" s="17">
        <v>0.78100000000000003</v>
      </c>
      <c r="K96" s="17">
        <v>0</v>
      </c>
      <c r="L96" s="17">
        <v>75</v>
      </c>
      <c r="M96" s="17">
        <v>29.4</v>
      </c>
      <c r="N96" s="17">
        <v>1.1000000000000001</v>
      </c>
    </row>
    <row r="97" spans="1:14">
      <c r="A97" s="17" t="s">
        <v>92</v>
      </c>
      <c r="B97" s="17" t="s">
        <v>35</v>
      </c>
      <c r="C97" s="17" t="s">
        <v>310</v>
      </c>
      <c r="D97" s="17">
        <v>13.9</v>
      </c>
      <c r="E97" s="17">
        <v>9.6999999999999993</v>
      </c>
      <c r="F97" s="17">
        <v>3</v>
      </c>
      <c r="G97" s="17">
        <v>1.3</v>
      </c>
      <c r="H97" s="17">
        <v>1</v>
      </c>
      <c r="I97" s="17">
        <v>0.5</v>
      </c>
      <c r="J97" s="17">
        <v>0.73499999999999999</v>
      </c>
      <c r="K97" s="17">
        <v>0.3</v>
      </c>
      <c r="L97" s="17">
        <v>70</v>
      </c>
      <c r="M97" s="17">
        <v>28.3</v>
      </c>
      <c r="N97" s="17">
        <v>2.2000000000000002</v>
      </c>
    </row>
    <row r="98" spans="1:14">
      <c r="A98" s="17" t="s">
        <v>190</v>
      </c>
      <c r="B98" s="17" t="s">
        <v>61</v>
      </c>
      <c r="C98" s="17" t="s">
        <v>291</v>
      </c>
      <c r="D98" s="17">
        <v>13.9</v>
      </c>
      <c r="E98" s="17">
        <v>4.5</v>
      </c>
      <c r="F98" s="17">
        <v>1.7</v>
      </c>
      <c r="G98" s="17">
        <v>0.4</v>
      </c>
      <c r="H98" s="17">
        <v>0.7</v>
      </c>
      <c r="I98" s="17">
        <v>0.45800000000000002</v>
      </c>
      <c r="J98" s="17">
        <v>0.82299999999999995</v>
      </c>
      <c r="K98" s="17">
        <v>1.6</v>
      </c>
      <c r="L98" s="17">
        <v>74</v>
      </c>
      <c r="M98" s="17">
        <v>31</v>
      </c>
      <c r="N98" s="17">
        <v>1.3</v>
      </c>
    </row>
    <row r="99" spans="1:14">
      <c r="A99" s="17" t="s">
        <v>205</v>
      </c>
      <c r="B99" s="17" t="s">
        <v>42</v>
      </c>
      <c r="C99" s="17" t="s">
        <v>28</v>
      </c>
      <c r="D99" s="17">
        <v>13.9</v>
      </c>
      <c r="E99" s="17">
        <v>3.4</v>
      </c>
      <c r="F99" s="17">
        <v>4.5</v>
      </c>
      <c r="G99" s="17">
        <v>0.2</v>
      </c>
      <c r="H99" s="17">
        <v>0.9</v>
      </c>
      <c r="I99" s="17">
        <v>0.437</v>
      </c>
      <c r="J99" s="17">
        <v>0.83699999999999997</v>
      </c>
      <c r="K99" s="17">
        <v>1.3</v>
      </c>
      <c r="L99" s="17">
        <v>75</v>
      </c>
      <c r="M99" s="17">
        <v>29.6</v>
      </c>
      <c r="N99" s="17">
        <v>2.2999999999999998</v>
      </c>
    </row>
    <row r="100" spans="1:14">
      <c r="A100" s="17" t="s">
        <v>311</v>
      </c>
      <c r="B100" s="17" t="s">
        <v>49</v>
      </c>
      <c r="C100" s="17" t="s">
        <v>312</v>
      </c>
      <c r="D100" s="17">
        <v>13.8</v>
      </c>
      <c r="E100" s="17">
        <v>4.0999999999999996</v>
      </c>
      <c r="F100" s="17">
        <v>1.1000000000000001</v>
      </c>
      <c r="G100" s="17">
        <v>0.3</v>
      </c>
      <c r="H100" s="17">
        <v>0.6</v>
      </c>
      <c r="I100" s="17">
        <v>0.46200000000000002</v>
      </c>
      <c r="J100" s="17">
        <v>0.81899999999999995</v>
      </c>
      <c r="K100" s="17">
        <v>2.5</v>
      </c>
      <c r="L100" s="17">
        <v>74</v>
      </c>
      <c r="M100" s="17">
        <v>28.4</v>
      </c>
      <c r="N100" s="17">
        <v>1</v>
      </c>
    </row>
    <row r="101" spans="1:14">
      <c r="A101" s="17" t="s">
        <v>212</v>
      </c>
      <c r="B101" s="17" t="s">
        <v>118</v>
      </c>
      <c r="C101" s="17" t="s">
        <v>290</v>
      </c>
      <c r="D101" s="17">
        <v>13.8</v>
      </c>
      <c r="E101" s="17">
        <v>5.2</v>
      </c>
      <c r="F101" s="17">
        <v>1.1000000000000001</v>
      </c>
      <c r="G101" s="17">
        <v>0.3</v>
      </c>
      <c r="H101" s="17">
        <v>0.6</v>
      </c>
      <c r="I101" s="17">
        <v>0.46</v>
      </c>
      <c r="J101" s="17">
        <v>0.82799999999999996</v>
      </c>
      <c r="K101" s="17">
        <v>2.2999999999999998</v>
      </c>
      <c r="L101" s="17">
        <v>71</v>
      </c>
      <c r="M101" s="17">
        <v>28.1</v>
      </c>
      <c r="N101" s="17">
        <v>1.1000000000000001</v>
      </c>
    </row>
    <row r="102" spans="1:14">
      <c r="A102" s="17" t="s">
        <v>90</v>
      </c>
      <c r="B102" s="17" t="s">
        <v>59</v>
      </c>
      <c r="C102" s="17" t="s">
        <v>288</v>
      </c>
      <c r="D102" s="17">
        <v>13.8</v>
      </c>
      <c r="E102" s="17">
        <v>5</v>
      </c>
      <c r="F102" s="17">
        <v>6</v>
      </c>
      <c r="G102" s="17">
        <v>0.6</v>
      </c>
      <c r="H102" s="17">
        <v>1.4</v>
      </c>
      <c r="I102" s="17">
        <v>0.41399999999999998</v>
      </c>
      <c r="J102" s="17">
        <v>0.70499999999999996</v>
      </c>
      <c r="K102" s="17">
        <v>2.8</v>
      </c>
      <c r="L102" s="17">
        <v>75</v>
      </c>
      <c r="M102" s="17">
        <v>32.9</v>
      </c>
      <c r="N102" s="17">
        <v>2.2999999999999998</v>
      </c>
    </row>
    <row r="103" spans="1:14">
      <c r="A103" s="17" t="s">
        <v>246</v>
      </c>
      <c r="B103" s="17" t="s">
        <v>94</v>
      </c>
      <c r="C103" s="17" t="s">
        <v>290</v>
      </c>
      <c r="D103" s="17">
        <v>13.7</v>
      </c>
      <c r="E103" s="17">
        <v>6.8</v>
      </c>
      <c r="F103" s="17">
        <v>0.9</v>
      </c>
      <c r="G103" s="17">
        <v>0.6</v>
      </c>
      <c r="H103" s="17">
        <v>0.5</v>
      </c>
      <c r="I103" s="17">
        <v>0.51100000000000001</v>
      </c>
      <c r="J103" s="17">
        <v>0.68100000000000005</v>
      </c>
      <c r="K103" s="17">
        <v>0.7</v>
      </c>
      <c r="L103" s="17">
        <v>70</v>
      </c>
      <c r="M103" s="17">
        <v>26</v>
      </c>
      <c r="N103" s="17">
        <v>1.3</v>
      </c>
    </row>
    <row r="104" spans="1:14">
      <c r="A104" s="17" t="s">
        <v>225</v>
      </c>
      <c r="B104" s="17" t="s">
        <v>57</v>
      </c>
      <c r="C104" s="17" t="s">
        <v>287</v>
      </c>
      <c r="D104" s="17">
        <v>13.6</v>
      </c>
      <c r="E104" s="17">
        <v>2.7</v>
      </c>
      <c r="F104" s="17">
        <v>1.4</v>
      </c>
      <c r="G104" s="17">
        <v>0.2</v>
      </c>
      <c r="H104" s="17">
        <v>1</v>
      </c>
      <c r="I104" s="17">
        <v>0.40300000000000002</v>
      </c>
      <c r="J104" s="17">
        <v>0.78300000000000003</v>
      </c>
      <c r="K104" s="17">
        <v>2.6</v>
      </c>
      <c r="L104" s="17">
        <v>75</v>
      </c>
      <c r="M104" s="17">
        <v>29.6</v>
      </c>
      <c r="N104" s="17">
        <v>0.7</v>
      </c>
    </row>
    <row r="105" spans="1:14">
      <c r="A105" s="17" t="s">
        <v>210</v>
      </c>
      <c r="B105" s="17" t="s">
        <v>26</v>
      </c>
      <c r="C105" s="17" t="s">
        <v>287</v>
      </c>
      <c r="D105" s="17">
        <v>13.6</v>
      </c>
      <c r="E105" s="17">
        <v>3.6</v>
      </c>
      <c r="F105" s="17">
        <v>2</v>
      </c>
      <c r="G105" s="17">
        <v>0.2</v>
      </c>
      <c r="H105" s="17">
        <v>0.6</v>
      </c>
      <c r="I105" s="17">
        <v>0.51200000000000001</v>
      </c>
      <c r="J105" s="17">
        <v>0.76500000000000001</v>
      </c>
      <c r="K105" s="17">
        <v>2.9</v>
      </c>
      <c r="L105" s="17">
        <v>78</v>
      </c>
      <c r="M105" s="17">
        <v>31.4</v>
      </c>
      <c r="N105" s="17">
        <v>1.1000000000000001</v>
      </c>
    </row>
    <row r="106" spans="1:14">
      <c r="A106" s="17" t="s">
        <v>222</v>
      </c>
      <c r="B106" s="17" t="s">
        <v>40</v>
      </c>
      <c r="C106" s="17" t="s">
        <v>303</v>
      </c>
      <c r="D106" s="17">
        <v>13.5</v>
      </c>
      <c r="E106" s="17">
        <v>5.7</v>
      </c>
      <c r="F106" s="17">
        <v>1.6</v>
      </c>
      <c r="G106" s="17">
        <v>0.2</v>
      </c>
      <c r="H106" s="17">
        <v>0.8</v>
      </c>
      <c r="I106" s="17">
        <v>0.46800000000000003</v>
      </c>
      <c r="J106" s="17">
        <v>0.79</v>
      </c>
      <c r="K106" s="17">
        <v>0.8</v>
      </c>
      <c r="L106" s="17">
        <v>72</v>
      </c>
      <c r="M106" s="17">
        <v>30.7</v>
      </c>
      <c r="N106" s="17">
        <v>1.2</v>
      </c>
    </row>
    <row r="107" spans="1:14">
      <c r="A107" s="17" t="s">
        <v>221</v>
      </c>
      <c r="B107" s="17" t="s">
        <v>120</v>
      </c>
      <c r="C107" s="17" t="s">
        <v>28</v>
      </c>
      <c r="D107" s="17">
        <v>13.4</v>
      </c>
      <c r="E107" s="17">
        <v>4.0999999999999996</v>
      </c>
      <c r="F107" s="17">
        <v>4.2</v>
      </c>
      <c r="G107" s="17">
        <v>0.4</v>
      </c>
      <c r="H107" s="17">
        <v>0.7</v>
      </c>
      <c r="I107" s="17">
        <v>0.40400000000000003</v>
      </c>
      <c r="J107" s="17">
        <v>0.82799999999999996</v>
      </c>
      <c r="K107" s="17">
        <v>1.5</v>
      </c>
      <c r="L107" s="17">
        <v>75</v>
      </c>
      <c r="M107" s="17">
        <v>28.3</v>
      </c>
      <c r="N107" s="17">
        <v>2.4</v>
      </c>
    </row>
    <row r="108" spans="1:14">
      <c r="A108" s="17" t="s">
        <v>269</v>
      </c>
      <c r="B108" s="17" t="s">
        <v>108</v>
      </c>
      <c r="C108" s="17" t="s">
        <v>291</v>
      </c>
      <c r="D108" s="17">
        <v>13.3</v>
      </c>
      <c r="E108" s="17">
        <v>3.1</v>
      </c>
      <c r="F108" s="17">
        <v>1.4</v>
      </c>
      <c r="G108" s="17">
        <v>0.1</v>
      </c>
      <c r="H108" s="17">
        <v>0.3</v>
      </c>
      <c r="I108" s="17">
        <v>0.505</v>
      </c>
      <c r="J108" s="17">
        <v>0.80900000000000005</v>
      </c>
      <c r="K108" s="17">
        <v>1.8</v>
      </c>
      <c r="L108" s="17">
        <v>77</v>
      </c>
      <c r="M108" s="17">
        <v>25.9</v>
      </c>
      <c r="N108" s="17">
        <v>0.8</v>
      </c>
    </row>
    <row r="109" spans="1:14">
      <c r="A109" s="17" t="s">
        <v>178</v>
      </c>
      <c r="B109" s="17" t="s">
        <v>77</v>
      </c>
      <c r="C109" s="17" t="s">
        <v>288</v>
      </c>
      <c r="D109" s="17">
        <v>13.2</v>
      </c>
      <c r="E109" s="17">
        <v>2.9</v>
      </c>
      <c r="F109" s="17">
        <v>5.0999999999999996</v>
      </c>
      <c r="G109" s="17">
        <v>0.1</v>
      </c>
      <c r="H109" s="17">
        <v>0.9</v>
      </c>
      <c r="I109" s="17">
        <v>0.38100000000000001</v>
      </c>
      <c r="J109" s="17">
        <v>0.83</v>
      </c>
      <c r="K109" s="17">
        <v>2.7</v>
      </c>
      <c r="L109" s="17">
        <v>73</v>
      </c>
      <c r="M109" s="17">
        <v>29.4</v>
      </c>
      <c r="N109" s="17">
        <v>1.7</v>
      </c>
    </row>
    <row r="110" spans="1:14">
      <c r="A110" s="17" t="s">
        <v>216</v>
      </c>
      <c r="B110" s="17" t="s">
        <v>23</v>
      </c>
      <c r="C110" s="17" t="s">
        <v>291</v>
      </c>
      <c r="D110" s="17">
        <v>13.2</v>
      </c>
      <c r="E110" s="17">
        <v>5.6</v>
      </c>
      <c r="F110" s="17">
        <v>3.1</v>
      </c>
      <c r="G110" s="17">
        <v>0.7</v>
      </c>
      <c r="H110" s="17">
        <v>0.8</v>
      </c>
      <c r="I110" s="17">
        <v>0.46400000000000002</v>
      </c>
      <c r="J110" s="17">
        <v>0.68200000000000005</v>
      </c>
      <c r="K110" s="17">
        <v>1.2</v>
      </c>
      <c r="L110" s="17">
        <v>73</v>
      </c>
      <c r="M110" s="17">
        <v>30.1</v>
      </c>
      <c r="N110" s="17">
        <v>1.8</v>
      </c>
    </row>
    <row r="111" spans="1:14">
      <c r="A111" s="17" t="s">
        <v>238</v>
      </c>
      <c r="B111" s="17" t="s">
        <v>61</v>
      </c>
      <c r="C111" s="17" t="s">
        <v>291</v>
      </c>
      <c r="D111" s="17">
        <v>13.2</v>
      </c>
      <c r="E111" s="17">
        <v>3.8</v>
      </c>
      <c r="F111" s="17">
        <v>1.5</v>
      </c>
      <c r="G111" s="17">
        <v>0.2</v>
      </c>
      <c r="H111" s="17">
        <v>0.6</v>
      </c>
      <c r="I111" s="17">
        <v>0.44</v>
      </c>
      <c r="J111" s="17">
        <v>0.91600000000000004</v>
      </c>
      <c r="K111" s="17">
        <v>2.1</v>
      </c>
      <c r="L111" s="17">
        <v>71</v>
      </c>
      <c r="M111" s="17">
        <v>24.2</v>
      </c>
      <c r="N111" s="17">
        <v>0.9</v>
      </c>
    </row>
    <row r="112" spans="1:14">
      <c r="A112" s="17" t="s">
        <v>217</v>
      </c>
      <c r="B112" s="17" t="s">
        <v>65</v>
      </c>
      <c r="C112" s="17" t="s">
        <v>298</v>
      </c>
      <c r="D112" s="17">
        <v>13.2</v>
      </c>
      <c r="E112" s="17">
        <v>4.5999999999999996</v>
      </c>
      <c r="F112" s="17">
        <v>1.2</v>
      </c>
      <c r="G112" s="17">
        <v>0.6</v>
      </c>
      <c r="H112" s="17">
        <v>0.9</v>
      </c>
      <c r="I112" s="17">
        <v>0.439</v>
      </c>
      <c r="J112" s="17">
        <v>0.73299999999999998</v>
      </c>
      <c r="K112" s="17">
        <v>1.5</v>
      </c>
      <c r="L112" s="17">
        <v>75</v>
      </c>
      <c r="M112" s="17">
        <v>27.1</v>
      </c>
      <c r="N112" s="17">
        <v>1.1000000000000001</v>
      </c>
    </row>
    <row r="113" spans="1:14">
      <c r="A113" s="17" t="s">
        <v>191</v>
      </c>
      <c r="B113" s="17" t="s">
        <v>29</v>
      </c>
      <c r="C113" s="17" t="s">
        <v>288</v>
      </c>
      <c r="D113" s="17">
        <v>13.2</v>
      </c>
      <c r="E113" s="17">
        <v>2.2000000000000002</v>
      </c>
      <c r="F113" s="17">
        <v>2.2999999999999998</v>
      </c>
      <c r="G113" s="17">
        <v>0.2</v>
      </c>
      <c r="H113" s="17">
        <v>0.6</v>
      </c>
      <c r="I113" s="17">
        <v>0.42799999999999999</v>
      </c>
      <c r="J113" s="17">
        <v>0.86399999999999999</v>
      </c>
      <c r="K113" s="17">
        <v>2.2000000000000002</v>
      </c>
      <c r="L113" s="17">
        <v>75</v>
      </c>
      <c r="M113" s="17">
        <v>22.5</v>
      </c>
      <c r="N113" s="17">
        <v>1.2</v>
      </c>
    </row>
    <row r="114" spans="1:14">
      <c r="A114" s="17" t="s">
        <v>224</v>
      </c>
      <c r="B114" s="17" t="s">
        <v>53</v>
      </c>
      <c r="C114" s="17" t="s">
        <v>287</v>
      </c>
      <c r="D114" s="17">
        <v>13.1</v>
      </c>
      <c r="E114" s="17">
        <v>3.4</v>
      </c>
      <c r="F114" s="17">
        <v>3.1</v>
      </c>
      <c r="G114" s="17">
        <v>0.2</v>
      </c>
      <c r="H114" s="17">
        <v>0.9</v>
      </c>
      <c r="I114" s="17">
        <v>0.41599999999999998</v>
      </c>
      <c r="J114" s="17">
        <v>0.76200000000000001</v>
      </c>
      <c r="K114" s="17">
        <v>1.6</v>
      </c>
      <c r="L114" s="17">
        <v>54</v>
      </c>
      <c r="M114" s="17">
        <v>23.3</v>
      </c>
      <c r="N114" s="17">
        <v>1.8</v>
      </c>
    </row>
    <row r="115" spans="1:14">
      <c r="A115" s="17" t="s">
        <v>313</v>
      </c>
      <c r="B115" s="17" t="s">
        <v>26</v>
      </c>
      <c r="C115" s="17" t="s">
        <v>290</v>
      </c>
      <c r="D115" s="17">
        <v>13.1</v>
      </c>
      <c r="E115" s="17">
        <v>4.8</v>
      </c>
      <c r="F115" s="17">
        <v>3.3</v>
      </c>
      <c r="G115" s="17">
        <v>0.3</v>
      </c>
      <c r="H115" s="17">
        <v>0.6</v>
      </c>
      <c r="I115" s="17">
        <v>0.45600000000000002</v>
      </c>
      <c r="J115" s="17">
        <v>0.76</v>
      </c>
      <c r="K115" s="17">
        <v>1.6</v>
      </c>
      <c r="L115" s="17">
        <v>72</v>
      </c>
      <c r="M115" s="17">
        <v>27.1</v>
      </c>
      <c r="N115" s="17">
        <v>1.8</v>
      </c>
    </row>
    <row r="116" spans="1:14">
      <c r="A116" s="17" t="s">
        <v>187</v>
      </c>
      <c r="B116" s="17" t="s">
        <v>40</v>
      </c>
      <c r="C116" s="17" t="s">
        <v>290</v>
      </c>
      <c r="D116" s="17">
        <v>13</v>
      </c>
      <c r="E116" s="17">
        <v>6.3</v>
      </c>
      <c r="F116" s="17">
        <v>1.2</v>
      </c>
      <c r="G116" s="17">
        <v>0.8</v>
      </c>
      <c r="H116" s="17">
        <v>0.7</v>
      </c>
      <c r="I116" s="17">
        <v>0.59799999999999998</v>
      </c>
      <c r="J116" s="17">
        <v>0.67800000000000005</v>
      </c>
      <c r="K116" s="17">
        <v>0.1</v>
      </c>
      <c r="L116" s="17">
        <v>74</v>
      </c>
      <c r="M116" s="17">
        <v>22.1</v>
      </c>
      <c r="N116" s="17">
        <v>1.1000000000000001</v>
      </c>
    </row>
    <row r="117" spans="1:14">
      <c r="A117" s="17" t="s">
        <v>134</v>
      </c>
      <c r="B117" s="17" t="s">
        <v>37</v>
      </c>
      <c r="C117" s="17" t="s">
        <v>28</v>
      </c>
      <c r="D117" s="17">
        <v>13</v>
      </c>
      <c r="E117" s="17">
        <v>6.7</v>
      </c>
      <c r="F117" s="17">
        <v>6.5</v>
      </c>
      <c r="G117" s="17">
        <v>0.5</v>
      </c>
      <c r="H117" s="17">
        <v>1.6</v>
      </c>
      <c r="I117" s="17">
        <v>0.56999999999999995</v>
      </c>
      <c r="J117" s="17">
        <v>0.60599999999999998</v>
      </c>
      <c r="K117" s="17">
        <v>0</v>
      </c>
      <c r="L117" s="17">
        <v>64</v>
      </c>
      <c r="M117" s="17">
        <v>30.9</v>
      </c>
      <c r="N117" s="17">
        <v>2.7</v>
      </c>
    </row>
    <row r="118" spans="1:14">
      <c r="A118" s="17" t="s">
        <v>213</v>
      </c>
      <c r="B118" s="17" t="s">
        <v>88</v>
      </c>
      <c r="C118" s="17" t="s">
        <v>288</v>
      </c>
      <c r="D118" s="17">
        <v>12.8</v>
      </c>
      <c r="E118" s="17">
        <v>2.8</v>
      </c>
      <c r="F118" s="17">
        <v>3.6</v>
      </c>
      <c r="G118" s="17">
        <v>0.3</v>
      </c>
      <c r="H118" s="17">
        <v>0.8</v>
      </c>
      <c r="I118" s="17">
        <v>0.47399999999999998</v>
      </c>
      <c r="J118" s="17">
        <v>0.88300000000000001</v>
      </c>
      <c r="K118" s="17">
        <v>0.8</v>
      </c>
      <c r="L118" s="17">
        <v>68</v>
      </c>
      <c r="M118" s="17">
        <v>23.3</v>
      </c>
      <c r="N118" s="17">
        <v>1.6</v>
      </c>
    </row>
    <row r="119" spans="1:14">
      <c r="A119" s="17" t="s">
        <v>314</v>
      </c>
      <c r="B119" s="17" t="s">
        <v>65</v>
      </c>
      <c r="C119" s="17" t="s">
        <v>290</v>
      </c>
      <c r="D119" s="17">
        <v>12.7</v>
      </c>
      <c r="E119" s="17">
        <v>6.2</v>
      </c>
      <c r="F119" s="17">
        <v>2.2000000000000002</v>
      </c>
      <c r="G119" s="17">
        <v>1.1000000000000001</v>
      </c>
      <c r="H119" s="17">
        <v>1</v>
      </c>
      <c r="I119" s="17">
        <v>0.44800000000000001</v>
      </c>
      <c r="J119" s="17">
        <v>0.73599999999999999</v>
      </c>
      <c r="K119" s="17">
        <v>1.7</v>
      </c>
      <c r="L119" s="17">
        <v>77</v>
      </c>
      <c r="M119" s="17">
        <v>29.9</v>
      </c>
      <c r="N119" s="17">
        <v>1.7</v>
      </c>
    </row>
    <row r="120" spans="1:14">
      <c r="A120" s="17" t="s">
        <v>161</v>
      </c>
      <c r="B120" s="17" t="s">
        <v>77</v>
      </c>
      <c r="C120" s="17" t="s">
        <v>293</v>
      </c>
      <c r="D120" s="17">
        <v>12.5</v>
      </c>
      <c r="E120" s="17">
        <v>3.5</v>
      </c>
      <c r="F120" s="17">
        <v>2.4</v>
      </c>
      <c r="G120" s="17">
        <v>0.4</v>
      </c>
      <c r="H120" s="17">
        <v>1.1000000000000001</v>
      </c>
      <c r="I120" s="17">
        <v>0.41899999999999998</v>
      </c>
      <c r="J120" s="17">
        <v>0.73899999999999999</v>
      </c>
      <c r="K120" s="17">
        <v>1.8</v>
      </c>
      <c r="L120" s="17">
        <v>73</v>
      </c>
      <c r="M120" s="17">
        <v>25.9</v>
      </c>
      <c r="N120" s="17">
        <v>1.7</v>
      </c>
    </row>
    <row r="121" spans="1:14">
      <c r="A121" s="17" t="s">
        <v>112</v>
      </c>
      <c r="B121" s="17" t="s">
        <v>75</v>
      </c>
      <c r="C121" s="17" t="s">
        <v>290</v>
      </c>
      <c r="D121" s="17">
        <v>12.5</v>
      </c>
      <c r="E121" s="17">
        <v>6.7</v>
      </c>
      <c r="F121" s="17">
        <v>1.1000000000000001</v>
      </c>
      <c r="G121" s="17">
        <v>2.9</v>
      </c>
      <c r="H121" s="17">
        <v>0.8</v>
      </c>
      <c r="I121" s="17">
        <v>0.47799999999999998</v>
      </c>
      <c r="J121" s="17">
        <v>0.75900000000000001</v>
      </c>
      <c r="K121" s="17">
        <v>1.3</v>
      </c>
      <c r="L121" s="17">
        <v>74</v>
      </c>
      <c r="M121" s="17">
        <v>30.9</v>
      </c>
      <c r="N121" s="17">
        <v>1.5</v>
      </c>
    </row>
    <row r="122" spans="1:14">
      <c r="A122" s="17" t="s">
        <v>199</v>
      </c>
      <c r="B122" s="17" t="s">
        <v>53</v>
      </c>
      <c r="C122" s="17" t="s">
        <v>287</v>
      </c>
      <c r="D122" s="17">
        <v>12.5</v>
      </c>
      <c r="E122" s="17">
        <v>3.1</v>
      </c>
      <c r="F122" s="17">
        <v>1.5</v>
      </c>
      <c r="G122" s="17">
        <v>0.2</v>
      </c>
      <c r="H122" s="17">
        <v>0.6</v>
      </c>
      <c r="I122" s="17">
        <v>0.44400000000000001</v>
      </c>
      <c r="J122" s="17">
        <v>0.87</v>
      </c>
      <c r="K122" s="17">
        <v>3.2</v>
      </c>
      <c r="L122" s="17">
        <v>79</v>
      </c>
      <c r="M122" s="17">
        <v>29.8</v>
      </c>
      <c r="N122" s="17">
        <v>1</v>
      </c>
    </row>
    <row r="123" spans="1:14">
      <c r="A123" s="17" t="s">
        <v>315</v>
      </c>
      <c r="B123" s="17" t="s">
        <v>100</v>
      </c>
      <c r="C123" s="17" t="s">
        <v>287</v>
      </c>
      <c r="D123" s="17">
        <v>12.4</v>
      </c>
      <c r="E123" s="17">
        <v>2.6</v>
      </c>
      <c r="F123" s="17">
        <v>2</v>
      </c>
      <c r="G123" s="17">
        <v>0.4</v>
      </c>
      <c r="H123" s="17">
        <v>0.5</v>
      </c>
      <c r="I123" s="17">
        <v>0.433</v>
      </c>
      <c r="J123" s="17">
        <v>0.80300000000000005</v>
      </c>
      <c r="K123" s="17">
        <v>1.9</v>
      </c>
      <c r="L123" s="17">
        <v>70</v>
      </c>
      <c r="M123" s="17">
        <v>25.3</v>
      </c>
      <c r="N123" s="17">
        <v>1.4</v>
      </c>
    </row>
    <row r="124" spans="1:14">
      <c r="A124" s="17" t="s">
        <v>148</v>
      </c>
      <c r="B124" s="17" t="s">
        <v>65</v>
      </c>
      <c r="C124" s="17" t="s">
        <v>291</v>
      </c>
      <c r="D124" s="17">
        <v>12.4</v>
      </c>
      <c r="E124" s="17">
        <v>6.1</v>
      </c>
      <c r="F124" s="17">
        <v>2.1</v>
      </c>
      <c r="G124" s="17">
        <v>0.8</v>
      </c>
      <c r="H124" s="17">
        <v>0.6</v>
      </c>
      <c r="I124" s="17">
        <v>0.48599999999999999</v>
      </c>
      <c r="J124" s="17">
        <v>0.85399999999999998</v>
      </c>
      <c r="K124" s="17">
        <v>1.7</v>
      </c>
      <c r="L124" s="17">
        <v>79</v>
      </c>
      <c r="M124" s="17">
        <v>29</v>
      </c>
      <c r="N124" s="17">
        <v>1.5</v>
      </c>
    </row>
    <row r="125" spans="1:14">
      <c r="A125" s="17" t="s">
        <v>280</v>
      </c>
      <c r="B125" s="17" t="s">
        <v>51</v>
      </c>
      <c r="C125" s="17" t="s">
        <v>288</v>
      </c>
      <c r="D125" s="17">
        <v>12.4</v>
      </c>
      <c r="E125" s="17">
        <v>3.1</v>
      </c>
      <c r="F125" s="17">
        <v>3.4</v>
      </c>
      <c r="G125" s="17">
        <v>0.1</v>
      </c>
      <c r="H125" s="17">
        <v>0.5</v>
      </c>
      <c r="I125" s="17">
        <v>0.52600000000000002</v>
      </c>
      <c r="J125" s="17">
        <v>0.83399999999999996</v>
      </c>
      <c r="K125" s="17">
        <v>1.2</v>
      </c>
      <c r="L125" s="17">
        <v>75</v>
      </c>
      <c r="M125" s="17">
        <v>23.8</v>
      </c>
      <c r="N125" s="17">
        <v>1.2</v>
      </c>
    </row>
    <row r="126" spans="1:14">
      <c r="A126" s="17" t="s">
        <v>130</v>
      </c>
      <c r="B126" s="17" t="s">
        <v>72</v>
      </c>
      <c r="C126" s="17" t="s">
        <v>287</v>
      </c>
      <c r="D126" s="17">
        <v>12.2</v>
      </c>
      <c r="E126" s="17">
        <v>4.0999999999999996</v>
      </c>
      <c r="F126" s="17">
        <v>2</v>
      </c>
      <c r="G126" s="17">
        <v>0.8</v>
      </c>
      <c r="H126" s="17">
        <v>1.1000000000000001</v>
      </c>
      <c r="I126" s="17">
        <v>0.52200000000000002</v>
      </c>
      <c r="J126" s="17">
        <v>0.83299999999999996</v>
      </c>
      <c r="K126" s="17">
        <v>1.7</v>
      </c>
      <c r="L126" s="17">
        <v>79</v>
      </c>
      <c r="M126" s="17">
        <v>31.5</v>
      </c>
      <c r="N126" s="17">
        <v>0.8</v>
      </c>
    </row>
    <row r="127" spans="1:14">
      <c r="A127" s="17" t="s">
        <v>167</v>
      </c>
      <c r="B127" s="17" t="s">
        <v>118</v>
      </c>
      <c r="C127" s="17" t="s">
        <v>22</v>
      </c>
      <c r="D127" s="17">
        <v>12.2</v>
      </c>
      <c r="E127" s="17">
        <v>9</v>
      </c>
      <c r="F127" s="17">
        <v>1.5</v>
      </c>
      <c r="G127" s="17">
        <v>1.4</v>
      </c>
      <c r="H127" s="17">
        <v>0.5</v>
      </c>
      <c r="I127" s="17">
        <v>0.61299999999999999</v>
      </c>
      <c r="J127" s="17">
        <v>0.69699999999999995</v>
      </c>
      <c r="K127" s="17">
        <v>0</v>
      </c>
      <c r="L127" s="17">
        <v>77</v>
      </c>
      <c r="M127" s="17">
        <v>29.8</v>
      </c>
      <c r="N127" s="17">
        <v>1.5</v>
      </c>
    </row>
    <row r="128" spans="1:14">
      <c r="A128" s="17" t="s">
        <v>230</v>
      </c>
      <c r="B128" s="17" t="s">
        <v>57</v>
      </c>
      <c r="C128" s="17" t="s">
        <v>288</v>
      </c>
      <c r="D128" s="17">
        <v>12.2</v>
      </c>
      <c r="E128" s="17">
        <v>3.2</v>
      </c>
      <c r="F128" s="17">
        <v>3.9</v>
      </c>
      <c r="G128" s="17">
        <v>0.1</v>
      </c>
      <c r="H128" s="17">
        <v>0.7</v>
      </c>
      <c r="I128" s="17">
        <v>0.42699999999999999</v>
      </c>
      <c r="J128" s="17">
        <v>0.81599999999999995</v>
      </c>
      <c r="K128" s="17">
        <v>1.7</v>
      </c>
      <c r="L128" s="17">
        <v>68</v>
      </c>
      <c r="M128" s="17">
        <v>24.7</v>
      </c>
      <c r="N128" s="17">
        <v>2</v>
      </c>
    </row>
    <row r="129" spans="1:14">
      <c r="A129" s="17" t="s">
        <v>251</v>
      </c>
      <c r="B129" s="17" t="s">
        <v>40</v>
      </c>
      <c r="C129" s="17" t="s">
        <v>316</v>
      </c>
      <c r="D129" s="17">
        <v>12</v>
      </c>
      <c r="E129" s="17">
        <v>7.7</v>
      </c>
      <c r="F129" s="17">
        <v>1.4</v>
      </c>
      <c r="G129" s="17">
        <v>0.8</v>
      </c>
      <c r="H129" s="17">
        <v>0.4</v>
      </c>
      <c r="I129" s="17">
        <v>0.61499999999999999</v>
      </c>
      <c r="J129" s="17">
        <v>0.72299999999999998</v>
      </c>
      <c r="K129" s="17">
        <v>0.8</v>
      </c>
      <c r="L129" s="17">
        <v>45</v>
      </c>
      <c r="M129" s="17">
        <v>23.1</v>
      </c>
      <c r="N129" s="17">
        <v>1</v>
      </c>
    </row>
    <row r="130" spans="1:14">
      <c r="A130" s="17" t="s">
        <v>139</v>
      </c>
      <c r="B130" s="17" t="s">
        <v>42</v>
      </c>
      <c r="C130" s="17" t="s">
        <v>288</v>
      </c>
      <c r="D130" s="17">
        <v>12</v>
      </c>
      <c r="E130" s="17">
        <v>3.5</v>
      </c>
      <c r="F130" s="17">
        <v>5.3</v>
      </c>
      <c r="G130" s="17">
        <v>0.5</v>
      </c>
      <c r="H130" s="17">
        <v>1.5</v>
      </c>
      <c r="I130" s="17">
        <v>0.40699999999999997</v>
      </c>
      <c r="J130" s="17">
        <v>0.79600000000000004</v>
      </c>
      <c r="K130" s="17">
        <v>1.8</v>
      </c>
      <c r="L130" s="17">
        <v>72</v>
      </c>
      <c r="M130" s="17">
        <v>32.1</v>
      </c>
      <c r="N130" s="17">
        <v>2</v>
      </c>
    </row>
    <row r="131" spans="1:14">
      <c r="A131" s="17" t="s">
        <v>203</v>
      </c>
      <c r="B131" s="17" t="s">
        <v>49</v>
      </c>
      <c r="C131" s="17" t="s">
        <v>288</v>
      </c>
      <c r="D131" s="17">
        <v>12</v>
      </c>
      <c r="E131" s="17">
        <v>3.1</v>
      </c>
      <c r="F131" s="17">
        <v>3.5</v>
      </c>
      <c r="G131" s="17">
        <v>0.3</v>
      </c>
      <c r="H131" s="17">
        <v>0.9</v>
      </c>
      <c r="I131" s="17">
        <v>0.437</v>
      </c>
      <c r="J131" s="17">
        <v>0.753</v>
      </c>
      <c r="K131" s="17">
        <v>1.5</v>
      </c>
      <c r="L131" s="17">
        <v>77</v>
      </c>
      <c r="M131" s="17">
        <v>26.3</v>
      </c>
      <c r="N131" s="17">
        <v>1.6</v>
      </c>
    </row>
    <row r="132" spans="1:14">
      <c r="A132" s="17" t="s">
        <v>229</v>
      </c>
      <c r="B132" s="17" t="s">
        <v>70</v>
      </c>
      <c r="C132" s="17" t="s">
        <v>287</v>
      </c>
      <c r="D132" s="17">
        <v>12</v>
      </c>
      <c r="E132" s="17">
        <v>3.5</v>
      </c>
      <c r="F132" s="17">
        <v>1.5</v>
      </c>
      <c r="G132" s="17">
        <v>0.3</v>
      </c>
      <c r="H132" s="17">
        <v>0.9</v>
      </c>
      <c r="I132" s="17">
        <v>0.38600000000000001</v>
      </c>
      <c r="J132" s="17">
        <v>0.74399999999999999</v>
      </c>
      <c r="K132" s="17">
        <v>1.7</v>
      </c>
      <c r="L132" s="17">
        <v>75</v>
      </c>
      <c r="M132" s="17">
        <v>29.3</v>
      </c>
      <c r="N132" s="17">
        <v>1.4</v>
      </c>
    </row>
    <row r="133" spans="1:14">
      <c r="A133" s="17" t="s">
        <v>192</v>
      </c>
      <c r="B133" s="17" t="s">
        <v>120</v>
      </c>
      <c r="C133" s="17" t="s">
        <v>22</v>
      </c>
      <c r="D133" s="17">
        <v>11.9</v>
      </c>
      <c r="E133" s="17">
        <v>8.6</v>
      </c>
      <c r="F133" s="17">
        <v>1.7</v>
      </c>
      <c r="G133" s="17">
        <v>0.9</v>
      </c>
      <c r="H133" s="17">
        <v>0.7</v>
      </c>
      <c r="I133" s="17">
        <v>0.51200000000000001</v>
      </c>
      <c r="J133" s="17">
        <v>0.73699999999999999</v>
      </c>
      <c r="K133" s="17">
        <v>0.2</v>
      </c>
      <c r="L133" s="17">
        <v>74</v>
      </c>
      <c r="M133" s="17">
        <v>29.1</v>
      </c>
      <c r="N133" s="17">
        <v>1.5</v>
      </c>
    </row>
    <row r="134" spans="1:14">
      <c r="A134" s="17" t="s">
        <v>214</v>
      </c>
      <c r="B134" s="17" t="s">
        <v>37</v>
      </c>
      <c r="C134" s="17" t="s">
        <v>288</v>
      </c>
      <c r="D134" s="17">
        <v>11.9</v>
      </c>
      <c r="E134" s="17">
        <v>2.6</v>
      </c>
      <c r="F134" s="17">
        <v>2.2999999999999998</v>
      </c>
      <c r="G134" s="17">
        <v>0.2</v>
      </c>
      <c r="H134" s="17">
        <v>0.8</v>
      </c>
      <c r="I134" s="17">
        <v>0.47799999999999998</v>
      </c>
      <c r="J134" s="17">
        <v>0.85299999999999998</v>
      </c>
      <c r="K134" s="17">
        <v>2.1</v>
      </c>
      <c r="L134" s="17">
        <v>74</v>
      </c>
      <c r="M134" s="17">
        <v>28.6</v>
      </c>
      <c r="N134" s="17">
        <v>1.1000000000000001</v>
      </c>
    </row>
    <row r="135" spans="1:14">
      <c r="A135" s="17" t="s">
        <v>170</v>
      </c>
      <c r="B135" s="17" t="s">
        <v>46</v>
      </c>
      <c r="C135" s="17" t="s">
        <v>22</v>
      </c>
      <c r="D135" s="17">
        <v>11.8</v>
      </c>
      <c r="E135" s="17">
        <v>4.9000000000000004</v>
      </c>
      <c r="F135" s="17">
        <v>0.8</v>
      </c>
      <c r="G135" s="17">
        <v>1.5</v>
      </c>
      <c r="H135" s="17">
        <v>0.6</v>
      </c>
      <c r="I135" s="17">
        <v>0.49299999999999999</v>
      </c>
      <c r="J135" s="17">
        <v>0.82399999999999995</v>
      </c>
      <c r="K135" s="17">
        <v>1.3</v>
      </c>
      <c r="L135" s="17">
        <v>75</v>
      </c>
      <c r="M135" s="17">
        <v>27.6</v>
      </c>
      <c r="N135" s="17">
        <v>1</v>
      </c>
    </row>
    <row r="136" spans="1:14">
      <c r="A136" s="17" t="s">
        <v>274</v>
      </c>
      <c r="B136" s="17" t="s">
        <v>59</v>
      </c>
      <c r="C136" s="17" t="s">
        <v>301</v>
      </c>
      <c r="D136" s="17">
        <v>11.8</v>
      </c>
      <c r="E136" s="17">
        <v>3.4</v>
      </c>
      <c r="F136" s="17">
        <v>3.2</v>
      </c>
      <c r="G136" s="17">
        <v>0.2</v>
      </c>
      <c r="H136" s="17">
        <v>0.5</v>
      </c>
      <c r="I136" s="17">
        <v>0.41699999999999998</v>
      </c>
      <c r="J136" s="17">
        <v>0.85399999999999998</v>
      </c>
      <c r="K136" s="17">
        <v>1.9</v>
      </c>
      <c r="L136" s="17">
        <v>63</v>
      </c>
      <c r="M136" s="17">
        <v>23.8</v>
      </c>
      <c r="N136" s="17">
        <v>1.6</v>
      </c>
    </row>
    <row r="137" spans="1:14">
      <c r="A137" s="17" t="s">
        <v>317</v>
      </c>
      <c r="B137" s="17" t="s">
        <v>46</v>
      </c>
      <c r="C137" s="17" t="s">
        <v>290</v>
      </c>
      <c r="D137" s="17">
        <v>11.6</v>
      </c>
      <c r="E137" s="17">
        <v>5.4</v>
      </c>
      <c r="F137" s="17">
        <v>1.1000000000000001</v>
      </c>
      <c r="G137" s="17">
        <v>0.5</v>
      </c>
      <c r="H137" s="17">
        <v>0.7</v>
      </c>
      <c r="I137" s="17">
        <v>0.502</v>
      </c>
      <c r="J137" s="17">
        <v>0.73599999999999999</v>
      </c>
      <c r="K137" s="17">
        <v>1.1000000000000001</v>
      </c>
      <c r="L137" s="17">
        <v>76</v>
      </c>
      <c r="M137" s="17">
        <v>22.9</v>
      </c>
      <c r="N137" s="17">
        <v>0.9</v>
      </c>
    </row>
    <row r="138" spans="1:14">
      <c r="A138" s="17" t="s">
        <v>156</v>
      </c>
      <c r="B138" s="17" t="s">
        <v>100</v>
      </c>
      <c r="C138" s="17" t="s">
        <v>291</v>
      </c>
      <c r="D138" s="17">
        <v>11.5</v>
      </c>
      <c r="E138" s="17">
        <v>4.9000000000000004</v>
      </c>
      <c r="F138" s="17">
        <v>2.5</v>
      </c>
      <c r="G138" s="17">
        <v>0.5</v>
      </c>
      <c r="H138" s="17">
        <v>1.2</v>
      </c>
      <c r="I138" s="17">
        <v>0.51300000000000001</v>
      </c>
      <c r="J138" s="17">
        <v>0.72</v>
      </c>
      <c r="K138" s="17">
        <v>0.9</v>
      </c>
      <c r="L138" s="17">
        <v>77</v>
      </c>
      <c r="M138" s="17">
        <v>29.7</v>
      </c>
      <c r="N138" s="17">
        <v>1.4</v>
      </c>
    </row>
    <row r="139" spans="1:14">
      <c r="A139" s="17" t="s">
        <v>150</v>
      </c>
      <c r="B139" s="17" t="s">
        <v>108</v>
      </c>
      <c r="C139" s="17" t="s">
        <v>312</v>
      </c>
      <c r="D139" s="17">
        <v>11.4</v>
      </c>
      <c r="E139" s="17">
        <v>5</v>
      </c>
      <c r="F139" s="17">
        <v>3.6</v>
      </c>
      <c r="G139" s="17">
        <v>0.5</v>
      </c>
      <c r="H139" s="17">
        <v>1.1000000000000001</v>
      </c>
      <c r="I139" s="17">
        <v>0.53300000000000003</v>
      </c>
      <c r="J139" s="17">
        <v>0.61199999999999999</v>
      </c>
      <c r="K139" s="17">
        <v>0.3</v>
      </c>
      <c r="L139" s="17">
        <v>74</v>
      </c>
      <c r="M139" s="17">
        <v>23.5</v>
      </c>
      <c r="N139" s="17">
        <v>1.7</v>
      </c>
    </row>
    <row r="140" spans="1:14">
      <c r="A140" s="17" t="s">
        <v>318</v>
      </c>
      <c r="B140" s="17" t="s">
        <v>29</v>
      </c>
      <c r="C140" s="17" t="s">
        <v>316</v>
      </c>
      <c r="D140" s="17">
        <v>11.4</v>
      </c>
      <c r="E140" s="17">
        <v>5.7</v>
      </c>
      <c r="F140" s="17">
        <v>0.8</v>
      </c>
      <c r="G140" s="17">
        <v>1</v>
      </c>
      <c r="H140" s="17">
        <v>0.3</v>
      </c>
      <c r="I140" s="17">
        <v>0.50700000000000001</v>
      </c>
      <c r="J140" s="17">
        <v>0.65100000000000002</v>
      </c>
      <c r="K140" s="17">
        <v>0.3</v>
      </c>
      <c r="L140" s="17">
        <v>69</v>
      </c>
      <c r="M140" s="17">
        <v>23.4</v>
      </c>
      <c r="N140" s="17">
        <v>1.5</v>
      </c>
    </row>
    <row r="141" spans="1:14">
      <c r="A141" s="17" t="s">
        <v>231</v>
      </c>
      <c r="B141" s="17" t="s">
        <v>120</v>
      </c>
      <c r="C141" s="17" t="s">
        <v>301</v>
      </c>
      <c r="D141" s="17">
        <v>11.3</v>
      </c>
      <c r="E141" s="17">
        <v>2.9</v>
      </c>
      <c r="F141" s="17">
        <v>4.5999999999999996</v>
      </c>
      <c r="G141" s="17">
        <v>0.2</v>
      </c>
      <c r="H141" s="17">
        <v>0.9</v>
      </c>
      <c r="I141" s="17">
        <v>0.434</v>
      </c>
      <c r="J141" s="17">
        <v>0.79800000000000004</v>
      </c>
      <c r="K141" s="17">
        <v>0.4</v>
      </c>
      <c r="L141" s="17">
        <v>52</v>
      </c>
      <c r="M141" s="17">
        <v>26.8</v>
      </c>
      <c r="N141" s="17">
        <v>2.1</v>
      </c>
    </row>
    <row r="142" spans="1:14">
      <c r="A142" s="17" t="s">
        <v>180</v>
      </c>
      <c r="B142" s="17" t="s">
        <v>292</v>
      </c>
      <c r="C142" s="17" t="s">
        <v>298</v>
      </c>
      <c r="D142" s="17">
        <v>11.3</v>
      </c>
      <c r="E142" s="17">
        <v>3.6</v>
      </c>
      <c r="F142" s="17">
        <v>4.4000000000000004</v>
      </c>
      <c r="G142" s="17">
        <v>0.2</v>
      </c>
      <c r="H142" s="17">
        <v>0.8</v>
      </c>
      <c r="I142" s="17">
        <v>0.46</v>
      </c>
      <c r="J142" s="17">
        <v>0.83</v>
      </c>
      <c r="K142" s="17">
        <v>2.5</v>
      </c>
      <c r="L142" s="17">
        <v>77</v>
      </c>
      <c r="M142" s="17">
        <v>28.7</v>
      </c>
      <c r="N142" s="17">
        <v>1.7</v>
      </c>
    </row>
    <row r="143" spans="1:14">
      <c r="A143" s="17" t="s">
        <v>160</v>
      </c>
      <c r="B143" s="17" t="s">
        <v>37</v>
      </c>
      <c r="C143" s="17" t="s">
        <v>288</v>
      </c>
      <c r="D143" s="17">
        <v>11.2</v>
      </c>
      <c r="E143" s="17">
        <v>2.2999999999999998</v>
      </c>
      <c r="F143" s="17">
        <v>3.4</v>
      </c>
      <c r="G143" s="17">
        <v>0.3</v>
      </c>
      <c r="H143" s="17">
        <v>0.6</v>
      </c>
      <c r="I143" s="17">
        <v>0.46</v>
      </c>
      <c r="J143" s="17">
        <v>0.82699999999999996</v>
      </c>
      <c r="K143" s="17">
        <v>0.7</v>
      </c>
      <c r="L143" s="17">
        <v>74</v>
      </c>
      <c r="M143" s="17">
        <v>22.1</v>
      </c>
      <c r="N143" s="17">
        <v>1</v>
      </c>
    </row>
    <row r="144" spans="1:14">
      <c r="A144" s="17" t="s">
        <v>319</v>
      </c>
      <c r="B144" s="17" t="s">
        <v>118</v>
      </c>
      <c r="C144" s="17" t="s">
        <v>290</v>
      </c>
      <c r="D144" s="17">
        <v>11.1</v>
      </c>
      <c r="E144" s="17">
        <v>8.1999999999999993</v>
      </c>
      <c r="F144" s="17">
        <v>2.1</v>
      </c>
      <c r="G144" s="17">
        <v>0.2</v>
      </c>
      <c r="H144" s="17">
        <v>0.5</v>
      </c>
      <c r="I144" s="17">
        <v>0.432</v>
      </c>
      <c r="J144" s="17">
        <v>0.85199999999999998</v>
      </c>
      <c r="K144" s="17">
        <v>1.8</v>
      </c>
      <c r="L144" s="17">
        <v>51</v>
      </c>
      <c r="M144" s="17">
        <v>22.5</v>
      </c>
      <c r="N144" s="17">
        <v>1.4</v>
      </c>
    </row>
    <row r="145" spans="1:14">
      <c r="A145" s="17" t="s">
        <v>163</v>
      </c>
      <c r="B145" s="17" t="s">
        <v>57</v>
      </c>
      <c r="C145" s="17" t="s">
        <v>299</v>
      </c>
      <c r="D145" s="17">
        <v>11.1</v>
      </c>
      <c r="E145" s="17">
        <v>6.1</v>
      </c>
      <c r="F145" s="17">
        <v>0.8</v>
      </c>
      <c r="G145" s="17">
        <v>1.6</v>
      </c>
      <c r="H145" s="17">
        <v>0.5</v>
      </c>
      <c r="I145" s="17">
        <v>0.499</v>
      </c>
      <c r="J145" s="17">
        <v>0.76700000000000002</v>
      </c>
      <c r="K145" s="17">
        <v>1.2</v>
      </c>
      <c r="L145" s="17">
        <v>72</v>
      </c>
      <c r="M145" s="17">
        <v>22.6</v>
      </c>
      <c r="N145" s="17">
        <v>0.7</v>
      </c>
    </row>
    <row r="146" spans="1:14">
      <c r="A146" s="17" t="s">
        <v>145</v>
      </c>
      <c r="B146" s="17" t="s">
        <v>115</v>
      </c>
      <c r="C146" s="17" t="s">
        <v>290</v>
      </c>
      <c r="D146" s="17">
        <v>10.9</v>
      </c>
      <c r="E146" s="17">
        <v>5.4</v>
      </c>
      <c r="F146" s="17">
        <v>2.2000000000000002</v>
      </c>
      <c r="G146" s="17">
        <v>0.5</v>
      </c>
      <c r="H146" s="17">
        <v>0.9</v>
      </c>
      <c r="I146" s="17">
        <v>0.47799999999999998</v>
      </c>
      <c r="J146" s="17">
        <v>0.83</v>
      </c>
      <c r="K146" s="17">
        <v>1.6</v>
      </c>
      <c r="L146" s="17">
        <v>75</v>
      </c>
      <c r="M146" s="17">
        <v>25.6</v>
      </c>
      <c r="N146" s="17">
        <v>1.5</v>
      </c>
    </row>
    <row r="147" spans="1:14">
      <c r="A147" s="17" t="s">
        <v>119</v>
      </c>
      <c r="B147" s="17" t="s">
        <v>120</v>
      </c>
      <c r="C147" s="17" t="s">
        <v>303</v>
      </c>
      <c r="D147" s="17">
        <v>10.8</v>
      </c>
      <c r="E147" s="17">
        <v>5.7</v>
      </c>
      <c r="F147" s="17">
        <v>1.3</v>
      </c>
      <c r="G147" s="17">
        <v>1.8</v>
      </c>
      <c r="H147" s="17">
        <v>1.3</v>
      </c>
      <c r="I147" s="17">
        <v>0.44600000000000001</v>
      </c>
      <c r="J147" s="17">
        <v>0.77400000000000002</v>
      </c>
      <c r="K147" s="17">
        <v>1</v>
      </c>
      <c r="L147" s="17">
        <v>56</v>
      </c>
      <c r="M147" s="17">
        <v>27.6</v>
      </c>
      <c r="N147" s="17">
        <v>1.3</v>
      </c>
    </row>
    <row r="148" spans="1:14">
      <c r="A148" s="17" t="s">
        <v>239</v>
      </c>
      <c r="B148" s="17" t="s">
        <v>72</v>
      </c>
      <c r="C148" s="17" t="s">
        <v>291</v>
      </c>
      <c r="D148" s="17">
        <v>10.7</v>
      </c>
      <c r="E148" s="17">
        <v>3.6</v>
      </c>
      <c r="F148" s="17">
        <v>1.4</v>
      </c>
      <c r="G148" s="17">
        <v>0.3</v>
      </c>
      <c r="H148" s="17">
        <v>0.7</v>
      </c>
      <c r="I148" s="17">
        <v>0.432</v>
      </c>
      <c r="J148" s="17">
        <v>0.83</v>
      </c>
      <c r="K148" s="17">
        <v>2.2000000000000002</v>
      </c>
      <c r="L148" s="17">
        <v>76</v>
      </c>
      <c r="M148" s="17">
        <v>26.3</v>
      </c>
      <c r="N148" s="17">
        <v>0.8</v>
      </c>
    </row>
    <row r="149" spans="1:14">
      <c r="A149" s="17" t="s">
        <v>226</v>
      </c>
      <c r="B149" s="17" t="s">
        <v>23</v>
      </c>
      <c r="C149" s="17" t="s">
        <v>288</v>
      </c>
      <c r="D149" s="17">
        <v>10.6</v>
      </c>
      <c r="E149" s="17">
        <v>2.2000000000000002</v>
      </c>
      <c r="F149" s="17">
        <v>3.4</v>
      </c>
      <c r="G149" s="17">
        <v>0.2</v>
      </c>
      <c r="H149" s="17">
        <v>0.8</v>
      </c>
      <c r="I149" s="17">
        <v>0.47799999999999998</v>
      </c>
      <c r="J149" s="17">
        <v>0.81</v>
      </c>
      <c r="K149" s="17">
        <v>1.2</v>
      </c>
      <c r="L149" s="17">
        <v>74</v>
      </c>
      <c r="M149" s="17">
        <v>26.2</v>
      </c>
      <c r="N149" s="17">
        <v>0.7</v>
      </c>
    </row>
    <row r="150" spans="1:14">
      <c r="A150" s="17" t="s">
        <v>143</v>
      </c>
      <c r="B150" s="17" t="s">
        <v>84</v>
      </c>
      <c r="C150" s="17" t="s">
        <v>291</v>
      </c>
      <c r="D150" s="17">
        <v>10.6</v>
      </c>
      <c r="E150" s="17">
        <v>5.4</v>
      </c>
      <c r="F150" s="17">
        <v>3.1</v>
      </c>
      <c r="G150" s="17">
        <v>0.7</v>
      </c>
      <c r="H150" s="17">
        <v>1.1000000000000001</v>
      </c>
      <c r="I150" s="17">
        <v>0.46</v>
      </c>
      <c r="J150" s="17">
        <v>0.76300000000000001</v>
      </c>
      <c r="K150" s="17">
        <v>1.1000000000000001</v>
      </c>
      <c r="L150" s="17">
        <v>76</v>
      </c>
      <c r="M150" s="17">
        <v>26.3</v>
      </c>
      <c r="N150" s="17">
        <v>1.2</v>
      </c>
    </row>
    <row r="151" spans="1:14">
      <c r="A151" s="17" t="s">
        <v>264</v>
      </c>
      <c r="B151" s="17" t="s">
        <v>70</v>
      </c>
      <c r="C151" s="17" t="s">
        <v>291</v>
      </c>
      <c r="D151" s="17">
        <v>10.6</v>
      </c>
      <c r="E151" s="17">
        <v>5.2</v>
      </c>
      <c r="F151" s="17">
        <v>2.4</v>
      </c>
      <c r="G151" s="17">
        <v>1</v>
      </c>
      <c r="H151" s="17">
        <v>0.5</v>
      </c>
      <c r="I151" s="17">
        <v>0.38200000000000001</v>
      </c>
      <c r="J151" s="17">
        <v>0.753</v>
      </c>
      <c r="K151" s="17">
        <v>1.6</v>
      </c>
      <c r="L151" s="17">
        <v>74</v>
      </c>
      <c r="M151" s="17">
        <v>27.4</v>
      </c>
      <c r="N151" s="17">
        <v>2.4</v>
      </c>
    </row>
    <row r="152" spans="1:14">
      <c r="A152" s="17" t="s">
        <v>227</v>
      </c>
      <c r="B152" s="17" t="s">
        <v>320</v>
      </c>
      <c r="C152" s="17" t="s">
        <v>321</v>
      </c>
      <c r="D152" s="17">
        <v>10.6</v>
      </c>
      <c r="E152" s="17">
        <v>6.4</v>
      </c>
      <c r="F152" s="17">
        <v>1.4</v>
      </c>
      <c r="G152" s="17">
        <v>0.9</v>
      </c>
      <c r="H152" s="17">
        <v>0.3</v>
      </c>
      <c r="I152" s="17">
        <v>0.51300000000000001</v>
      </c>
      <c r="J152" s="17">
        <v>0.79500000000000004</v>
      </c>
      <c r="K152" s="17">
        <v>1</v>
      </c>
      <c r="L152" s="17">
        <v>69</v>
      </c>
      <c r="M152" s="17">
        <v>22</v>
      </c>
      <c r="N152" s="17">
        <v>1.1000000000000001</v>
      </c>
    </row>
    <row r="153" spans="1:14">
      <c r="A153" s="17" t="s">
        <v>240</v>
      </c>
      <c r="B153" s="17" t="s">
        <v>42</v>
      </c>
      <c r="C153" s="17" t="s">
        <v>287</v>
      </c>
      <c r="D153" s="17">
        <v>10.5</v>
      </c>
      <c r="E153" s="17">
        <v>3</v>
      </c>
      <c r="F153" s="17">
        <v>2.2999999999999998</v>
      </c>
      <c r="G153" s="17">
        <v>0.4</v>
      </c>
      <c r="H153" s="17">
        <v>0.9</v>
      </c>
      <c r="I153" s="17">
        <v>0.42799999999999999</v>
      </c>
      <c r="J153" s="17">
        <v>0.89100000000000001</v>
      </c>
      <c r="K153" s="17">
        <v>1.4</v>
      </c>
      <c r="L153" s="17">
        <v>71</v>
      </c>
      <c r="M153" s="17">
        <v>25.8</v>
      </c>
      <c r="N153" s="17">
        <v>1.1000000000000001</v>
      </c>
    </row>
    <row r="154" spans="1:14">
      <c r="A154" s="17" t="s">
        <v>258</v>
      </c>
      <c r="B154" s="17" t="s">
        <v>118</v>
      </c>
      <c r="C154" s="17" t="s">
        <v>287</v>
      </c>
      <c r="D154" s="17">
        <v>10.5</v>
      </c>
      <c r="E154" s="17">
        <v>3.1</v>
      </c>
      <c r="F154" s="17">
        <v>1.8</v>
      </c>
      <c r="G154" s="17">
        <v>0.3</v>
      </c>
      <c r="H154" s="17">
        <v>1</v>
      </c>
      <c r="I154" s="17">
        <v>0.433</v>
      </c>
      <c r="J154" s="17">
        <v>0.73099999999999998</v>
      </c>
      <c r="K154" s="17">
        <v>1.1000000000000001</v>
      </c>
      <c r="L154" s="17">
        <v>78</v>
      </c>
      <c r="M154" s="17">
        <v>32.700000000000003</v>
      </c>
      <c r="N154" s="17">
        <v>1.2</v>
      </c>
    </row>
    <row r="155" spans="1:14">
      <c r="A155" s="17" t="s">
        <v>279</v>
      </c>
      <c r="B155" s="17" t="s">
        <v>37</v>
      </c>
      <c r="C155" s="17" t="s">
        <v>288</v>
      </c>
      <c r="D155" s="17">
        <v>10.4</v>
      </c>
      <c r="E155" s="17">
        <v>2.6</v>
      </c>
      <c r="F155" s="17">
        <v>2.4</v>
      </c>
      <c r="G155" s="17">
        <v>0.2</v>
      </c>
      <c r="H155" s="17">
        <v>0.6</v>
      </c>
      <c r="I155" s="17">
        <v>0.46600000000000003</v>
      </c>
      <c r="J155" s="17">
        <v>0.83699999999999997</v>
      </c>
      <c r="K155" s="17">
        <v>1.1000000000000001</v>
      </c>
      <c r="L155" s="17">
        <v>74</v>
      </c>
      <c r="M155" s="17">
        <v>20</v>
      </c>
      <c r="N155" s="17">
        <v>1.3</v>
      </c>
    </row>
    <row r="156" spans="1:14">
      <c r="A156" s="17" t="s">
        <v>322</v>
      </c>
      <c r="B156" s="17" t="s">
        <v>88</v>
      </c>
      <c r="C156" s="17" t="s">
        <v>287</v>
      </c>
      <c r="D156" s="17">
        <v>10.4</v>
      </c>
      <c r="E156" s="17">
        <v>3.9</v>
      </c>
      <c r="F156" s="17">
        <v>1.8</v>
      </c>
      <c r="G156" s="17">
        <v>0.3</v>
      </c>
      <c r="H156" s="17">
        <v>0.5</v>
      </c>
      <c r="I156" s="17">
        <v>0.42099999999999999</v>
      </c>
      <c r="J156" s="17">
        <v>0.86199999999999999</v>
      </c>
      <c r="K156" s="17">
        <v>1.6</v>
      </c>
      <c r="L156" s="17">
        <v>70</v>
      </c>
      <c r="M156" s="17">
        <v>22.1</v>
      </c>
      <c r="N156" s="17">
        <v>1.1000000000000001</v>
      </c>
    </row>
    <row r="157" spans="1:14">
      <c r="A157" s="17" t="s">
        <v>323</v>
      </c>
      <c r="B157" s="17" t="s">
        <v>29</v>
      </c>
      <c r="C157" s="17" t="s">
        <v>291</v>
      </c>
      <c r="D157" s="17">
        <v>10.3</v>
      </c>
      <c r="E157" s="17">
        <v>5.0999999999999996</v>
      </c>
      <c r="F157" s="17">
        <v>1.9</v>
      </c>
      <c r="G157" s="17">
        <v>0.2</v>
      </c>
      <c r="H157" s="17">
        <v>0.8</v>
      </c>
      <c r="I157" s="17">
        <v>0.44700000000000001</v>
      </c>
      <c r="J157" s="17">
        <v>0.83099999999999996</v>
      </c>
      <c r="K157" s="17">
        <v>1.6</v>
      </c>
      <c r="L157" s="17">
        <v>69</v>
      </c>
      <c r="M157" s="17">
        <v>23</v>
      </c>
      <c r="N157" s="17">
        <v>1</v>
      </c>
    </row>
    <row r="158" spans="1:14">
      <c r="A158" s="17" t="s">
        <v>200</v>
      </c>
      <c r="B158" s="17" t="s">
        <v>84</v>
      </c>
      <c r="C158" s="17" t="s">
        <v>288</v>
      </c>
      <c r="D158" s="17">
        <v>10.3</v>
      </c>
      <c r="E158" s="17">
        <v>3.6</v>
      </c>
      <c r="F158" s="17">
        <v>2.9</v>
      </c>
      <c r="G158" s="17">
        <v>0.5</v>
      </c>
      <c r="H158" s="17">
        <v>1.3</v>
      </c>
      <c r="I158" s="17">
        <v>0.42499999999999999</v>
      </c>
      <c r="J158" s="17">
        <v>0.80800000000000005</v>
      </c>
      <c r="K158" s="17">
        <v>1.8</v>
      </c>
      <c r="L158" s="17">
        <v>71</v>
      </c>
      <c r="M158" s="17">
        <v>22.6</v>
      </c>
      <c r="N158" s="17">
        <v>1.4</v>
      </c>
    </row>
    <row r="159" spans="1:14">
      <c r="A159" s="17" t="s">
        <v>201</v>
      </c>
      <c r="B159" s="17" t="s">
        <v>59</v>
      </c>
      <c r="C159" s="17" t="s">
        <v>303</v>
      </c>
      <c r="D159" s="17">
        <v>10.199999999999999</v>
      </c>
      <c r="E159" s="17">
        <v>4.7</v>
      </c>
      <c r="F159" s="17">
        <v>1.6</v>
      </c>
      <c r="G159" s="17">
        <v>0.7</v>
      </c>
      <c r="H159" s="17">
        <v>1</v>
      </c>
      <c r="I159" s="17">
        <v>0.48799999999999999</v>
      </c>
      <c r="J159" s="17">
        <v>0.73699999999999999</v>
      </c>
      <c r="K159" s="17">
        <v>1</v>
      </c>
      <c r="L159" s="17">
        <v>73</v>
      </c>
      <c r="M159" s="17">
        <v>30.6</v>
      </c>
      <c r="N159" s="17">
        <v>1.4</v>
      </c>
    </row>
    <row r="160" spans="1:14">
      <c r="A160" s="17" t="s">
        <v>324</v>
      </c>
      <c r="B160" s="17" t="s">
        <v>120</v>
      </c>
      <c r="C160" s="17" t="s">
        <v>287</v>
      </c>
      <c r="D160" s="17">
        <v>10.199999999999999</v>
      </c>
      <c r="E160" s="17">
        <v>3.3</v>
      </c>
      <c r="F160" s="17">
        <v>1.6</v>
      </c>
      <c r="G160" s="17">
        <v>0.3</v>
      </c>
      <c r="H160" s="17">
        <v>0.8</v>
      </c>
      <c r="I160" s="17">
        <v>0.39500000000000002</v>
      </c>
      <c r="J160" s="17">
        <v>0.79300000000000004</v>
      </c>
      <c r="K160" s="17">
        <v>1.3</v>
      </c>
      <c r="L160" s="17">
        <v>70</v>
      </c>
      <c r="M160" s="17">
        <v>29</v>
      </c>
      <c r="N160" s="17">
        <v>1.1000000000000001</v>
      </c>
    </row>
    <row r="161" spans="1:14">
      <c r="A161" s="17" t="s">
        <v>169</v>
      </c>
      <c r="B161" s="17" t="s">
        <v>42</v>
      </c>
      <c r="C161" s="17" t="s">
        <v>290</v>
      </c>
      <c r="D161" s="17">
        <v>10.1</v>
      </c>
      <c r="E161" s="17">
        <v>6.2</v>
      </c>
      <c r="F161" s="17">
        <v>3</v>
      </c>
      <c r="G161" s="17">
        <v>0.9</v>
      </c>
      <c r="H161" s="17">
        <v>0.7</v>
      </c>
      <c r="I161" s="17">
        <v>0.47399999999999998</v>
      </c>
      <c r="J161" s="17">
        <v>0.83099999999999996</v>
      </c>
      <c r="K161" s="17">
        <v>1.2</v>
      </c>
      <c r="L161" s="17">
        <v>71</v>
      </c>
      <c r="M161" s="17">
        <v>25</v>
      </c>
      <c r="N161" s="17">
        <v>0.9</v>
      </c>
    </row>
    <row r="162" spans="1:14">
      <c r="A162" s="17" t="s">
        <v>220</v>
      </c>
      <c r="B162" s="17" t="s">
        <v>72</v>
      </c>
      <c r="C162" s="17" t="s">
        <v>291</v>
      </c>
      <c r="D162" s="17">
        <v>10.1</v>
      </c>
      <c r="E162" s="17">
        <v>4.8</v>
      </c>
      <c r="F162" s="17">
        <v>2.1</v>
      </c>
      <c r="G162" s="17">
        <v>0.4</v>
      </c>
      <c r="H162" s="17">
        <v>0.8</v>
      </c>
      <c r="I162" s="17">
        <v>0.40699999999999997</v>
      </c>
      <c r="J162" s="17">
        <v>0.76100000000000001</v>
      </c>
      <c r="K162" s="17">
        <v>2.4</v>
      </c>
      <c r="L162" s="17">
        <v>75</v>
      </c>
      <c r="M162" s="17">
        <v>27.7</v>
      </c>
      <c r="N162" s="17">
        <v>0.9</v>
      </c>
    </row>
    <row r="163" spans="1:14">
      <c r="A163" s="17" t="s">
        <v>325</v>
      </c>
      <c r="B163" s="17" t="s">
        <v>55</v>
      </c>
      <c r="C163" s="17" t="s">
        <v>291</v>
      </c>
      <c r="D163" s="17">
        <v>10.1</v>
      </c>
      <c r="E163" s="17">
        <v>3.5</v>
      </c>
      <c r="F163" s="17">
        <v>1.4</v>
      </c>
      <c r="G163" s="17">
        <v>0.3</v>
      </c>
      <c r="H163" s="17">
        <v>0.7</v>
      </c>
      <c r="I163" s="17">
        <v>0.43099999999999999</v>
      </c>
      <c r="J163" s="17">
        <v>0.85599999999999998</v>
      </c>
      <c r="K163" s="17">
        <v>1.4</v>
      </c>
      <c r="L163" s="17">
        <v>77</v>
      </c>
      <c r="M163" s="17">
        <v>21.7</v>
      </c>
      <c r="N163" s="17">
        <v>1.1000000000000001</v>
      </c>
    </row>
    <row r="164" spans="1:14">
      <c r="A164" s="17" t="s">
        <v>237</v>
      </c>
      <c r="B164" s="17" t="s">
        <v>84</v>
      </c>
      <c r="C164" s="17" t="s">
        <v>305</v>
      </c>
      <c r="D164" s="17">
        <v>10</v>
      </c>
      <c r="E164" s="17">
        <v>3.2</v>
      </c>
      <c r="F164" s="17">
        <v>1.9</v>
      </c>
      <c r="G164" s="17">
        <v>0.2</v>
      </c>
      <c r="H164" s="17">
        <v>0.6</v>
      </c>
      <c r="I164" s="17">
        <v>0.46300000000000002</v>
      </c>
      <c r="J164" s="17">
        <v>0.82399999999999995</v>
      </c>
      <c r="K164" s="17">
        <v>1.9</v>
      </c>
      <c r="L164" s="17">
        <v>76</v>
      </c>
      <c r="M164" s="17">
        <v>23.6</v>
      </c>
      <c r="N164" s="17">
        <v>1</v>
      </c>
    </row>
    <row r="165" spans="1:14">
      <c r="A165" s="17" t="s">
        <v>261</v>
      </c>
      <c r="B165" s="17" t="s">
        <v>49</v>
      </c>
      <c r="C165" s="17" t="s">
        <v>326</v>
      </c>
      <c r="D165" s="17">
        <v>9.9</v>
      </c>
      <c r="E165" s="17">
        <v>4</v>
      </c>
      <c r="F165" s="17">
        <v>2.2999999999999998</v>
      </c>
      <c r="G165" s="17">
        <v>0.3</v>
      </c>
      <c r="H165" s="17">
        <v>0.6</v>
      </c>
      <c r="I165" s="17">
        <v>0.49199999999999999</v>
      </c>
      <c r="J165" s="17">
        <v>0.83599999999999997</v>
      </c>
      <c r="K165" s="17">
        <v>0.9</v>
      </c>
      <c r="L165" s="17">
        <v>77</v>
      </c>
      <c r="M165" s="17">
        <v>24.2</v>
      </c>
      <c r="N165" s="17">
        <v>0.9</v>
      </c>
    </row>
    <row r="166" spans="1:14">
      <c r="A166" s="17" t="s">
        <v>179</v>
      </c>
      <c r="B166" s="17" t="s">
        <v>118</v>
      </c>
      <c r="C166" s="17" t="s">
        <v>327</v>
      </c>
      <c r="D166" s="17">
        <v>9.9</v>
      </c>
      <c r="E166" s="17">
        <v>5.4</v>
      </c>
      <c r="F166" s="17">
        <v>1.6</v>
      </c>
      <c r="G166" s="17">
        <v>1.3</v>
      </c>
      <c r="H166" s="17">
        <v>0.6</v>
      </c>
      <c r="I166" s="17">
        <v>0.498</v>
      </c>
      <c r="J166" s="17">
        <v>0.70699999999999996</v>
      </c>
      <c r="K166" s="17">
        <v>0.4</v>
      </c>
      <c r="L166" s="17">
        <v>73</v>
      </c>
      <c r="M166" s="17">
        <v>27</v>
      </c>
      <c r="N166" s="17">
        <v>1.6</v>
      </c>
    </row>
    <row r="167" spans="1:14">
      <c r="A167" s="17" t="s">
        <v>328</v>
      </c>
      <c r="B167" s="17" t="s">
        <v>49</v>
      </c>
      <c r="C167" s="17" t="s">
        <v>287</v>
      </c>
      <c r="D167" s="17">
        <v>9.8000000000000007</v>
      </c>
      <c r="E167" s="17">
        <v>2.8</v>
      </c>
      <c r="F167" s="17">
        <v>1.9</v>
      </c>
      <c r="G167" s="17">
        <v>0.2</v>
      </c>
      <c r="H167" s="17">
        <v>0.5</v>
      </c>
      <c r="I167" s="17">
        <v>0.45800000000000002</v>
      </c>
      <c r="J167" s="17">
        <v>0.83899999999999997</v>
      </c>
      <c r="K167" s="17">
        <v>1.8</v>
      </c>
      <c r="L167" s="17">
        <v>75</v>
      </c>
      <c r="M167" s="17">
        <v>23.3</v>
      </c>
      <c r="N167" s="17">
        <v>0.9</v>
      </c>
    </row>
    <row r="168" spans="1:14">
      <c r="A168" s="17" t="s">
        <v>144</v>
      </c>
      <c r="B168" s="17" t="s">
        <v>35</v>
      </c>
      <c r="C168" s="17" t="s">
        <v>312</v>
      </c>
      <c r="D168" s="17">
        <v>9.8000000000000007</v>
      </c>
      <c r="E168" s="17">
        <v>6.3</v>
      </c>
      <c r="F168" s="17">
        <v>1.4</v>
      </c>
      <c r="G168" s="17">
        <v>1</v>
      </c>
      <c r="H168" s="17">
        <v>1.3</v>
      </c>
      <c r="I168" s="17">
        <v>0.42599999999999999</v>
      </c>
      <c r="J168" s="17">
        <v>0.77</v>
      </c>
      <c r="K168" s="17">
        <v>2</v>
      </c>
      <c r="L168" s="17">
        <v>78</v>
      </c>
      <c r="M168" s="17">
        <v>31</v>
      </c>
      <c r="N168" s="17">
        <v>1</v>
      </c>
    </row>
    <row r="169" spans="1:14">
      <c r="A169" s="17" t="s">
        <v>223</v>
      </c>
      <c r="B169" s="17" t="s">
        <v>26</v>
      </c>
      <c r="C169" s="17" t="s">
        <v>290</v>
      </c>
      <c r="D169" s="17">
        <v>9.8000000000000007</v>
      </c>
      <c r="E169" s="17">
        <v>3.9</v>
      </c>
      <c r="F169" s="17">
        <v>1.2</v>
      </c>
      <c r="G169" s="17">
        <v>0.8</v>
      </c>
      <c r="H169" s="17">
        <v>0.3</v>
      </c>
      <c r="I169" s="17">
        <v>0.49299999999999999</v>
      </c>
      <c r="J169" s="17">
        <v>0.80500000000000005</v>
      </c>
      <c r="K169" s="17">
        <v>0.7</v>
      </c>
      <c r="L169" s="17">
        <v>63</v>
      </c>
      <c r="M169" s="17">
        <v>18.8</v>
      </c>
      <c r="N169" s="17">
        <v>0.8</v>
      </c>
    </row>
    <row r="170" spans="1:14">
      <c r="A170" s="17" t="s">
        <v>329</v>
      </c>
      <c r="B170" s="17" t="s">
        <v>23</v>
      </c>
      <c r="C170" s="17" t="s">
        <v>291</v>
      </c>
      <c r="D170" s="17">
        <v>9.6</v>
      </c>
      <c r="E170" s="17">
        <v>3.5</v>
      </c>
      <c r="F170" s="17">
        <v>1.3</v>
      </c>
      <c r="G170" s="17">
        <v>0.4</v>
      </c>
      <c r="H170" s="17">
        <v>0.5</v>
      </c>
      <c r="I170" s="17">
        <v>0.47699999999999998</v>
      </c>
      <c r="J170" s="17">
        <v>0.79</v>
      </c>
      <c r="K170" s="17">
        <v>1.3</v>
      </c>
      <c r="L170" s="17">
        <v>77</v>
      </c>
      <c r="M170" s="17">
        <v>21.8</v>
      </c>
      <c r="N170" s="17">
        <v>0.8</v>
      </c>
    </row>
    <row r="171" spans="1:14">
      <c r="A171" s="17" t="s">
        <v>194</v>
      </c>
      <c r="B171" s="17" t="s">
        <v>51</v>
      </c>
      <c r="C171" s="17" t="s">
        <v>291</v>
      </c>
      <c r="D171" s="17">
        <v>9.5</v>
      </c>
      <c r="E171" s="17">
        <v>5.2</v>
      </c>
      <c r="F171" s="17">
        <v>1.4</v>
      </c>
      <c r="G171" s="17">
        <v>0.4</v>
      </c>
      <c r="H171" s="17">
        <v>0.8</v>
      </c>
      <c r="I171" s="17">
        <v>0.47399999999999998</v>
      </c>
      <c r="J171" s="17">
        <v>0.76300000000000001</v>
      </c>
      <c r="K171" s="17">
        <v>1.8</v>
      </c>
      <c r="L171" s="17">
        <v>77</v>
      </c>
      <c r="M171" s="17">
        <v>29.6</v>
      </c>
      <c r="N171" s="17">
        <v>0.9</v>
      </c>
    </row>
    <row r="172" spans="1:14">
      <c r="A172" s="17" t="s">
        <v>127</v>
      </c>
      <c r="B172" s="17" t="s">
        <v>115</v>
      </c>
      <c r="C172" s="17" t="s">
        <v>290</v>
      </c>
      <c r="D172" s="17">
        <v>9.5</v>
      </c>
      <c r="E172" s="17">
        <v>7.7</v>
      </c>
      <c r="F172" s="17">
        <v>1.2</v>
      </c>
      <c r="G172" s="17">
        <v>1.5</v>
      </c>
      <c r="H172" s="17">
        <v>0.7</v>
      </c>
      <c r="I172" s="17">
        <v>0.54600000000000004</v>
      </c>
      <c r="J172" s="17">
        <v>0.746</v>
      </c>
      <c r="K172" s="17">
        <v>0.4</v>
      </c>
      <c r="L172" s="17">
        <v>75</v>
      </c>
      <c r="M172" s="17">
        <v>26.1</v>
      </c>
      <c r="N172" s="17">
        <v>1.2</v>
      </c>
    </row>
    <row r="173" spans="1:14">
      <c r="A173" s="17" t="s">
        <v>253</v>
      </c>
      <c r="B173" s="17" t="s">
        <v>55</v>
      </c>
      <c r="C173" s="17" t="s">
        <v>287</v>
      </c>
      <c r="D173" s="17">
        <v>9.5</v>
      </c>
      <c r="E173" s="17">
        <v>2.8</v>
      </c>
      <c r="F173" s="17">
        <v>2.6</v>
      </c>
      <c r="G173" s="17">
        <v>0.3</v>
      </c>
      <c r="H173" s="17">
        <v>1</v>
      </c>
      <c r="I173" s="17">
        <v>0.47299999999999998</v>
      </c>
      <c r="J173" s="17">
        <v>0.749</v>
      </c>
      <c r="K173" s="17">
        <v>0.7</v>
      </c>
      <c r="L173" s="17">
        <v>74</v>
      </c>
      <c r="M173" s="17">
        <v>21.2</v>
      </c>
      <c r="N173" s="17">
        <v>1.7</v>
      </c>
    </row>
    <row r="174" spans="1:14">
      <c r="A174" s="17" t="s">
        <v>202</v>
      </c>
      <c r="B174" s="17" t="s">
        <v>120</v>
      </c>
      <c r="C174" s="17" t="s">
        <v>22</v>
      </c>
      <c r="D174" s="17">
        <v>9.5</v>
      </c>
      <c r="E174" s="17">
        <v>7.2</v>
      </c>
      <c r="F174" s="17">
        <v>1</v>
      </c>
      <c r="G174" s="17">
        <v>1.7</v>
      </c>
      <c r="H174" s="17">
        <v>0.4</v>
      </c>
      <c r="I174" s="17">
        <v>0.46800000000000003</v>
      </c>
      <c r="J174" s="17">
        <v>0.67900000000000005</v>
      </c>
      <c r="K174" s="17">
        <v>0.9</v>
      </c>
      <c r="L174" s="17">
        <v>73</v>
      </c>
      <c r="M174" s="17">
        <v>24.4</v>
      </c>
      <c r="N174" s="17">
        <v>1.1000000000000001</v>
      </c>
    </row>
    <row r="175" spans="1:14">
      <c r="A175" s="17" t="s">
        <v>197</v>
      </c>
      <c r="B175" s="17" t="s">
        <v>120</v>
      </c>
      <c r="C175" s="17" t="s">
        <v>45</v>
      </c>
      <c r="D175" s="17">
        <v>9.5</v>
      </c>
      <c r="E175" s="17">
        <v>4.3</v>
      </c>
      <c r="F175" s="17">
        <v>2.4</v>
      </c>
      <c r="G175" s="17">
        <v>0.6</v>
      </c>
      <c r="H175" s="17">
        <v>1.2</v>
      </c>
      <c r="I175" s="17">
        <v>0.41699999999999998</v>
      </c>
      <c r="J175" s="17">
        <v>0.75900000000000001</v>
      </c>
      <c r="K175" s="17">
        <v>1.3</v>
      </c>
      <c r="L175" s="17">
        <v>72</v>
      </c>
      <c r="M175" s="17">
        <v>29</v>
      </c>
      <c r="N175" s="17">
        <v>0.9</v>
      </c>
    </row>
    <row r="176" spans="1:14">
      <c r="A176" s="17" t="s">
        <v>249</v>
      </c>
      <c r="B176" s="17" t="s">
        <v>37</v>
      </c>
      <c r="C176" s="17" t="s">
        <v>22</v>
      </c>
      <c r="D176" s="17">
        <v>9.4</v>
      </c>
      <c r="E176" s="17">
        <v>6.6</v>
      </c>
      <c r="F176" s="17">
        <v>1.2</v>
      </c>
      <c r="G176" s="17">
        <v>1</v>
      </c>
      <c r="H176" s="17">
        <v>1</v>
      </c>
      <c r="I176" s="17">
        <v>0.53</v>
      </c>
      <c r="J176" s="17">
        <v>0.58599999999999997</v>
      </c>
      <c r="K176" s="17">
        <v>0</v>
      </c>
      <c r="L176" s="17">
        <v>74</v>
      </c>
      <c r="M176" s="17">
        <v>18.7</v>
      </c>
      <c r="N176" s="17">
        <v>1.4</v>
      </c>
    </row>
    <row r="177" spans="1:14">
      <c r="A177" s="17" t="s">
        <v>209</v>
      </c>
      <c r="B177" s="17" t="s">
        <v>46</v>
      </c>
      <c r="C177" s="17" t="s">
        <v>301</v>
      </c>
      <c r="D177" s="17">
        <v>9.4</v>
      </c>
      <c r="E177" s="17">
        <v>4.7</v>
      </c>
      <c r="F177" s="17">
        <v>2.7</v>
      </c>
      <c r="G177" s="17">
        <v>0.2</v>
      </c>
      <c r="H177" s="17">
        <v>1.1000000000000001</v>
      </c>
      <c r="I177" s="17">
        <v>0.42299999999999999</v>
      </c>
      <c r="J177" s="17">
        <v>0.72099999999999997</v>
      </c>
      <c r="K177" s="17">
        <v>1.7</v>
      </c>
      <c r="L177" s="17">
        <v>69</v>
      </c>
      <c r="M177" s="17">
        <v>25.9</v>
      </c>
      <c r="N177" s="17">
        <v>1.3</v>
      </c>
    </row>
    <row r="178" spans="1:14">
      <c r="A178" s="17" t="s">
        <v>271</v>
      </c>
      <c r="B178" s="17" t="s">
        <v>55</v>
      </c>
      <c r="C178" s="17" t="s">
        <v>288</v>
      </c>
      <c r="D178" s="17">
        <v>9.4</v>
      </c>
      <c r="E178" s="17">
        <v>3.2</v>
      </c>
      <c r="F178" s="17">
        <v>1.7</v>
      </c>
      <c r="G178" s="17">
        <v>0.2</v>
      </c>
      <c r="H178" s="17">
        <v>0.6</v>
      </c>
      <c r="I178" s="17">
        <v>0.47699999999999998</v>
      </c>
      <c r="J178" s="17">
        <v>0.88500000000000001</v>
      </c>
      <c r="K178" s="17">
        <v>1.3</v>
      </c>
      <c r="L178" s="17">
        <v>66</v>
      </c>
      <c r="M178" s="17">
        <v>19.899999999999999</v>
      </c>
      <c r="N178" s="17">
        <v>1</v>
      </c>
    </row>
    <row r="179" spans="1:14">
      <c r="A179" s="17" t="s">
        <v>254</v>
      </c>
      <c r="B179" s="17" t="s">
        <v>61</v>
      </c>
      <c r="C179" s="17" t="s">
        <v>287</v>
      </c>
      <c r="D179" s="17">
        <v>9.4</v>
      </c>
      <c r="E179" s="17">
        <v>3</v>
      </c>
      <c r="F179" s="17">
        <v>2.7</v>
      </c>
      <c r="G179" s="17">
        <v>0.2</v>
      </c>
      <c r="H179" s="17">
        <v>0.9</v>
      </c>
      <c r="I179" s="17">
        <v>0.45100000000000001</v>
      </c>
      <c r="J179" s="17">
        <v>0.77900000000000003</v>
      </c>
      <c r="K179" s="17">
        <v>1.7</v>
      </c>
      <c r="L179" s="17">
        <v>78</v>
      </c>
      <c r="M179" s="17">
        <v>25.8</v>
      </c>
      <c r="N179" s="17">
        <v>1</v>
      </c>
    </row>
    <row r="180" spans="1:14">
      <c r="A180" s="17" t="s">
        <v>330</v>
      </c>
      <c r="B180" s="17" t="s">
        <v>26</v>
      </c>
      <c r="C180" s="17" t="s">
        <v>28</v>
      </c>
      <c r="D180" s="17">
        <v>9.3000000000000007</v>
      </c>
      <c r="E180" s="17">
        <v>1.7</v>
      </c>
      <c r="F180" s="17">
        <v>1.8</v>
      </c>
      <c r="G180" s="17">
        <v>0.1</v>
      </c>
      <c r="H180" s="17">
        <v>0.5</v>
      </c>
      <c r="I180" s="17">
        <v>0.43</v>
      </c>
      <c r="J180" s="17">
        <v>0.88700000000000001</v>
      </c>
      <c r="K180" s="17">
        <v>2.2000000000000002</v>
      </c>
      <c r="L180" s="17">
        <v>78</v>
      </c>
      <c r="M180" s="17">
        <v>21.2</v>
      </c>
      <c r="N180" s="17">
        <v>0.9</v>
      </c>
    </row>
    <row r="181" spans="1:14">
      <c r="A181" s="17" t="s">
        <v>256</v>
      </c>
      <c r="B181" s="17" t="s">
        <v>292</v>
      </c>
      <c r="C181" s="17" t="s">
        <v>291</v>
      </c>
      <c r="D181" s="17">
        <v>9.1999999999999993</v>
      </c>
      <c r="E181" s="17">
        <v>4.2</v>
      </c>
      <c r="F181" s="17">
        <v>1.3</v>
      </c>
      <c r="G181" s="17">
        <v>0.4</v>
      </c>
      <c r="H181" s="17">
        <v>0.6</v>
      </c>
      <c r="I181" s="17">
        <v>0.437</v>
      </c>
      <c r="J181" s="17">
        <v>0.80500000000000005</v>
      </c>
      <c r="K181" s="17">
        <v>1.3</v>
      </c>
      <c r="L181" s="17">
        <v>71</v>
      </c>
      <c r="M181" s="17">
        <v>19.600000000000001</v>
      </c>
      <c r="N181" s="17">
        <v>1.1000000000000001</v>
      </c>
    </row>
    <row r="182" spans="1:14">
      <c r="A182" s="17" t="s">
        <v>234</v>
      </c>
      <c r="B182" s="17" t="s">
        <v>72</v>
      </c>
      <c r="C182" s="17" t="s">
        <v>288</v>
      </c>
      <c r="D182" s="17">
        <v>9.1999999999999993</v>
      </c>
      <c r="E182" s="17">
        <v>2.6</v>
      </c>
      <c r="F182" s="17">
        <v>3.7</v>
      </c>
      <c r="G182" s="17">
        <v>0.3</v>
      </c>
      <c r="H182" s="17">
        <v>0.7</v>
      </c>
      <c r="I182" s="17">
        <v>0.47399999999999998</v>
      </c>
      <c r="J182" s="17">
        <v>0.86399999999999999</v>
      </c>
      <c r="K182" s="17">
        <v>1.3</v>
      </c>
      <c r="L182" s="17">
        <v>74</v>
      </c>
      <c r="M182" s="17">
        <v>19.100000000000001</v>
      </c>
      <c r="N182" s="17">
        <v>1.1000000000000001</v>
      </c>
    </row>
    <row r="183" spans="1:14">
      <c r="A183" s="17" t="s">
        <v>171</v>
      </c>
      <c r="B183" s="17" t="s">
        <v>37</v>
      </c>
      <c r="C183" s="17" t="s">
        <v>287</v>
      </c>
      <c r="D183" s="17">
        <v>9.1</v>
      </c>
      <c r="E183" s="17">
        <v>3.7</v>
      </c>
      <c r="F183" s="17">
        <v>1.6</v>
      </c>
      <c r="G183" s="17">
        <v>0.6</v>
      </c>
      <c r="H183" s="17">
        <v>1.2</v>
      </c>
      <c r="I183" s="17">
        <v>0.42199999999999999</v>
      </c>
      <c r="J183" s="17">
        <v>0.79600000000000004</v>
      </c>
      <c r="K183" s="17">
        <v>2.2000000000000002</v>
      </c>
      <c r="L183" s="17">
        <v>75</v>
      </c>
      <c r="M183" s="17">
        <v>27</v>
      </c>
      <c r="N183" s="17">
        <v>0.9</v>
      </c>
    </row>
    <row r="184" spans="1:14">
      <c r="A184" s="17" t="s">
        <v>277</v>
      </c>
      <c r="B184" s="17" t="s">
        <v>75</v>
      </c>
      <c r="C184" s="17" t="s">
        <v>287</v>
      </c>
      <c r="D184" s="17">
        <v>9.1</v>
      </c>
      <c r="E184" s="17">
        <v>4</v>
      </c>
      <c r="F184" s="17">
        <v>1.4</v>
      </c>
      <c r="G184" s="17">
        <v>0.5</v>
      </c>
      <c r="H184" s="17">
        <v>0.9</v>
      </c>
      <c r="I184" s="17">
        <v>0.437</v>
      </c>
      <c r="J184" s="17">
        <v>0.88</v>
      </c>
      <c r="K184" s="17">
        <v>1.1000000000000001</v>
      </c>
      <c r="L184" s="17">
        <v>65</v>
      </c>
      <c r="M184" s="17">
        <v>19.399999999999999</v>
      </c>
      <c r="N184" s="17">
        <v>0.6</v>
      </c>
    </row>
    <row r="185" spans="1:14">
      <c r="A185" s="17" t="s">
        <v>267</v>
      </c>
      <c r="B185" s="17" t="s">
        <v>100</v>
      </c>
      <c r="C185" s="17" t="s">
        <v>291</v>
      </c>
      <c r="D185" s="17">
        <v>9.1</v>
      </c>
      <c r="E185" s="17">
        <v>5.3</v>
      </c>
      <c r="F185" s="17">
        <v>1</v>
      </c>
      <c r="G185" s="17">
        <v>0.9</v>
      </c>
      <c r="H185" s="17">
        <v>0.6</v>
      </c>
      <c r="I185" s="17">
        <v>0.52400000000000002</v>
      </c>
      <c r="J185" s="17">
        <v>0.69199999999999995</v>
      </c>
      <c r="K185" s="17">
        <v>0.7</v>
      </c>
      <c r="L185" s="17">
        <v>76</v>
      </c>
      <c r="M185" s="17">
        <v>22.3</v>
      </c>
      <c r="N185" s="17">
        <v>0.7</v>
      </c>
    </row>
    <row r="186" spans="1:14">
      <c r="A186" s="17" t="s">
        <v>183</v>
      </c>
      <c r="B186" s="17" t="s">
        <v>65</v>
      </c>
      <c r="C186" s="17" t="s">
        <v>290</v>
      </c>
      <c r="D186" s="17">
        <v>9.1</v>
      </c>
      <c r="E186" s="17">
        <v>7.7</v>
      </c>
      <c r="F186" s="17">
        <v>3.1</v>
      </c>
      <c r="G186" s="17">
        <v>0.9</v>
      </c>
      <c r="H186" s="17">
        <v>0.8</v>
      </c>
      <c r="I186" s="17">
        <v>0.58699999999999997</v>
      </c>
      <c r="J186" s="17">
        <v>0.628</v>
      </c>
      <c r="K186" s="17">
        <v>0</v>
      </c>
      <c r="L186" s="17">
        <v>72</v>
      </c>
      <c r="M186" s="17">
        <v>25</v>
      </c>
      <c r="N186" s="17">
        <v>1.7</v>
      </c>
    </row>
    <row r="187" spans="1:14">
      <c r="A187" s="17" t="s">
        <v>259</v>
      </c>
      <c r="B187" s="17" t="s">
        <v>35</v>
      </c>
      <c r="C187" s="17" t="s">
        <v>22</v>
      </c>
      <c r="D187" s="17">
        <v>9.1</v>
      </c>
      <c r="E187" s="17">
        <v>7.4</v>
      </c>
      <c r="F187" s="17">
        <v>1.4</v>
      </c>
      <c r="G187" s="17">
        <v>0.5</v>
      </c>
      <c r="H187" s="17">
        <v>0.6</v>
      </c>
      <c r="I187" s="17">
        <v>0.56000000000000005</v>
      </c>
      <c r="J187" s="17">
        <v>0.71399999999999997</v>
      </c>
      <c r="K187" s="17">
        <v>0.2</v>
      </c>
      <c r="L187" s="17">
        <v>69</v>
      </c>
      <c r="M187" s="17">
        <v>20.6</v>
      </c>
      <c r="N187" s="17">
        <v>1.1000000000000001</v>
      </c>
    </row>
    <row r="188" spans="1:14">
      <c r="A188" s="17" t="s">
        <v>154</v>
      </c>
      <c r="B188" s="17" t="s">
        <v>108</v>
      </c>
      <c r="C188" s="17" t="s">
        <v>22</v>
      </c>
      <c r="D188" s="17">
        <v>9</v>
      </c>
      <c r="E188" s="17">
        <v>8.1</v>
      </c>
      <c r="F188" s="17">
        <v>2.1</v>
      </c>
      <c r="G188" s="17">
        <v>1.7</v>
      </c>
      <c r="H188" s="17">
        <v>0.7</v>
      </c>
      <c r="I188" s="17">
        <v>0.623</v>
      </c>
      <c r="J188" s="17">
        <v>0.55200000000000005</v>
      </c>
      <c r="K188" s="17">
        <v>0</v>
      </c>
      <c r="L188" s="17">
        <v>78</v>
      </c>
      <c r="M188" s="17">
        <v>26.8</v>
      </c>
      <c r="N188" s="17">
        <v>1.3</v>
      </c>
    </row>
    <row r="189" spans="1:14">
      <c r="A189" s="17" t="s">
        <v>152</v>
      </c>
      <c r="B189" s="17" t="s">
        <v>40</v>
      </c>
      <c r="C189" s="17" t="s">
        <v>327</v>
      </c>
      <c r="D189" s="17">
        <v>9</v>
      </c>
      <c r="E189" s="17">
        <v>4.0999999999999996</v>
      </c>
      <c r="F189" s="17">
        <v>0.6</v>
      </c>
      <c r="G189" s="17">
        <v>1.8</v>
      </c>
      <c r="H189" s="17">
        <v>0.6</v>
      </c>
      <c r="I189" s="17">
        <v>0.69799999999999995</v>
      </c>
      <c r="J189" s="17">
        <v>0.64500000000000002</v>
      </c>
      <c r="K189" s="17">
        <v>0</v>
      </c>
      <c r="L189" s="17">
        <v>71</v>
      </c>
      <c r="M189" s="17">
        <v>19</v>
      </c>
      <c r="N189" s="17">
        <v>1</v>
      </c>
    </row>
    <row r="190" spans="1:14">
      <c r="A190" s="17" t="s">
        <v>244</v>
      </c>
      <c r="B190" s="17" t="s">
        <v>77</v>
      </c>
      <c r="C190" s="17" t="s">
        <v>287</v>
      </c>
      <c r="D190" s="17">
        <v>9</v>
      </c>
      <c r="E190" s="17">
        <v>6.6</v>
      </c>
      <c r="F190" s="17">
        <v>1.9</v>
      </c>
      <c r="G190" s="17">
        <v>0.3</v>
      </c>
      <c r="H190" s="17">
        <v>0.9</v>
      </c>
      <c r="I190" s="17">
        <v>0.437</v>
      </c>
      <c r="J190" s="17">
        <v>0.75800000000000001</v>
      </c>
      <c r="K190" s="17">
        <v>1.4</v>
      </c>
      <c r="L190" s="17">
        <v>72</v>
      </c>
      <c r="M190" s="17">
        <v>28</v>
      </c>
      <c r="N190" s="17">
        <v>1</v>
      </c>
    </row>
    <row r="191" spans="1:14">
      <c r="A191" s="17" t="s">
        <v>331</v>
      </c>
      <c r="B191" s="17" t="s">
        <v>42</v>
      </c>
      <c r="C191" s="17" t="s">
        <v>327</v>
      </c>
      <c r="D191" s="17">
        <v>8.9</v>
      </c>
      <c r="E191" s="17">
        <v>7.5</v>
      </c>
      <c r="F191" s="17">
        <v>2</v>
      </c>
      <c r="G191" s="17">
        <v>1.8</v>
      </c>
      <c r="H191" s="17">
        <v>0.9</v>
      </c>
      <c r="I191" s="17">
        <v>0.68600000000000005</v>
      </c>
      <c r="J191" s="17">
        <v>0.63100000000000001</v>
      </c>
      <c r="K191" s="17">
        <v>0</v>
      </c>
      <c r="L191" s="17">
        <v>69</v>
      </c>
      <c r="M191" s="17">
        <v>22.2</v>
      </c>
      <c r="N191" s="17">
        <v>1.1000000000000001</v>
      </c>
    </row>
    <row r="192" spans="1:14">
      <c r="A192" s="17" t="s">
        <v>211</v>
      </c>
      <c r="B192" s="17" t="s">
        <v>115</v>
      </c>
      <c r="C192" s="17" t="s">
        <v>306</v>
      </c>
      <c r="D192" s="17">
        <v>8.9</v>
      </c>
      <c r="E192" s="17">
        <v>3</v>
      </c>
      <c r="F192" s="17">
        <v>5.6</v>
      </c>
      <c r="G192" s="17">
        <v>0.4</v>
      </c>
      <c r="H192" s="17">
        <v>1.1000000000000001</v>
      </c>
      <c r="I192" s="17">
        <v>0.38200000000000001</v>
      </c>
      <c r="J192" s="17">
        <v>0.85</v>
      </c>
      <c r="K192" s="17">
        <v>0.9</v>
      </c>
      <c r="L192" s="17">
        <v>73</v>
      </c>
      <c r="M192" s="17">
        <v>28.2</v>
      </c>
      <c r="N192" s="17">
        <v>3.3</v>
      </c>
    </row>
    <row r="193" spans="1:14">
      <c r="A193" s="17" t="s">
        <v>188</v>
      </c>
      <c r="B193" s="17" t="s">
        <v>70</v>
      </c>
      <c r="C193" s="17" t="s">
        <v>327</v>
      </c>
      <c r="D193" s="17">
        <v>8.9</v>
      </c>
      <c r="E193" s="17">
        <v>5.3</v>
      </c>
      <c r="F193" s="17">
        <v>1.7</v>
      </c>
      <c r="G193" s="17">
        <v>0.6</v>
      </c>
      <c r="H193" s="17">
        <v>1</v>
      </c>
      <c r="I193" s="17">
        <v>0.47099999999999997</v>
      </c>
      <c r="J193" s="17">
        <v>0.755</v>
      </c>
      <c r="K193" s="17">
        <v>0.6</v>
      </c>
      <c r="L193" s="17">
        <v>74</v>
      </c>
      <c r="M193" s="17">
        <v>23.8</v>
      </c>
      <c r="N193" s="17">
        <v>1.9</v>
      </c>
    </row>
    <row r="194" spans="1:14">
      <c r="A194" s="17" t="s">
        <v>332</v>
      </c>
      <c r="B194" s="17" t="s">
        <v>61</v>
      </c>
      <c r="C194" s="17" t="s">
        <v>287</v>
      </c>
      <c r="D194" s="17">
        <v>8.9</v>
      </c>
      <c r="E194" s="17">
        <v>3.8</v>
      </c>
      <c r="F194" s="17">
        <v>1.2</v>
      </c>
      <c r="G194" s="17">
        <v>0.4</v>
      </c>
      <c r="H194" s="17">
        <v>0.9</v>
      </c>
      <c r="I194" s="17">
        <v>0.40799999999999997</v>
      </c>
      <c r="J194" s="17">
        <v>0.82</v>
      </c>
      <c r="K194" s="17">
        <v>1.2</v>
      </c>
      <c r="L194" s="17">
        <v>76</v>
      </c>
      <c r="M194" s="17">
        <v>23.9</v>
      </c>
      <c r="N194" s="17">
        <v>1.2</v>
      </c>
    </row>
    <row r="195" spans="1:14">
      <c r="A195" s="17" t="s">
        <v>333</v>
      </c>
      <c r="B195" s="17" t="s">
        <v>31</v>
      </c>
      <c r="C195" s="17" t="s">
        <v>22</v>
      </c>
      <c r="D195" s="17">
        <v>8.8000000000000007</v>
      </c>
      <c r="E195" s="17">
        <v>3.7</v>
      </c>
      <c r="F195" s="17">
        <v>0.8</v>
      </c>
      <c r="G195" s="17">
        <v>0.8</v>
      </c>
      <c r="H195" s="17">
        <v>0.4</v>
      </c>
      <c r="I195" s="17">
        <v>0.49199999999999999</v>
      </c>
      <c r="J195" s="17">
        <v>0.69099999999999995</v>
      </c>
      <c r="K195" s="17">
        <v>0.8</v>
      </c>
      <c r="L195" s="17">
        <v>74</v>
      </c>
      <c r="M195" s="17">
        <v>15.9</v>
      </c>
      <c r="N195" s="17">
        <v>0.8</v>
      </c>
    </row>
    <row r="196" spans="1:14">
      <c r="A196" s="17" t="s">
        <v>248</v>
      </c>
      <c r="B196" s="17" t="s">
        <v>84</v>
      </c>
      <c r="C196" s="17" t="s">
        <v>334</v>
      </c>
      <c r="D196" s="17">
        <v>8.8000000000000007</v>
      </c>
      <c r="E196" s="17">
        <v>5.3</v>
      </c>
      <c r="F196" s="17">
        <v>1.3</v>
      </c>
      <c r="G196" s="17">
        <v>0.7</v>
      </c>
      <c r="H196" s="17">
        <v>0.8</v>
      </c>
      <c r="I196" s="17">
        <v>0.53800000000000003</v>
      </c>
      <c r="J196" s="17">
        <v>0.70299999999999996</v>
      </c>
      <c r="K196" s="17">
        <v>0.3</v>
      </c>
      <c r="L196" s="17">
        <v>73</v>
      </c>
      <c r="M196" s="17">
        <v>19.899999999999999</v>
      </c>
      <c r="N196" s="17">
        <v>0.5</v>
      </c>
    </row>
    <row r="197" spans="1:14">
      <c r="A197" s="17" t="s">
        <v>247</v>
      </c>
      <c r="B197" s="17" t="s">
        <v>100</v>
      </c>
      <c r="C197" s="17" t="s">
        <v>290</v>
      </c>
      <c r="D197" s="17">
        <v>8.6999999999999993</v>
      </c>
      <c r="E197" s="17">
        <v>5.7</v>
      </c>
      <c r="F197" s="17">
        <v>1.5</v>
      </c>
      <c r="G197" s="17">
        <v>0.9</v>
      </c>
      <c r="H197" s="17">
        <v>0.6</v>
      </c>
      <c r="I197" s="17">
        <v>0.55200000000000005</v>
      </c>
      <c r="J197" s="17">
        <v>0.70799999999999996</v>
      </c>
      <c r="K197" s="17">
        <v>0.6</v>
      </c>
      <c r="L197" s="17">
        <v>73</v>
      </c>
      <c r="M197" s="17">
        <v>23.4</v>
      </c>
      <c r="N197" s="17">
        <v>1</v>
      </c>
    </row>
    <row r="198" spans="1:14">
      <c r="A198" s="17" t="s">
        <v>185</v>
      </c>
      <c r="B198" s="17" t="s">
        <v>31</v>
      </c>
      <c r="C198" s="17" t="s">
        <v>335</v>
      </c>
      <c r="D198" s="17">
        <v>8.6</v>
      </c>
      <c r="E198" s="17">
        <v>4.5</v>
      </c>
      <c r="F198" s="17">
        <v>1.2</v>
      </c>
      <c r="G198" s="17">
        <v>1.1000000000000001</v>
      </c>
      <c r="H198" s="17">
        <v>0.7</v>
      </c>
      <c r="I198" s="17">
        <v>0.45300000000000001</v>
      </c>
      <c r="J198" s="17">
        <v>0.65300000000000002</v>
      </c>
      <c r="K198" s="17">
        <v>1.5</v>
      </c>
      <c r="L198" s="17">
        <v>77</v>
      </c>
      <c r="M198" s="17">
        <v>28.9</v>
      </c>
      <c r="N198" s="17">
        <v>0.9</v>
      </c>
    </row>
    <row r="199" spans="1:14">
      <c r="A199" s="17" t="s">
        <v>204</v>
      </c>
      <c r="B199" s="17" t="s">
        <v>49</v>
      </c>
      <c r="C199" s="17" t="s">
        <v>22</v>
      </c>
      <c r="D199" s="17">
        <v>8.6</v>
      </c>
      <c r="E199" s="17">
        <v>7.2</v>
      </c>
      <c r="F199" s="17">
        <v>1</v>
      </c>
      <c r="G199" s="17">
        <v>0.9</v>
      </c>
      <c r="H199" s="17">
        <v>0.3</v>
      </c>
      <c r="I199" s="17">
        <v>0.629</v>
      </c>
      <c r="J199" s="17">
        <v>0.77100000000000002</v>
      </c>
      <c r="K199" s="17">
        <v>0</v>
      </c>
      <c r="L199" s="17">
        <v>76</v>
      </c>
      <c r="M199" s="17">
        <v>22.2</v>
      </c>
      <c r="N199" s="17">
        <v>1.1000000000000001</v>
      </c>
    </row>
    <row r="200" spans="1:14">
      <c r="A200" s="17" t="s">
        <v>250</v>
      </c>
      <c r="B200" s="17" t="s">
        <v>84</v>
      </c>
      <c r="C200" s="17" t="s">
        <v>22</v>
      </c>
      <c r="D200" s="17">
        <v>8.6</v>
      </c>
      <c r="E200" s="17">
        <v>8.3000000000000007</v>
      </c>
      <c r="F200" s="17">
        <v>1.6</v>
      </c>
      <c r="G200" s="17">
        <v>0.8</v>
      </c>
      <c r="H200" s="17">
        <v>1</v>
      </c>
      <c r="I200" s="17">
        <v>0.60399999999999998</v>
      </c>
      <c r="J200" s="17">
        <v>0.48899999999999999</v>
      </c>
      <c r="K200" s="17">
        <v>0</v>
      </c>
      <c r="L200" s="17">
        <v>75</v>
      </c>
      <c r="M200" s="17">
        <v>26.7</v>
      </c>
      <c r="N200" s="17">
        <v>1.4</v>
      </c>
    </row>
    <row r="201" spans="1:14">
      <c r="A201" s="17" t="s">
        <v>182</v>
      </c>
      <c r="B201" s="17" t="s">
        <v>51</v>
      </c>
      <c r="C201" s="17" t="s">
        <v>290</v>
      </c>
      <c r="D201" s="17">
        <v>8.5</v>
      </c>
      <c r="E201" s="17">
        <v>5.4</v>
      </c>
      <c r="F201" s="17">
        <v>1.4</v>
      </c>
      <c r="G201" s="17">
        <v>0.6</v>
      </c>
      <c r="H201" s="17">
        <v>0.7</v>
      </c>
      <c r="I201" s="17">
        <v>0.63900000000000001</v>
      </c>
      <c r="J201" s="17">
        <v>0.78200000000000003</v>
      </c>
      <c r="K201" s="17">
        <v>0.2</v>
      </c>
      <c r="L201" s="17">
        <v>73</v>
      </c>
      <c r="M201" s="17">
        <v>23.6</v>
      </c>
      <c r="N201" s="17">
        <v>0.9</v>
      </c>
    </row>
    <row r="202" spans="1:14">
      <c r="A202" s="17" t="s">
        <v>196</v>
      </c>
      <c r="B202" s="17" t="s">
        <v>100</v>
      </c>
      <c r="C202" s="17" t="s">
        <v>22</v>
      </c>
      <c r="D202" s="17">
        <v>8.5</v>
      </c>
      <c r="E202" s="17">
        <v>4.5999999999999996</v>
      </c>
      <c r="F202" s="17">
        <v>1.1000000000000001</v>
      </c>
      <c r="G202" s="17">
        <v>0.9</v>
      </c>
      <c r="H202" s="17">
        <v>0.5</v>
      </c>
      <c r="I202" s="17">
        <v>0.52400000000000002</v>
      </c>
      <c r="J202" s="17">
        <v>0.74199999999999999</v>
      </c>
      <c r="K202" s="17">
        <v>0.4</v>
      </c>
      <c r="L202" s="17">
        <v>70</v>
      </c>
      <c r="M202" s="17">
        <v>19.600000000000001</v>
      </c>
      <c r="N202" s="17">
        <v>1.4</v>
      </c>
    </row>
    <row r="203" spans="1:14">
      <c r="A203" s="17" t="s">
        <v>168</v>
      </c>
      <c r="B203" s="17" t="s">
        <v>35</v>
      </c>
      <c r="C203" s="17" t="s">
        <v>290</v>
      </c>
      <c r="D203" s="17">
        <v>8.4</v>
      </c>
      <c r="E203" s="17">
        <v>5.5</v>
      </c>
      <c r="F203" s="17">
        <v>2.4</v>
      </c>
      <c r="G203" s="17">
        <v>0.5</v>
      </c>
      <c r="H203" s="17">
        <v>1.2</v>
      </c>
      <c r="I203" s="17">
        <v>0.501</v>
      </c>
      <c r="J203" s="17">
        <v>0.66700000000000004</v>
      </c>
      <c r="K203" s="17">
        <v>1.1000000000000001</v>
      </c>
      <c r="L203" s="17">
        <v>70</v>
      </c>
      <c r="M203" s="17">
        <v>25.3</v>
      </c>
      <c r="N203" s="17">
        <v>1.2</v>
      </c>
    </row>
    <row r="204" spans="1:14">
      <c r="A204" s="17" t="s">
        <v>257</v>
      </c>
      <c r="B204" s="17" t="s">
        <v>75</v>
      </c>
      <c r="C204" s="17" t="s">
        <v>287</v>
      </c>
      <c r="D204" s="17">
        <v>8.3000000000000007</v>
      </c>
      <c r="E204" s="17">
        <v>3.1</v>
      </c>
      <c r="F204" s="17">
        <v>1.4</v>
      </c>
      <c r="G204" s="17">
        <v>0.5</v>
      </c>
      <c r="H204" s="17">
        <v>0.9</v>
      </c>
      <c r="I204" s="17">
        <v>0.41099999999999998</v>
      </c>
      <c r="J204" s="17">
        <v>0.78600000000000003</v>
      </c>
      <c r="K204" s="17">
        <v>1.8</v>
      </c>
      <c r="L204" s="17">
        <v>79</v>
      </c>
      <c r="M204" s="17">
        <v>25</v>
      </c>
      <c r="N204" s="17">
        <v>0.7</v>
      </c>
    </row>
    <row r="205" spans="1:14">
      <c r="A205" s="17" t="s">
        <v>173</v>
      </c>
      <c r="B205" s="17" t="s">
        <v>88</v>
      </c>
      <c r="C205" s="17" t="s">
        <v>22</v>
      </c>
      <c r="D205" s="17">
        <v>8.1</v>
      </c>
      <c r="E205" s="17">
        <v>7.3</v>
      </c>
      <c r="F205" s="17">
        <v>0.5</v>
      </c>
      <c r="G205" s="17">
        <v>1.7</v>
      </c>
      <c r="H205" s="17">
        <v>0.9</v>
      </c>
      <c r="I205" s="17">
        <v>0.69599999999999995</v>
      </c>
      <c r="J205" s="17">
        <v>0.54500000000000004</v>
      </c>
      <c r="K205" s="17">
        <v>0</v>
      </c>
      <c r="L205" s="17">
        <v>73</v>
      </c>
      <c r="M205" s="17">
        <v>26.1</v>
      </c>
      <c r="N205" s="17">
        <v>0.8</v>
      </c>
    </row>
    <row r="206" spans="1:14">
      <c r="A206" s="17" t="s">
        <v>242</v>
      </c>
      <c r="B206" s="17" t="s">
        <v>49</v>
      </c>
      <c r="C206" s="17" t="s">
        <v>294</v>
      </c>
      <c r="D206" s="17">
        <v>8</v>
      </c>
      <c r="E206" s="17">
        <v>4.8</v>
      </c>
      <c r="F206" s="17">
        <v>2.4</v>
      </c>
      <c r="G206" s="17">
        <v>0.6</v>
      </c>
      <c r="H206" s="17">
        <v>1</v>
      </c>
      <c r="I206" s="17">
        <v>0.46100000000000002</v>
      </c>
      <c r="J206" s="17">
        <v>0.83399999999999996</v>
      </c>
      <c r="K206" s="17">
        <v>1.5</v>
      </c>
      <c r="L206" s="17">
        <v>74</v>
      </c>
      <c r="M206" s="17">
        <v>27.2</v>
      </c>
      <c r="N206" s="17">
        <v>0.9</v>
      </c>
    </row>
    <row r="207" spans="1:14">
      <c r="A207" s="17" t="s">
        <v>336</v>
      </c>
      <c r="B207" s="17" t="s">
        <v>53</v>
      </c>
      <c r="C207" s="17" t="s">
        <v>290</v>
      </c>
      <c r="D207" s="17">
        <v>8</v>
      </c>
      <c r="E207" s="17">
        <v>4.0999999999999996</v>
      </c>
      <c r="F207" s="17">
        <v>1.2</v>
      </c>
      <c r="G207" s="17">
        <v>0.4</v>
      </c>
      <c r="H207" s="17">
        <v>0.5</v>
      </c>
      <c r="I207" s="17">
        <v>0.42699999999999999</v>
      </c>
      <c r="J207" s="17">
        <v>0.75800000000000001</v>
      </c>
      <c r="K207" s="17">
        <v>1</v>
      </c>
      <c r="L207" s="17">
        <v>76</v>
      </c>
      <c r="M207" s="17">
        <v>21.1</v>
      </c>
      <c r="N207" s="17">
        <v>1</v>
      </c>
    </row>
    <row r="208" spans="1:14">
      <c r="A208" s="17" t="s">
        <v>177</v>
      </c>
      <c r="B208" s="17" t="s">
        <v>70</v>
      </c>
      <c r="C208" s="17" t="s">
        <v>327</v>
      </c>
      <c r="D208" s="17">
        <v>7.8</v>
      </c>
      <c r="E208" s="17">
        <v>7</v>
      </c>
      <c r="F208" s="17">
        <v>0.8</v>
      </c>
      <c r="G208" s="17">
        <v>1</v>
      </c>
      <c r="H208" s="17">
        <v>0.6</v>
      </c>
      <c r="I208" s="17">
        <v>0.60099999999999998</v>
      </c>
      <c r="J208" s="17">
        <v>0.71</v>
      </c>
      <c r="K208" s="17">
        <v>0</v>
      </c>
      <c r="L208" s="17">
        <v>63</v>
      </c>
      <c r="M208" s="17">
        <v>21.8</v>
      </c>
      <c r="N208" s="17">
        <v>0.8</v>
      </c>
    </row>
    <row r="209" spans="1:14">
      <c r="A209" s="17" t="s">
        <v>281</v>
      </c>
      <c r="B209" s="17" t="s">
        <v>57</v>
      </c>
      <c r="C209" s="17" t="s">
        <v>290</v>
      </c>
      <c r="D209" s="17">
        <v>7.7</v>
      </c>
      <c r="E209" s="17">
        <v>4.7</v>
      </c>
      <c r="F209" s="17">
        <v>1.4</v>
      </c>
      <c r="G209" s="17">
        <v>0.9</v>
      </c>
      <c r="H209" s="17">
        <v>0.7</v>
      </c>
      <c r="I209" s="17">
        <v>0.504</v>
      </c>
      <c r="J209" s="17">
        <v>0.69299999999999995</v>
      </c>
      <c r="K209" s="17">
        <v>0.2</v>
      </c>
      <c r="L209" s="17">
        <v>77</v>
      </c>
      <c r="M209" s="17">
        <v>24.6</v>
      </c>
      <c r="N209" s="17">
        <v>0.8</v>
      </c>
    </row>
    <row r="210" spans="1:14">
      <c r="A210" s="17" t="s">
        <v>96</v>
      </c>
      <c r="B210" s="17" t="s">
        <v>29</v>
      </c>
      <c r="C210" s="17" t="s">
        <v>290</v>
      </c>
      <c r="D210" s="17">
        <v>7.6</v>
      </c>
      <c r="E210" s="17">
        <v>6.5</v>
      </c>
      <c r="F210" s="17">
        <v>7.7</v>
      </c>
      <c r="G210" s="17">
        <v>0.9</v>
      </c>
      <c r="H210" s="17">
        <v>1.6</v>
      </c>
      <c r="I210" s="17">
        <v>0.44</v>
      </c>
      <c r="J210" s="17">
        <v>0.78100000000000003</v>
      </c>
      <c r="K210" s="17">
        <v>0.7</v>
      </c>
      <c r="L210" s="17">
        <v>75</v>
      </c>
      <c r="M210" s="17">
        <v>31.8</v>
      </c>
      <c r="N210" s="17">
        <v>2.8</v>
      </c>
    </row>
    <row r="211" spans="1:14">
      <c r="A211" s="17" t="s">
        <v>219</v>
      </c>
      <c r="B211" s="17" t="s">
        <v>118</v>
      </c>
      <c r="C211" s="17" t="s">
        <v>28</v>
      </c>
      <c r="D211" s="17">
        <v>7.5</v>
      </c>
      <c r="E211" s="17">
        <v>2.8</v>
      </c>
      <c r="F211" s="17">
        <v>5</v>
      </c>
      <c r="G211" s="17">
        <v>0.1</v>
      </c>
      <c r="H211" s="17">
        <v>1.2</v>
      </c>
      <c r="I211" s="17">
        <v>0.38800000000000001</v>
      </c>
      <c r="J211" s="17">
        <v>0.86</v>
      </c>
      <c r="K211" s="17">
        <v>0.9</v>
      </c>
      <c r="L211" s="17">
        <v>75</v>
      </c>
      <c r="M211" s="17">
        <v>22.2</v>
      </c>
      <c r="N211" s="17">
        <v>1.4</v>
      </c>
    </row>
    <row r="212" spans="1:14">
      <c r="A212" s="17" t="s">
        <v>236</v>
      </c>
      <c r="B212" s="17" t="s">
        <v>55</v>
      </c>
      <c r="C212" s="17" t="s">
        <v>337</v>
      </c>
      <c r="D212" s="17">
        <v>7.4</v>
      </c>
      <c r="E212" s="17">
        <v>4.2</v>
      </c>
      <c r="F212" s="17">
        <v>1.6</v>
      </c>
      <c r="G212" s="17">
        <v>0.4</v>
      </c>
      <c r="H212" s="17">
        <v>0.9</v>
      </c>
      <c r="I212" s="17">
        <v>0.42699999999999999</v>
      </c>
      <c r="J212" s="17">
        <v>0.82799999999999996</v>
      </c>
      <c r="K212" s="17">
        <v>1.3</v>
      </c>
      <c r="L212" s="17">
        <v>61</v>
      </c>
      <c r="M212" s="17">
        <v>25</v>
      </c>
      <c r="N212" s="17">
        <v>0.9</v>
      </c>
    </row>
    <row r="213" spans="1:14">
      <c r="A213" s="17" t="s">
        <v>338</v>
      </c>
      <c r="B213" s="17" t="s">
        <v>94</v>
      </c>
      <c r="C213" s="17" t="s">
        <v>290</v>
      </c>
      <c r="D213" s="17">
        <v>7.3</v>
      </c>
      <c r="E213" s="17">
        <v>8.4</v>
      </c>
      <c r="F213" s="17">
        <v>1.2</v>
      </c>
      <c r="G213" s="17">
        <v>0.5</v>
      </c>
      <c r="H213" s="17">
        <v>0.5</v>
      </c>
      <c r="I213" s="17">
        <v>0.53900000000000003</v>
      </c>
      <c r="J213" s="17">
        <v>0.61699999999999999</v>
      </c>
      <c r="K213" s="17">
        <v>0</v>
      </c>
      <c r="L213" s="17">
        <v>68</v>
      </c>
      <c r="M213" s="17">
        <v>20.100000000000001</v>
      </c>
      <c r="N213" s="17">
        <v>0.9</v>
      </c>
    </row>
    <row r="214" spans="1:14">
      <c r="A214" s="17" t="s">
        <v>215</v>
      </c>
      <c r="B214" s="17" t="s">
        <v>75</v>
      </c>
      <c r="C214" s="17" t="s">
        <v>288</v>
      </c>
      <c r="D214" s="17">
        <v>7.3</v>
      </c>
      <c r="E214" s="17">
        <v>3.1</v>
      </c>
      <c r="F214" s="17">
        <v>5.3</v>
      </c>
      <c r="G214" s="17">
        <v>0.2</v>
      </c>
      <c r="H214" s="17">
        <v>1.4</v>
      </c>
      <c r="I214" s="17">
        <v>0.54200000000000004</v>
      </c>
      <c r="J214" s="17">
        <v>0.745</v>
      </c>
      <c r="K214" s="17">
        <v>0.2</v>
      </c>
      <c r="L214" s="17">
        <v>78</v>
      </c>
      <c r="M214" s="17">
        <v>22.3</v>
      </c>
      <c r="N214" s="17">
        <v>1.6</v>
      </c>
    </row>
    <row r="215" spans="1:14">
      <c r="A215" s="17" t="s">
        <v>339</v>
      </c>
      <c r="B215" s="17" t="s">
        <v>292</v>
      </c>
      <c r="C215" s="17" t="s">
        <v>290</v>
      </c>
      <c r="D215" s="17">
        <v>7.1</v>
      </c>
      <c r="E215" s="17">
        <v>7.4</v>
      </c>
      <c r="F215" s="17">
        <v>0.6</v>
      </c>
      <c r="G215" s="17">
        <v>1.3</v>
      </c>
      <c r="H215" s="17">
        <v>0.3</v>
      </c>
      <c r="I215" s="17">
        <v>0.60799999999999998</v>
      </c>
      <c r="J215" s="17">
        <v>0.57999999999999996</v>
      </c>
      <c r="K215" s="17">
        <v>0</v>
      </c>
      <c r="L215" s="17">
        <v>66</v>
      </c>
      <c r="M215" s="17">
        <v>17.100000000000001</v>
      </c>
      <c r="N215" s="17">
        <v>1.1000000000000001</v>
      </c>
    </row>
    <row r="216" spans="1:14">
      <c r="A216" s="17" t="s">
        <v>340</v>
      </c>
      <c r="B216" s="17" t="s">
        <v>320</v>
      </c>
      <c r="C216" s="17" t="s">
        <v>341</v>
      </c>
      <c r="D216" s="17">
        <v>7</v>
      </c>
      <c r="E216" s="17">
        <v>3.6</v>
      </c>
      <c r="F216" s="17">
        <v>1.5</v>
      </c>
      <c r="G216" s="17">
        <v>0.4</v>
      </c>
      <c r="H216" s="17">
        <v>0.8</v>
      </c>
      <c r="I216" s="17">
        <v>0.52300000000000002</v>
      </c>
      <c r="J216" s="17">
        <v>0.72899999999999998</v>
      </c>
      <c r="K216" s="17">
        <v>0.4</v>
      </c>
      <c r="L216" s="17">
        <v>78</v>
      </c>
      <c r="M216" s="17">
        <v>20.5</v>
      </c>
      <c r="N216" s="17">
        <v>0.8</v>
      </c>
    </row>
    <row r="217" spans="1:14">
      <c r="A217" s="17" t="s">
        <v>342</v>
      </c>
      <c r="B217" s="17" t="s">
        <v>77</v>
      </c>
      <c r="C217" s="17" t="s">
        <v>22</v>
      </c>
      <c r="D217" s="17">
        <v>6.9</v>
      </c>
      <c r="E217" s="17">
        <v>4.5999999999999996</v>
      </c>
      <c r="F217" s="17">
        <v>0.7</v>
      </c>
      <c r="G217" s="17">
        <v>0.8</v>
      </c>
      <c r="H217" s="17">
        <v>0.4</v>
      </c>
      <c r="I217" s="17">
        <v>0.64700000000000002</v>
      </c>
      <c r="J217" s="17">
        <v>0.7</v>
      </c>
      <c r="K217" s="17">
        <v>0.1</v>
      </c>
      <c r="L217" s="17">
        <v>69</v>
      </c>
      <c r="M217" s="17">
        <v>15.5</v>
      </c>
      <c r="N217" s="17">
        <v>0.7</v>
      </c>
    </row>
    <row r="218" spans="1:14">
      <c r="A218" s="17" t="s">
        <v>343</v>
      </c>
      <c r="B218" s="17" t="s">
        <v>26</v>
      </c>
      <c r="C218" s="17" t="s">
        <v>290</v>
      </c>
      <c r="D218" s="17">
        <v>6.8</v>
      </c>
      <c r="E218" s="17">
        <v>3.5</v>
      </c>
      <c r="F218" s="17">
        <v>1</v>
      </c>
      <c r="G218" s="17">
        <v>0.5</v>
      </c>
      <c r="H218" s="17">
        <v>0.6</v>
      </c>
      <c r="I218" s="17">
        <v>0.499</v>
      </c>
      <c r="J218" s="17">
        <v>0.72799999999999998</v>
      </c>
      <c r="K218" s="17">
        <v>0.6</v>
      </c>
      <c r="L218" s="17">
        <v>65</v>
      </c>
      <c r="M218" s="17">
        <v>16.399999999999999</v>
      </c>
      <c r="N218" s="17">
        <v>0.8</v>
      </c>
    </row>
    <row r="219" spans="1:14">
      <c r="A219" s="17" t="s">
        <v>233</v>
      </c>
      <c r="B219" s="17" t="s">
        <v>23</v>
      </c>
      <c r="C219" s="17" t="s">
        <v>28</v>
      </c>
      <c r="D219" s="17">
        <v>6.8</v>
      </c>
      <c r="E219" s="17">
        <v>1.6</v>
      </c>
      <c r="F219" s="17">
        <v>4</v>
      </c>
      <c r="G219" s="17">
        <v>0.2</v>
      </c>
      <c r="H219" s="17">
        <v>1.3</v>
      </c>
      <c r="I219" s="17">
        <v>0.38700000000000001</v>
      </c>
      <c r="J219" s="17">
        <v>0.874</v>
      </c>
      <c r="K219" s="17">
        <v>1.4</v>
      </c>
      <c r="L219" s="17">
        <v>73</v>
      </c>
      <c r="M219" s="17">
        <v>23.7</v>
      </c>
      <c r="N219" s="17">
        <v>1.2</v>
      </c>
    </row>
    <row r="220" spans="1:14">
      <c r="A220" s="17" t="s">
        <v>243</v>
      </c>
      <c r="B220" s="17" t="s">
        <v>292</v>
      </c>
      <c r="C220" s="17" t="s">
        <v>291</v>
      </c>
      <c r="D220" s="17">
        <v>6.7</v>
      </c>
      <c r="E220" s="17">
        <v>5.4</v>
      </c>
      <c r="F220" s="17">
        <v>2.2000000000000002</v>
      </c>
      <c r="G220" s="17">
        <v>0.4</v>
      </c>
      <c r="H220" s="17">
        <v>0.8</v>
      </c>
      <c r="I220" s="17">
        <v>0.45700000000000002</v>
      </c>
      <c r="J220" s="17">
        <v>0.81299999999999994</v>
      </c>
      <c r="K220" s="17">
        <v>1.4</v>
      </c>
      <c r="L220" s="17">
        <v>78</v>
      </c>
      <c r="M220" s="17">
        <v>29.7</v>
      </c>
      <c r="N220" s="17">
        <v>1.1000000000000001</v>
      </c>
    </row>
    <row r="221" spans="1:14">
      <c r="A221" s="17" t="s">
        <v>344</v>
      </c>
      <c r="B221" s="17" t="s">
        <v>42</v>
      </c>
      <c r="C221" s="17" t="s">
        <v>22</v>
      </c>
      <c r="D221" s="17">
        <v>6.6</v>
      </c>
      <c r="E221" s="17">
        <v>5.0999999999999996</v>
      </c>
      <c r="F221" s="17">
        <v>0.7</v>
      </c>
      <c r="G221" s="17">
        <v>0.5</v>
      </c>
      <c r="H221" s="17">
        <v>0.3</v>
      </c>
      <c r="I221" s="17">
        <v>0.59699999999999998</v>
      </c>
      <c r="J221" s="17">
        <v>0.77200000000000002</v>
      </c>
      <c r="K221" s="17">
        <v>0</v>
      </c>
      <c r="L221" s="17">
        <v>63</v>
      </c>
      <c r="M221" s="17">
        <v>15</v>
      </c>
      <c r="N221" s="17">
        <v>0.8</v>
      </c>
    </row>
    <row r="222" spans="1:14">
      <c r="A222" s="17" t="s">
        <v>345</v>
      </c>
      <c r="B222" s="17" t="s">
        <v>23</v>
      </c>
      <c r="C222" s="17" t="s">
        <v>290</v>
      </c>
      <c r="D222" s="17">
        <v>6.6</v>
      </c>
      <c r="E222" s="17">
        <v>4.5</v>
      </c>
      <c r="F222" s="17">
        <v>0.7</v>
      </c>
      <c r="G222" s="17">
        <v>0.4</v>
      </c>
      <c r="H222" s="17">
        <v>0.4</v>
      </c>
      <c r="I222" s="17">
        <v>0.46100000000000002</v>
      </c>
      <c r="J222" s="17">
        <v>0.82299999999999995</v>
      </c>
      <c r="K222" s="17">
        <v>1.3</v>
      </c>
      <c r="L222" s="17">
        <v>73</v>
      </c>
      <c r="M222" s="17">
        <v>16.600000000000001</v>
      </c>
      <c r="N222" s="17">
        <v>0.8</v>
      </c>
    </row>
    <row r="223" spans="1:14">
      <c r="A223" s="17" t="s">
        <v>265</v>
      </c>
      <c r="B223" s="17" t="s">
        <v>31</v>
      </c>
      <c r="C223" s="17" t="s">
        <v>288</v>
      </c>
      <c r="D223" s="17">
        <v>6.5</v>
      </c>
      <c r="E223" s="17">
        <v>3.9</v>
      </c>
      <c r="F223" s="17">
        <v>2.1</v>
      </c>
      <c r="G223" s="17">
        <v>0.5</v>
      </c>
      <c r="H223" s="17">
        <v>0.9</v>
      </c>
      <c r="I223" s="17">
        <v>0.40699999999999997</v>
      </c>
      <c r="J223" s="17">
        <v>0.76100000000000001</v>
      </c>
      <c r="K223" s="17">
        <v>1.3</v>
      </c>
      <c r="L223" s="17">
        <v>71</v>
      </c>
      <c r="M223" s="17">
        <v>20.8</v>
      </c>
      <c r="N223" s="17">
        <v>1.1000000000000001</v>
      </c>
    </row>
    <row r="224" spans="1:14">
      <c r="A224" s="17" t="s">
        <v>346</v>
      </c>
      <c r="B224" s="17" t="s">
        <v>77</v>
      </c>
      <c r="C224" s="17" t="s">
        <v>288</v>
      </c>
      <c r="D224" s="17">
        <v>6.4</v>
      </c>
      <c r="E224" s="17">
        <v>2.6</v>
      </c>
      <c r="F224" s="17">
        <v>3.5</v>
      </c>
      <c r="G224" s="17">
        <v>0.1</v>
      </c>
      <c r="H224" s="17">
        <v>0.8</v>
      </c>
      <c r="I224" s="17">
        <v>0.49</v>
      </c>
      <c r="J224" s="17">
        <v>0.88200000000000001</v>
      </c>
      <c r="K224" s="17">
        <v>0.6</v>
      </c>
      <c r="L224" s="17">
        <v>75</v>
      </c>
      <c r="M224" s="17">
        <v>20.3</v>
      </c>
      <c r="N224" s="17">
        <v>1.3</v>
      </c>
    </row>
    <row r="225" spans="1:14">
      <c r="A225" s="17" t="s">
        <v>347</v>
      </c>
      <c r="B225" s="17" t="s">
        <v>53</v>
      </c>
      <c r="C225" s="17" t="s">
        <v>22</v>
      </c>
      <c r="D225" s="17">
        <v>6.4</v>
      </c>
      <c r="E225" s="17">
        <v>4.4000000000000004</v>
      </c>
      <c r="F225" s="17">
        <v>0.7</v>
      </c>
      <c r="G225" s="17">
        <v>0.7</v>
      </c>
      <c r="H225" s="17">
        <v>0.6</v>
      </c>
      <c r="I225" s="17">
        <v>0.52500000000000002</v>
      </c>
      <c r="J225" s="17">
        <v>0.79400000000000004</v>
      </c>
      <c r="K225" s="17">
        <v>0.4</v>
      </c>
      <c r="L225" s="17">
        <v>72</v>
      </c>
      <c r="M225" s="17">
        <v>17.100000000000001</v>
      </c>
      <c r="N225" s="17">
        <v>0.8</v>
      </c>
    </row>
    <row r="226" spans="1:14">
      <c r="A226" s="17" t="s">
        <v>252</v>
      </c>
      <c r="B226" s="17" t="s">
        <v>55</v>
      </c>
      <c r="C226" s="17" t="s">
        <v>22</v>
      </c>
      <c r="D226" s="17">
        <v>6</v>
      </c>
      <c r="E226" s="17">
        <v>6.3</v>
      </c>
      <c r="F226" s="17">
        <v>0.6</v>
      </c>
      <c r="G226" s="17">
        <v>0.8</v>
      </c>
      <c r="H226" s="17">
        <v>0.4</v>
      </c>
      <c r="I226" s="17">
        <v>0.61799999999999999</v>
      </c>
      <c r="J226" s="17">
        <v>0.58399999999999996</v>
      </c>
      <c r="K226" s="17">
        <v>0</v>
      </c>
      <c r="L226" s="17">
        <v>75</v>
      </c>
      <c r="M226" s="17">
        <v>17</v>
      </c>
      <c r="N226" s="17">
        <v>1.2</v>
      </c>
    </row>
    <row r="227" spans="1:14">
      <c r="A227" s="17" t="s">
        <v>348</v>
      </c>
      <c r="B227" s="17" t="s">
        <v>26</v>
      </c>
      <c r="C227" s="17" t="s">
        <v>327</v>
      </c>
      <c r="D227" s="17">
        <v>6</v>
      </c>
      <c r="E227" s="17">
        <v>4.9000000000000004</v>
      </c>
      <c r="F227" s="17">
        <v>0.8</v>
      </c>
      <c r="G227" s="17">
        <v>1.1000000000000001</v>
      </c>
      <c r="H227" s="17">
        <v>0.6</v>
      </c>
      <c r="I227" s="17">
        <v>0.6</v>
      </c>
      <c r="J227" s="17">
        <v>0.51400000000000001</v>
      </c>
      <c r="K227" s="17">
        <v>0</v>
      </c>
      <c r="L227" s="17">
        <v>74</v>
      </c>
      <c r="M227" s="17">
        <v>16.600000000000001</v>
      </c>
      <c r="N227" s="17">
        <v>0.7</v>
      </c>
    </row>
    <row r="228" spans="1:14">
      <c r="A228" s="17" t="s">
        <v>349</v>
      </c>
      <c r="B228" s="17" t="s">
        <v>72</v>
      </c>
      <c r="C228" s="17" t="s">
        <v>327</v>
      </c>
      <c r="D228" s="17">
        <v>6</v>
      </c>
      <c r="E228" s="17">
        <v>2.9</v>
      </c>
      <c r="F228" s="17">
        <v>0.9</v>
      </c>
      <c r="G228" s="17">
        <v>0.3</v>
      </c>
      <c r="H228" s="17">
        <v>0.2</v>
      </c>
      <c r="I228" s="17">
        <v>0.47</v>
      </c>
      <c r="J228" s="17">
        <v>0.66900000000000004</v>
      </c>
      <c r="K228" s="17">
        <v>0.6</v>
      </c>
      <c r="L228" s="17">
        <v>61</v>
      </c>
      <c r="M228" s="17">
        <v>13.7</v>
      </c>
      <c r="N228" s="17">
        <v>0.4</v>
      </c>
    </row>
    <row r="229" spans="1:14">
      <c r="A229" s="17" t="s">
        <v>350</v>
      </c>
      <c r="B229" s="17" t="s">
        <v>70</v>
      </c>
      <c r="C229" s="17" t="s">
        <v>290</v>
      </c>
      <c r="D229" s="17">
        <v>6</v>
      </c>
      <c r="E229" s="17">
        <v>2.8</v>
      </c>
      <c r="F229" s="17">
        <v>0.7</v>
      </c>
      <c r="G229" s="17">
        <v>0.3</v>
      </c>
      <c r="H229" s="17">
        <v>0.2</v>
      </c>
      <c r="I229" s="17">
        <v>0.42099999999999999</v>
      </c>
      <c r="J229" s="17">
        <v>0.873</v>
      </c>
      <c r="K229" s="17">
        <v>1</v>
      </c>
      <c r="L229" s="17">
        <v>56</v>
      </c>
      <c r="M229" s="17">
        <v>14.2</v>
      </c>
      <c r="N229" s="17">
        <v>0.6</v>
      </c>
    </row>
    <row r="230" spans="1:14">
      <c r="A230" s="17" t="s">
        <v>351</v>
      </c>
      <c r="B230" s="17" t="s">
        <v>51</v>
      </c>
      <c r="C230" s="17" t="s">
        <v>22</v>
      </c>
      <c r="D230" s="17">
        <v>6</v>
      </c>
      <c r="E230" s="17">
        <v>10.3</v>
      </c>
      <c r="F230" s="17">
        <v>0.2</v>
      </c>
      <c r="G230" s="17">
        <v>0.8</v>
      </c>
      <c r="H230" s="17">
        <v>0.4</v>
      </c>
      <c r="I230" s="17">
        <v>0.56799999999999995</v>
      </c>
      <c r="J230" s="17">
        <v>0.59799999999999998</v>
      </c>
      <c r="K230" s="17">
        <v>0</v>
      </c>
      <c r="L230" s="17">
        <v>57</v>
      </c>
      <c r="M230" s="17">
        <v>14.7</v>
      </c>
      <c r="N230" s="17">
        <v>0.6</v>
      </c>
    </row>
    <row r="231" spans="1:14">
      <c r="A231" s="17" t="s">
        <v>352</v>
      </c>
      <c r="B231" s="17" t="s">
        <v>70</v>
      </c>
      <c r="C231" s="17" t="s">
        <v>291</v>
      </c>
      <c r="D231" s="17">
        <v>5.9</v>
      </c>
      <c r="E231" s="17">
        <v>4.0999999999999996</v>
      </c>
      <c r="F231" s="17">
        <v>1.8</v>
      </c>
      <c r="G231" s="17">
        <v>0.3</v>
      </c>
      <c r="H231" s="17">
        <v>0.8</v>
      </c>
      <c r="I231" s="17">
        <v>0.47499999999999998</v>
      </c>
      <c r="J231" s="17">
        <v>0.52600000000000002</v>
      </c>
      <c r="K231" s="17">
        <v>0.9</v>
      </c>
      <c r="L231" s="17">
        <v>70</v>
      </c>
      <c r="M231" s="17">
        <v>21.4</v>
      </c>
      <c r="N231" s="17">
        <v>1.1000000000000001</v>
      </c>
    </row>
    <row r="232" spans="1:14">
      <c r="A232" s="17" t="s">
        <v>353</v>
      </c>
      <c r="B232" s="17" t="s">
        <v>120</v>
      </c>
      <c r="C232" s="17" t="s">
        <v>22</v>
      </c>
      <c r="D232" s="17">
        <v>5.8</v>
      </c>
      <c r="E232" s="17">
        <v>3.8</v>
      </c>
      <c r="F232" s="17">
        <v>0.5</v>
      </c>
      <c r="G232" s="17">
        <v>0.5</v>
      </c>
      <c r="H232" s="17">
        <v>0.2</v>
      </c>
      <c r="I232" s="17">
        <v>0.57999999999999996</v>
      </c>
      <c r="J232" s="17">
        <v>0.70599999999999996</v>
      </c>
      <c r="K232" s="17">
        <v>0.1</v>
      </c>
      <c r="L232" s="17">
        <v>54</v>
      </c>
      <c r="M232" s="17">
        <v>13.6</v>
      </c>
      <c r="N232" s="17">
        <v>0.7</v>
      </c>
    </row>
    <row r="233" spans="1:14">
      <c r="A233" s="17" t="s">
        <v>255</v>
      </c>
      <c r="B233" s="17" t="s">
        <v>72</v>
      </c>
      <c r="C233" s="17" t="s">
        <v>22</v>
      </c>
      <c r="D233" s="17">
        <v>5.8</v>
      </c>
      <c r="E233" s="17">
        <v>3.4</v>
      </c>
      <c r="F233" s="17">
        <v>0.6</v>
      </c>
      <c r="G233" s="17">
        <v>1.1000000000000001</v>
      </c>
      <c r="H233" s="17">
        <v>0.3</v>
      </c>
      <c r="I233" s="17">
        <v>0.55800000000000005</v>
      </c>
      <c r="J233" s="17">
        <v>0.61799999999999999</v>
      </c>
      <c r="K233" s="17">
        <v>0</v>
      </c>
      <c r="L233" s="17">
        <v>45</v>
      </c>
      <c r="M233" s="17">
        <v>13.2</v>
      </c>
      <c r="N233" s="17">
        <v>0.8</v>
      </c>
    </row>
    <row r="234" spans="1:14">
      <c r="A234" s="17" t="s">
        <v>354</v>
      </c>
      <c r="B234" s="17" t="s">
        <v>94</v>
      </c>
      <c r="C234" s="17" t="s">
        <v>290</v>
      </c>
      <c r="D234" s="17">
        <v>5.6</v>
      </c>
      <c r="E234" s="17">
        <v>4.4000000000000004</v>
      </c>
      <c r="F234" s="17">
        <v>0.5</v>
      </c>
      <c r="G234" s="17">
        <v>0.7</v>
      </c>
      <c r="H234" s="17">
        <v>0.3</v>
      </c>
      <c r="I234" s="17">
        <v>0.57699999999999996</v>
      </c>
      <c r="J234" s="17">
        <v>0.63500000000000001</v>
      </c>
      <c r="K234" s="17">
        <v>0.2</v>
      </c>
      <c r="L234" s="17">
        <v>54</v>
      </c>
      <c r="M234" s="17">
        <v>13.6</v>
      </c>
      <c r="N234" s="17">
        <v>0.6</v>
      </c>
    </row>
    <row r="235" spans="1:14">
      <c r="A235" s="17" t="s">
        <v>355</v>
      </c>
      <c r="B235" s="17" t="s">
        <v>59</v>
      </c>
      <c r="C235" s="17" t="s">
        <v>22</v>
      </c>
      <c r="D235" s="17">
        <v>5.5</v>
      </c>
      <c r="E235" s="17">
        <v>5.2</v>
      </c>
      <c r="F235" s="17">
        <v>0.6</v>
      </c>
      <c r="G235" s="17">
        <v>0.6</v>
      </c>
      <c r="H235" s="17">
        <v>0.3</v>
      </c>
      <c r="I235" s="17">
        <v>0.63400000000000001</v>
      </c>
      <c r="J235" s="17">
        <v>0.68300000000000005</v>
      </c>
      <c r="K235" s="17">
        <v>0</v>
      </c>
      <c r="L235" s="17">
        <v>69</v>
      </c>
      <c r="M235" s="17">
        <v>13.1</v>
      </c>
      <c r="N235" s="17">
        <v>0.7</v>
      </c>
    </row>
    <row r="236" spans="1:14">
      <c r="A236" s="17" t="s">
        <v>356</v>
      </c>
      <c r="B236" s="17" t="s">
        <v>53</v>
      </c>
      <c r="C236" s="17" t="s">
        <v>312</v>
      </c>
      <c r="D236" s="17">
        <v>5.4</v>
      </c>
      <c r="E236" s="17">
        <v>4.5999999999999996</v>
      </c>
      <c r="F236" s="17">
        <v>1.5</v>
      </c>
      <c r="G236" s="17">
        <v>0.3</v>
      </c>
      <c r="H236" s="17">
        <v>0.9</v>
      </c>
      <c r="I236" s="17">
        <v>0.40899999999999997</v>
      </c>
      <c r="J236" s="17">
        <v>0.78</v>
      </c>
      <c r="K236" s="17">
        <v>1</v>
      </c>
      <c r="L236" s="17">
        <v>77</v>
      </c>
      <c r="M236" s="17">
        <v>30.6</v>
      </c>
      <c r="N236" s="17">
        <v>1</v>
      </c>
    </row>
    <row r="237" spans="1:14">
      <c r="A237" s="17" t="s">
        <v>153</v>
      </c>
      <c r="B237" s="17" t="s">
        <v>37</v>
      </c>
      <c r="C237" s="17" t="s">
        <v>287</v>
      </c>
      <c r="D237" s="17">
        <v>5.3</v>
      </c>
      <c r="E237" s="17">
        <v>2.7</v>
      </c>
      <c r="F237" s="17">
        <v>1.1000000000000001</v>
      </c>
      <c r="G237" s="17">
        <v>1.2</v>
      </c>
      <c r="H237" s="17">
        <v>1.7</v>
      </c>
      <c r="I237" s="17">
        <v>0.441</v>
      </c>
      <c r="J237" s="17">
        <v>0.58499999999999996</v>
      </c>
      <c r="K237" s="17">
        <v>0.8</v>
      </c>
      <c r="L237" s="17">
        <v>74</v>
      </c>
      <c r="M237" s="17">
        <v>23.6</v>
      </c>
      <c r="N237" s="17">
        <v>0.8</v>
      </c>
    </row>
    <row r="238" spans="1:14">
      <c r="A238" s="17" t="s">
        <v>357</v>
      </c>
      <c r="B238" s="17" t="s">
        <v>61</v>
      </c>
      <c r="C238" s="17" t="s">
        <v>299</v>
      </c>
      <c r="D238" s="17">
        <v>5</v>
      </c>
      <c r="E238" s="17">
        <v>4.0999999999999996</v>
      </c>
      <c r="F238" s="17">
        <v>0.3</v>
      </c>
      <c r="G238" s="17">
        <v>0.6</v>
      </c>
      <c r="H238" s="17">
        <v>0.5</v>
      </c>
      <c r="I238" s="17">
        <v>0.63100000000000001</v>
      </c>
      <c r="J238" s="17">
        <v>0.66700000000000004</v>
      </c>
      <c r="K238" s="17">
        <v>0</v>
      </c>
      <c r="L238" s="17">
        <v>45</v>
      </c>
      <c r="M238" s="17">
        <v>13.1</v>
      </c>
      <c r="N238" s="17">
        <v>0.5</v>
      </c>
    </row>
    <row r="239" spans="1:14">
      <c r="A239" s="17" t="s">
        <v>358</v>
      </c>
      <c r="B239" s="17" t="s">
        <v>320</v>
      </c>
      <c r="C239" s="17" t="s">
        <v>321</v>
      </c>
      <c r="D239" s="17">
        <v>4.9000000000000004</v>
      </c>
      <c r="E239" s="17">
        <v>4</v>
      </c>
      <c r="F239" s="17">
        <v>0.7</v>
      </c>
      <c r="G239" s="17">
        <v>0.6</v>
      </c>
      <c r="H239" s="17">
        <v>0.4</v>
      </c>
      <c r="I239" s="17">
        <v>0.61599999999999999</v>
      </c>
      <c r="J239" s="17">
        <v>0.58699999999999997</v>
      </c>
      <c r="K239" s="17">
        <v>0</v>
      </c>
      <c r="L239" s="17">
        <v>65</v>
      </c>
      <c r="M239" s="17">
        <v>15.8</v>
      </c>
      <c r="N239" s="17">
        <v>0.5</v>
      </c>
    </row>
    <row r="240" spans="1:14">
      <c r="A240" s="17" t="s">
        <v>359</v>
      </c>
      <c r="B240" s="17" t="s">
        <v>55</v>
      </c>
      <c r="C240" s="17" t="s">
        <v>22</v>
      </c>
      <c r="D240" s="17">
        <v>4.7</v>
      </c>
      <c r="E240" s="17">
        <v>4.3</v>
      </c>
      <c r="F240" s="17">
        <v>0.7</v>
      </c>
      <c r="G240" s="17">
        <v>0.6</v>
      </c>
      <c r="H240" s="17">
        <v>0.2</v>
      </c>
      <c r="I240" s="17">
        <v>0.66500000000000004</v>
      </c>
      <c r="J240" s="17">
        <v>0.68</v>
      </c>
      <c r="K240" s="17">
        <v>0</v>
      </c>
      <c r="L240" s="17">
        <v>61</v>
      </c>
      <c r="M240" s="17">
        <v>12.8</v>
      </c>
      <c r="N240" s="17">
        <v>0.8</v>
      </c>
    </row>
    <row r="241" spans="1:14">
      <c r="A241" s="17" t="s">
        <v>360</v>
      </c>
      <c r="B241" s="17" t="s">
        <v>75</v>
      </c>
      <c r="C241" s="17" t="s">
        <v>22</v>
      </c>
      <c r="D241" s="17">
        <v>4.5999999999999996</v>
      </c>
      <c r="E241" s="17">
        <v>2</v>
      </c>
      <c r="F241" s="17">
        <v>0.5</v>
      </c>
      <c r="G241" s="17">
        <v>1.1000000000000001</v>
      </c>
      <c r="H241" s="17">
        <v>0.2</v>
      </c>
      <c r="I241" s="17">
        <v>0.47399999999999998</v>
      </c>
      <c r="J241" s="17">
        <v>0.76600000000000001</v>
      </c>
      <c r="K241" s="17">
        <v>0.3</v>
      </c>
      <c r="L241" s="17">
        <v>71</v>
      </c>
      <c r="M241" s="17">
        <v>10.7</v>
      </c>
      <c r="N241" s="17">
        <v>0.4</v>
      </c>
    </row>
    <row r="242" spans="1:14">
      <c r="A242" s="17" t="s">
        <v>164</v>
      </c>
      <c r="B242" s="17" t="s">
        <v>88</v>
      </c>
      <c r="C242" s="17" t="s">
        <v>290</v>
      </c>
      <c r="D242" s="17">
        <v>4.5</v>
      </c>
      <c r="E242" s="17">
        <v>5.9</v>
      </c>
      <c r="F242" s="17">
        <v>0.6</v>
      </c>
      <c r="G242" s="17">
        <v>1.6</v>
      </c>
      <c r="H242" s="17">
        <v>0.9</v>
      </c>
      <c r="I242" s="17">
        <v>0.622</v>
      </c>
      <c r="J242" s="17">
        <v>0.72299999999999998</v>
      </c>
      <c r="K242" s="17">
        <v>0</v>
      </c>
      <c r="L242" s="17">
        <v>74</v>
      </c>
      <c r="M242" s="17">
        <v>20.2</v>
      </c>
      <c r="N242" s="17">
        <v>1</v>
      </c>
    </row>
    <row r="243" spans="1:14">
      <c r="A243" s="17" t="s">
        <v>361</v>
      </c>
      <c r="B243" s="17" t="s">
        <v>320</v>
      </c>
      <c r="C243" s="17" t="s">
        <v>321</v>
      </c>
      <c r="D243" s="17">
        <v>4</v>
      </c>
      <c r="E243" s="17">
        <v>2.8</v>
      </c>
      <c r="F243" s="17">
        <v>0.6</v>
      </c>
      <c r="G243" s="17">
        <v>0.3</v>
      </c>
      <c r="H243" s="17">
        <v>0.4</v>
      </c>
      <c r="I243" s="17">
        <v>0.51100000000000001</v>
      </c>
      <c r="J243" s="17">
        <v>0.81299999999999994</v>
      </c>
      <c r="K243" s="17">
        <v>0.4</v>
      </c>
      <c r="L243" s="17">
        <v>62</v>
      </c>
      <c r="M243" s="17">
        <v>10.1</v>
      </c>
      <c r="N243" s="17">
        <v>0.5</v>
      </c>
    </row>
    <row r="244" spans="1:14">
      <c r="A244" s="17" t="s">
        <v>362</v>
      </c>
      <c r="B244" s="17" t="s">
        <v>88</v>
      </c>
      <c r="C244" s="17" t="s">
        <v>290</v>
      </c>
      <c r="D244" s="17">
        <v>3.9</v>
      </c>
      <c r="E244" s="17">
        <v>11.4</v>
      </c>
      <c r="F244" s="17">
        <v>0.5</v>
      </c>
      <c r="G244" s="17">
        <v>0.9</v>
      </c>
      <c r="H244" s="17">
        <v>0.5</v>
      </c>
      <c r="I244" s="17">
        <v>0.61199999999999999</v>
      </c>
      <c r="J244" s="17">
        <v>0.747</v>
      </c>
      <c r="K244" s="17">
        <v>0</v>
      </c>
      <c r="L244" s="17">
        <v>53</v>
      </c>
      <c r="M244" s="17">
        <v>14.1</v>
      </c>
      <c r="N244" s="17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3952-7E7E-1041-A163-C2406BC4E0B6}">
  <dimension ref="A1:AV235"/>
  <sheetViews>
    <sheetView zoomScale="90" zoomScaleNormal="90" workbookViewId="0">
      <pane xSplit="13" ySplit="5" topLeftCell="N6" activePane="bottomRight" state="frozen"/>
      <selection pane="topRight" activeCell="K1" sqref="K1"/>
      <selection pane="bottomLeft" activeCell="A2" sqref="A2"/>
      <selection pane="bottomRight" activeCell="Y5" sqref="Y5:AF5"/>
    </sheetView>
  </sheetViews>
  <sheetFormatPr defaultColWidth="11.42578125" defaultRowHeight="15"/>
  <cols>
    <col min="1" max="1" width="5.42578125" customWidth="1"/>
    <col min="2" max="2" width="21" bestFit="1" customWidth="1"/>
    <col min="3" max="3" width="10.85546875" customWidth="1"/>
    <col min="4" max="4" width="10.7109375" customWidth="1"/>
    <col min="5" max="5" width="10.140625" customWidth="1"/>
    <col min="6" max="6" width="6.5703125" customWidth="1"/>
    <col min="7" max="7" width="6.28515625" customWidth="1"/>
    <col min="8" max="8" width="4.85546875" style="13" customWidth="1"/>
    <col min="9" max="9" width="6.42578125" style="13" customWidth="1"/>
    <col min="10" max="10" width="5.7109375" customWidth="1"/>
    <col min="11" max="11" width="4.140625" style="8" customWidth="1"/>
    <col min="12" max="12" width="14" customWidth="1"/>
    <col min="13" max="13" width="6.140625" customWidth="1"/>
    <col min="14" max="14" width="5.28515625" customWidth="1"/>
    <col min="15" max="16" width="6" customWidth="1"/>
    <col min="17" max="17" width="13.7109375" customWidth="1"/>
    <col min="18" max="20" width="6" customWidth="1"/>
    <col min="21" max="21" width="7.42578125" customWidth="1"/>
    <col min="22" max="22" width="6" customWidth="1"/>
    <col min="23" max="23" width="7.42578125" customWidth="1"/>
    <col min="24" max="30" width="6" customWidth="1"/>
    <col min="31" max="31" width="5.85546875" customWidth="1"/>
    <col min="32" max="32" width="6" customWidth="1"/>
    <col min="33" max="33" width="13" customWidth="1"/>
    <col min="34" max="42" width="6" customWidth="1"/>
    <col min="43" max="43" width="7.7109375" customWidth="1"/>
    <col min="44" max="44" width="8.140625" customWidth="1"/>
    <col min="45" max="45" width="7.7109375" customWidth="1"/>
    <col min="46" max="46" width="8.140625" customWidth="1"/>
    <col min="47" max="48" width="6" customWidth="1"/>
  </cols>
  <sheetData>
    <row r="1" spans="1:48">
      <c r="A1" s="36">
        <v>14</v>
      </c>
      <c r="B1" s="38" t="s">
        <v>363</v>
      </c>
      <c r="D1" t="s">
        <v>364</v>
      </c>
      <c r="E1" s="2" t="s">
        <v>365</v>
      </c>
      <c r="F1" s="10"/>
      <c r="G1" s="2"/>
      <c r="H1" s="2"/>
      <c r="I1">
        <v>180</v>
      </c>
      <c r="J1" s="2" t="s">
        <v>440</v>
      </c>
      <c r="M1" s="8" t="s">
        <v>366</v>
      </c>
      <c r="N1" s="8"/>
      <c r="AQ1" t="s">
        <v>367</v>
      </c>
    </row>
    <row r="2" spans="1:48">
      <c r="A2" s="37">
        <v>13</v>
      </c>
      <c r="B2" s="38" t="s">
        <v>368</v>
      </c>
      <c r="C2" s="2" t="s">
        <v>437</v>
      </c>
      <c r="D2">
        <f>A1*A3</f>
        <v>2800</v>
      </c>
      <c r="E2">
        <f>A1*A3</f>
        <v>2800</v>
      </c>
      <c r="F2" s="13"/>
      <c r="H2"/>
      <c r="I2" s="10"/>
      <c r="M2" t="s">
        <v>369</v>
      </c>
      <c r="N2" s="8"/>
    </row>
    <row r="3" spans="1:48">
      <c r="A3" s="37">
        <v>200</v>
      </c>
      <c r="B3" s="38" t="s">
        <v>370</v>
      </c>
      <c r="C3" s="2" t="s">
        <v>438</v>
      </c>
      <c r="D3" s="30">
        <f ca="1">SUMIF(F6:F224,"&gt;0",F6:F224)</f>
        <v>523.72724996476813</v>
      </c>
      <c r="E3" s="30">
        <f ca="1">SUMIF(G6:G224,"&gt;0",G6:G224)</f>
        <v>523.72724996476813</v>
      </c>
      <c r="F3" s="13"/>
      <c r="H3"/>
      <c r="N3" s="8"/>
      <c r="AG3" s="11">
        <f ca="1">AVERAGE(AG6:INDIRECT(ADDRESS(5 +$I1,COLUMN(AG2))))</f>
        <v>-4.2311833049603192E-15</v>
      </c>
      <c r="AH3" s="2" t="s">
        <v>371</v>
      </c>
      <c r="AI3">
        <f ca="1">AVERAGE(O6:INDIRECT(ADDRESS(5 +$I1,COLUMN(O2))))</f>
        <v>16.139106012947444</v>
      </c>
      <c r="AJ3">
        <f ca="1">AVERAGE(P6:INDIRECT(ADDRESS(5 +$I1,COLUMN(P2))))</f>
        <v>1.7240149713596808</v>
      </c>
      <c r="AK3">
        <f ca="1">AVERAGE(Q6:INDIRECT(ADDRESS(5 +$I1,COLUMN(Q2))))</f>
        <v>5.7079458631458815</v>
      </c>
      <c r="AL3">
        <f ca="1">AVERAGE(R6:INDIRECT(ADDRESS(5 +$I1,COLUMN(R2))))</f>
        <v>3.6244252175708129</v>
      </c>
      <c r="AM3">
        <f ca="1">AVERAGE(S6:INDIRECT(ADDRESS(5 +$I1,COLUMN(S2))))</f>
        <v>0.98922854977145735</v>
      </c>
      <c r="AN3">
        <f ca="1">AVERAGE(T6:INDIRECT(ADDRESS(5 +$I1,COLUMN(T2))))</f>
        <v>0.670684503506491</v>
      </c>
      <c r="AO3" s="11">
        <f ca="1">AVERAGE(AU6:INDIRECT(ADDRESS(5 +$I1,COLUMN(AU2))))</f>
        <v>5.7546560109737283E-16</v>
      </c>
      <c r="AP3" s="11">
        <f ca="1">AVERAGE(AV6:INDIRECT(ADDRESS(5 +$I1,COLUMNS($B2:AV2))))</f>
        <v>-8.387869873980078E-16</v>
      </c>
      <c r="AR3" s="11"/>
      <c r="AS3">
        <f ca="1">AVERAGE(AQ6:INDIRECT(ADDRESS(5 +$I1,COLUMN(AQ2))))/AVERAGE(V6:INDIRECT(ADDRESS(5 +$I1,COLUMN(V2))))</f>
        <v>0.47597470518811197</v>
      </c>
      <c r="AT3" s="11">
        <f ca="1">AVERAGE(AR6:INDIRECT(ADDRESS(5 +$I1,COLUMN(AR2))))/AVERAGE(X6:INDIRECT(ADDRESS(5 +$I1,COLUMN(X2))))</f>
        <v>0.80010269174011517</v>
      </c>
    </row>
    <row r="4" spans="1:48">
      <c r="A4" s="37">
        <v>2.8</v>
      </c>
      <c r="B4" s="38" t="s">
        <v>372</v>
      </c>
      <c r="C4" s="2" t="s">
        <v>439</v>
      </c>
      <c r="D4" s="30">
        <f ca="1">D2/D3</f>
        <v>5.346294278535936</v>
      </c>
      <c r="E4" s="30">
        <f ca="1">E2/E3</f>
        <v>5.346294278535936</v>
      </c>
      <c r="F4" s="13"/>
      <c r="H4"/>
      <c r="N4" s="8"/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/>
      <c r="W4" s="28">
        <v>1</v>
      </c>
      <c r="AG4" s="11">
        <f ca="1">STDEV(AG6:INDIRECT(ADDRESS(5 +$I$1,COLUMN(AG3))))</f>
        <v>3.041016751453248</v>
      </c>
      <c r="AH4" s="2" t="s">
        <v>373</v>
      </c>
      <c r="AI4">
        <f ca="1">STDEV(O6:INDIRECT(ADDRESS(5 +$I1,COLUMN(O2))))</f>
        <v>5.7512511643037652</v>
      </c>
      <c r="AJ4">
        <f ca="1">STDEV(P6:INDIRECT(ADDRESS(5 +$I1,COLUMN(P2))))</f>
        <v>1.0070123852838131</v>
      </c>
      <c r="AK4">
        <f ca="1">STDEV(Q6:INDIRECT(ADDRESS(5 +$I1,COLUMN(Q2))))</f>
        <v>2.3920497570376615</v>
      </c>
      <c r="AL4">
        <f ca="1">STDEV(R6:INDIRECT(ADDRESS(5 +$I1,COLUMN(R2))))</f>
        <v>2.1002461749904384</v>
      </c>
      <c r="AM4">
        <f ca="1">STDEV(S6:INDIRECT(ADDRESS(5 +$I1,COLUMN(S2))))</f>
        <v>0.31319278069987488</v>
      </c>
      <c r="AN4">
        <f ca="1">STDEV(T6:INDIRECT(ADDRESS(5 +$I1,COLUMN(T2))))</f>
        <v>0.5437340200808638</v>
      </c>
      <c r="AO4" s="11">
        <f ca="1">STDEV(AU6:INDIRECT(ADDRESS(5 +$I$1,COLUMN(AU3))))</f>
        <v>0.64297655888148642</v>
      </c>
      <c r="AP4" s="11">
        <f ca="1">STDEV(AV6:INDIRECT(ADDRESS(5 +$I$1,COLUMN(AV3))))</f>
        <v>0.2784839081745103</v>
      </c>
    </row>
    <row r="5" spans="1:48">
      <c r="A5" s="1" t="s">
        <v>382</v>
      </c>
      <c r="B5" s="1" t="s">
        <v>2</v>
      </c>
      <c r="C5" s="1" t="s">
        <v>374</v>
      </c>
      <c r="D5" s="1" t="s">
        <v>375</v>
      </c>
      <c r="E5" s="1" t="s">
        <v>376</v>
      </c>
      <c r="F5" s="1" t="s">
        <v>377</v>
      </c>
      <c r="G5" s="1" t="s">
        <v>378</v>
      </c>
      <c r="H5" s="35" t="s">
        <v>379</v>
      </c>
      <c r="I5" s="35" t="s">
        <v>380</v>
      </c>
      <c r="J5" s="1" t="s">
        <v>381</v>
      </c>
      <c r="K5" s="1" t="s">
        <v>382</v>
      </c>
      <c r="L5" s="1" t="s">
        <v>2</v>
      </c>
      <c r="M5" s="1" t="s">
        <v>3</v>
      </c>
      <c r="N5" s="1" t="s">
        <v>4</v>
      </c>
      <c r="O5" s="1" t="s">
        <v>5</v>
      </c>
      <c r="P5" s="1" t="s">
        <v>6</v>
      </c>
      <c r="Q5" s="1" t="s">
        <v>7</v>
      </c>
      <c r="R5" s="1" t="s">
        <v>8</v>
      </c>
      <c r="S5" s="1" t="s">
        <v>9</v>
      </c>
      <c r="T5" s="1" t="s">
        <v>10</v>
      </c>
      <c r="U5" s="1" t="s">
        <v>11</v>
      </c>
      <c r="V5" s="1" t="s">
        <v>12</v>
      </c>
      <c r="W5" s="1" t="s">
        <v>13</v>
      </c>
      <c r="X5" s="1" t="s">
        <v>14</v>
      </c>
      <c r="Y5" s="1" t="s">
        <v>383</v>
      </c>
      <c r="Z5" s="1" t="s">
        <v>384</v>
      </c>
      <c r="AA5" s="1" t="s">
        <v>385</v>
      </c>
      <c r="AB5" s="1" t="s">
        <v>386</v>
      </c>
      <c r="AC5" s="1" t="s">
        <v>387</v>
      </c>
      <c r="AD5" s="1" t="s">
        <v>388</v>
      </c>
      <c r="AE5" s="1" t="s">
        <v>389</v>
      </c>
      <c r="AF5" s="1" t="s">
        <v>390</v>
      </c>
      <c r="AG5" s="1" t="s">
        <v>391</v>
      </c>
      <c r="AH5" s="1" t="s">
        <v>392</v>
      </c>
      <c r="AI5" s="1" t="s">
        <v>383</v>
      </c>
      <c r="AJ5" s="1" t="s">
        <v>384</v>
      </c>
      <c r="AK5" s="1" t="s">
        <v>385</v>
      </c>
      <c r="AL5" s="1" t="s">
        <v>386</v>
      </c>
      <c r="AM5" s="1" t="s">
        <v>387</v>
      </c>
      <c r="AN5" s="1" t="s">
        <v>388</v>
      </c>
      <c r="AO5" s="1" t="s">
        <v>398</v>
      </c>
      <c r="AP5" s="1" t="s">
        <v>400</v>
      </c>
      <c r="AQ5" s="1" t="s">
        <v>395</v>
      </c>
      <c r="AR5" s="1" t="s">
        <v>396</v>
      </c>
      <c r="AS5" s="1" t="s">
        <v>393</v>
      </c>
      <c r="AT5" s="1" t="s">
        <v>394</v>
      </c>
      <c r="AU5" s="1" t="s">
        <v>397</v>
      </c>
      <c r="AV5" s="1" t="s">
        <v>399</v>
      </c>
    </row>
    <row r="6" spans="1:48">
      <c r="A6">
        <v>1</v>
      </c>
      <c r="B6" s="27" t="str">
        <f>L6</f>
        <v>Nikola Jokic</v>
      </c>
      <c r="C6" s="21">
        <v>67.341720095923691</v>
      </c>
      <c r="D6" s="12">
        <f t="shared" ref="D6:D69" ca="1" si="0">F6*D$4</f>
        <v>68.452933544242413</v>
      </c>
      <c r="E6" s="12">
        <f t="shared" ref="E6:E69" ca="1" si="1">G6*E$4</f>
        <v>68.452933544242413</v>
      </c>
      <c r="F6" s="29">
        <f ca="1">SUM(AI6:AN6,AP6,AO6)+$A$4</f>
        <v>12.803809513266824</v>
      </c>
      <c r="G6" s="29">
        <f ca="1">SUM(Y6:AF6)+$A$4</f>
        <v>12.803809513266824</v>
      </c>
      <c r="H6" s="10">
        <v>1</v>
      </c>
      <c r="I6" s="10">
        <v>0</v>
      </c>
      <c r="J6" t="e">
        <f>VLOOKUP(N6,Schedule!#REF!,2,0)</f>
        <v>#REF!</v>
      </c>
      <c r="K6" s="17">
        <v>1</v>
      </c>
      <c r="L6" s="17" t="s">
        <v>21</v>
      </c>
      <c r="M6" s="17" t="s">
        <v>22</v>
      </c>
      <c r="N6" s="17" t="s">
        <v>23</v>
      </c>
      <c r="O6" s="22">
        <v>26.821052631578947</v>
      </c>
      <c r="P6" s="22">
        <v>1.1289473684210527</v>
      </c>
      <c r="Q6" s="22">
        <v>10.729078947368421</v>
      </c>
      <c r="R6" s="22">
        <v>7.7136842105263161</v>
      </c>
      <c r="S6" s="22">
        <v>1.1921052631578946</v>
      </c>
      <c r="T6" s="22">
        <v>0.63118421052631579</v>
      </c>
      <c r="U6" s="22">
        <v>0.56402768449026075</v>
      </c>
      <c r="V6" s="22">
        <v>18.022631578947369</v>
      </c>
      <c r="W6" s="22">
        <v>0.8750026841890528</v>
      </c>
      <c r="X6" s="22">
        <v>6.1275000000000004</v>
      </c>
      <c r="Y6" s="14">
        <f t="shared" ref="Y6:Y69" ca="1" si="2">O$4*AI6</f>
        <v>1.8573257041756475</v>
      </c>
      <c r="Z6" s="14">
        <f t="shared" ref="Z6:Z69" ca="1" si="3">P$4*AJ6</f>
        <v>-0.59092381745723632</v>
      </c>
      <c r="AA6" s="14">
        <f t="shared" ref="AA6:AA69" ca="1" si="4">Q$4*AK6</f>
        <v>2.0990922406399948</v>
      </c>
      <c r="AB6" s="14">
        <f t="shared" ref="AB6:AB69" ca="1" si="5">R$4*AL6</f>
        <v>1.9470379432897291</v>
      </c>
      <c r="AC6" s="14">
        <f t="shared" ref="AC6:AC69" ca="1" si="6">S$4*AM6</f>
        <v>0.64776944389675795</v>
      </c>
      <c r="AD6" s="14">
        <f t="shared" ref="AD6:AD69" ca="1" si="7">T$4*AN6</f>
        <v>-7.2646351931962533E-2</v>
      </c>
      <c r="AE6" s="14">
        <f ca="1">U$4*AO6</f>
        <v>2.4681248227026131</v>
      </c>
      <c r="AF6" s="15">
        <f ca="1">AP6*W$4</f>
        <v>1.6480295279512815</v>
      </c>
      <c r="AG6" s="12">
        <f t="shared" ref="AG6:AG69" ca="1" si="8">SUM(Y6:AF6)</f>
        <v>10.003809513266825</v>
      </c>
      <c r="AH6" s="14">
        <f t="shared" ref="AH6:AH69" ca="1" si="9">(AG6-AG$3)/AG$4</f>
        <v>3.2896265725883245</v>
      </c>
      <c r="AI6" s="14">
        <f t="shared" ref="AI6:AI69" ca="1" si="10">(O6-AI$3)/AI$4</f>
        <v>1.8573257041756475</v>
      </c>
      <c r="AJ6" s="14">
        <f t="shared" ref="AJ6:AJ69" ca="1" si="11">(P6-AJ$3)/AJ$4</f>
        <v>-0.59092381745723632</v>
      </c>
      <c r="AK6" s="14">
        <f t="shared" ref="AK6:AK69" ca="1" si="12">(Q6-AK$3)/AK$4</f>
        <v>2.0990922406399948</v>
      </c>
      <c r="AL6" s="14">
        <f t="shared" ref="AL6:AL69" ca="1" si="13">(R6-AL$3)/AL$4</f>
        <v>1.9470379432897291</v>
      </c>
      <c r="AM6" s="14">
        <f t="shared" ref="AM6:AM69" ca="1" si="14">(S6-AM$3)/AM$4</f>
        <v>0.64776944389675795</v>
      </c>
      <c r="AN6" s="14">
        <f t="shared" ref="AN6:AN69" ca="1" si="15">(T6-AN$3)/AN$4</f>
        <v>-7.2646351931962533E-2</v>
      </c>
      <c r="AO6" s="14">
        <f ca="1">(AU6-$AO$3)/$AO$4</f>
        <v>2.4681248227026131</v>
      </c>
      <c r="AP6" s="14">
        <f ca="1">(AV6-$AP$3)/$AP$4</f>
        <v>1.6480295279512815</v>
      </c>
      <c r="AQ6" s="22">
        <f>V6*U6</f>
        <v>10.165263157894737</v>
      </c>
      <c r="AR6" s="22">
        <f>W6*X6</f>
        <v>5.3615789473684217</v>
      </c>
      <c r="AS6" s="22">
        <f ca="1">(U6-AS$3)</f>
        <v>8.8052979302148782E-2</v>
      </c>
      <c r="AT6" s="22">
        <f ca="1">(W6-AT$3)</f>
        <v>7.4899992448937636E-2</v>
      </c>
      <c r="AU6" s="11">
        <f ca="1">AS6*V6</f>
        <v>1.5869464053913056</v>
      </c>
      <c r="AV6" s="11">
        <f ca="1">AT6*X6</f>
        <v>0.45894970373086541</v>
      </c>
    </row>
    <row r="7" spans="1:48">
      <c r="A7">
        <v>2</v>
      </c>
      <c r="B7" s="27" t="str">
        <f t="shared" ref="B7:B70" si="16">L7</f>
        <v>James Harden</v>
      </c>
      <c r="C7" s="21">
        <v>64.783779313481148</v>
      </c>
      <c r="D7" s="12">
        <f t="shared" ca="1" si="0"/>
        <v>66.0187209985301</v>
      </c>
      <c r="E7" s="12">
        <f t="shared" ca="1" si="1"/>
        <v>66.0187209985301</v>
      </c>
      <c r="F7" s="29">
        <f ca="1">SUM(AI7:AN7,AP7,AO7)+$A$4</f>
        <v>12.348501140982666</v>
      </c>
      <c r="G7" s="29">
        <f ca="1">SUM(Y7:AF7)+$A$4</f>
        <v>12.348501140982666</v>
      </c>
      <c r="H7" s="10">
        <v>1</v>
      </c>
      <c r="I7" s="10">
        <v>0</v>
      </c>
      <c r="J7" t="e">
        <f>VLOOKUP(N7,Schedule!#REF!,2,0)</f>
        <v>#REF!</v>
      </c>
      <c r="K7" s="17">
        <v>2</v>
      </c>
      <c r="L7" s="17" t="s">
        <v>24</v>
      </c>
      <c r="M7" s="17" t="s">
        <v>25</v>
      </c>
      <c r="N7" s="17" t="s">
        <v>26</v>
      </c>
      <c r="O7" s="22">
        <v>25.374459459459459</v>
      </c>
      <c r="P7" s="22">
        <v>2.9529729729729732</v>
      </c>
      <c r="Q7" s="22">
        <v>7.7999999999999989</v>
      </c>
      <c r="R7" s="22">
        <v>10.5</v>
      </c>
      <c r="S7" s="22">
        <v>1.2749999999999999</v>
      </c>
      <c r="T7" s="22">
        <v>0.82499999999999996</v>
      </c>
      <c r="U7" s="22">
        <v>0.46559225065258064</v>
      </c>
      <c r="V7" s="22">
        <v>17.549864864864865</v>
      </c>
      <c r="W7" s="22">
        <v>0.86600061600061595</v>
      </c>
      <c r="X7" s="22">
        <v>7.0200000000000005</v>
      </c>
      <c r="Y7" s="14">
        <f t="shared" ca="1" si="2"/>
        <v>1.6057990135838605</v>
      </c>
      <c r="Z7" s="14">
        <f t="shared" ca="1" si="3"/>
        <v>1.220400086009793</v>
      </c>
      <c r="AA7" s="14">
        <f t="shared" ca="1" si="4"/>
        <v>0.87458637960981978</v>
      </c>
      <c r="AB7" s="14">
        <f t="shared" ca="1" si="5"/>
        <v>3.2736994664258767</v>
      </c>
      <c r="AC7" s="14">
        <f t="shared" ca="1" si="6"/>
        <v>0.9124458411523555</v>
      </c>
      <c r="AD7" s="14">
        <f t="shared" ca="1" si="7"/>
        <v>0.28380695486105367</v>
      </c>
      <c r="AE7" s="14">
        <f ca="1">U$4*AO7</f>
        <v>-0.28338618499739709</v>
      </c>
      <c r="AF7" s="15">
        <f ca="1">AP7*W$4</f>
        <v>1.6611495843373063</v>
      </c>
      <c r="AG7" s="12">
        <f t="shared" ca="1" si="8"/>
        <v>9.5485011409826672</v>
      </c>
      <c r="AH7" s="14">
        <f t="shared" ca="1" si="9"/>
        <v>3.1399041575221878</v>
      </c>
      <c r="AI7" s="14">
        <f t="shared" ca="1" si="10"/>
        <v>1.6057990135838605</v>
      </c>
      <c r="AJ7" s="14">
        <f t="shared" ca="1" si="11"/>
        <v>1.220400086009793</v>
      </c>
      <c r="AK7" s="14">
        <f t="shared" ca="1" si="12"/>
        <v>0.87458637960981978</v>
      </c>
      <c r="AL7" s="14">
        <f t="shared" ca="1" si="13"/>
        <v>3.2736994664258767</v>
      </c>
      <c r="AM7" s="14">
        <f t="shared" ca="1" si="14"/>
        <v>0.9124458411523555</v>
      </c>
      <c r="AN7" s="14">
        <f t="shared" ca="1" si="15"/>
        <v>0.28380695486105367</v>
      </c>
      <c r="AO7" s="14">
        <f t="shared" ref="AO7:AO70" ca="1" si="17">(AU7-$AO$3)/$AO$4</f>
        <v>-0.28338618499739709</v>
      </c>
      <c r="AP7" s="14">
        <f ca="1">(AV7-$AP$3)/$AP$4</f>
        <v>1.6611495843373063</v>
      </c>
      <c r="AQ7" s="22">
        <f t="shared" ref="AQ7:AQ70" si="18">V7*U7</f>
        <v>8.1710810810810806</v>
      </c>
      <c r="AR7" s="22">
        <f t="shared" ref="AR7:AR70" si="19">W7*X7</f>
        <v>6.0793243243243245</v>
      </c>
      <c r="AS7" s="22">
        <f ca="1">(U7-AS$3)</f>
        <v>-1.0382454535531327E-2</v>
      </c>
      <c r="AT7" s="22">
        <f ca="1">(W7-AT$3)</f>
        <v>6.5897924260500784E-2</v>
      </c>
      <c r="AU7" s="11">
        <f ca="1">AS7*V7</f>
        <v>-0.1822106740641781</v>
      </c>
      <c r="AV7" s="11">
        <f ca="1">AT7*X7</f>
        <v>0.46260342830871554</v>
      </c>
    </row>
    <row r="8" spans="1:48">
      <c r="A8">
        <v>3</v>
      </c>
      <c r="B8" s="27" t="str">
        <f t="shared" si="16"/>
        <v>Stephen Curry</v>
      </c>
      <c r="C8" s="21">
        <v>64.520374848874582</v>
      </c>
      <c r="D8" s="12">
        <f t="shared" ca="1" si="0"/>
        <v>65.939753639034592</v>
      </c>
      <c r="E8" s="12">
        <f t="shared" ca="1" si="1"/>
        <v>65.939753639034578</v>
      </c>
      <c r="F8" s="29">
        <f ca="1">SUM(AI8:AN8,AP8,AO8)+$A$4</f>
        <v>12.333730655973536</v>
      </c>
      <c r="G8" s="29">
        <f ca="1">SUM(Y8:AF8)+$A$4</f>
        <v>12.333730655973532</v>
      </c>
      <c r="H8" s="10">
        <v>1</v>
      </c>
      <c r="I8" s="10">
        <v>1</v>
      </c>
      <c r="J8" t="e">
        <f>VLOOKUP(N8,Schedule!#REF!,2,0)</f>
        <v>#REF!</v>
      </c>
      <c r="K8" s="17">
        <v>3</v>
      </c>
      <c r="L8" s="17" t="s">
        <v>27</v>
      </c>
      <c r="M8" s="17" t="s">
        <v>28</v>
      </c>
      <c r="N8" s="17" t="s">
        <v>29</v>
      </c>
      <c r="O8" s="22">
        <v>31.462361111111111</v>
      </c>
      <c r="P8" s="22">
        <v>5.4933333333333332</v>
      </c>
      <c r="Q8" s="22">
        <v>5.4719444444444445</v>
      </c>
      <c r="R8" s="22">
        <v>5.9095833333333339</v>
      </c>
      <c r="S8" s="22">
        <v>1.2402777777777778</v>
      </c>
      <c r="T8" s="22">
        <v>0.14597222222222223</v>
      </c>
      <c r="U8" s="22">
        <v>0.46887219592508739</v>
      </c>
      <c r="V8" s="22">
        <v>21.595555555555556</v>
      </c>
      <c r="W8" s="22">
        <v>0.91300008870753124</v>
      </c>
      <c r="X8" s="22">
        <v>6.262777777777778</v>
      </c>
      <c r="Y8" s="14">
        <f t="shared" ca="1" si="2"/>
        <v>2.6643341875365079</v>
      </c>
      <c r="Z8" s="14">
        <f t="shared" ca="1" si="3"/>
        <v>3.7430705094171404</v>
      </c>
      <c r="AA8" s="14">
        <f t="shared" ca="1" si="4"/>
        <v>-9.8660748175114679E-2</v>
      </c>
      <c r="AB8" s="14">
        <f t="shared" ca="1" si="5"/>
        <v>1.0880429841863297</v>
      </c>
      <c r="AC8" s="14">
        <f t="shared" ca="1" si="6"/>
        <v>0.80158050720490548</v>
      </c>
      <c r="AD8" s="14">
        <f t="shared" ca="1" si="7"/>
        <v>-0.96501646375967787</v>
      </c>
      <c r="AE8" s="14">
        <f ca="1">U$4*AO8</f>
        <v>-0.2385508946707455</v>
      </c>
      <c r="AF8" s="15">
        <f ca="1">AP8*W$4</f>
        <v>2.5389305742341892</v>
      </c>
      <c r="AG8" s="12">
        <f t="shared" ca="1" si="8"/>
        <v>9.5337306559735335</v>
      </c>
      <c r="AH8" s="14">
        <f t="shared" ca="1" si="9"/>
        <v>3.1350470698385782</v>
      </c>
      <c r="AI8" s="14">
        <f t="shared" ca="1" si="10"/>
        <v>2.6643341875365079</v>
      </c>
      <c r="AJ8" s="14">
        <f t="shared" ca="1" si="11"/>
        <v>3.7430705094171404</v>
      </c>
      <c r="AK8" s="14">
        <f t="shared" ca="1" si="12"/>
        <v>-9.8660748175114679E-2</v>
      </c>
      <c r="AL8" s="14">
        <f t="shared" ca="1" si="13"/>
        <v>1.0880429841863297</v>
      </c>
      <c r="AM8" s="14">
        <f t="shared" ca="1" si="14"/>
        <v>0.80158050720490548</v>
      </c>
      <c r="AN8" s="14">
        <f t="shared" ca="1" si="15"/>
        <v>-0.96501646375967787</v>
      </c>
      <c r="AO8" s="14">
        <f t="shared" ca="1" si="17"/>
        <v>-0.2385508946707455</v>
      </c>
      <c r="AP8" s="14">
        <f ca="1">(AV8-$AP$3)/$AP$4</f>
        <v>2.5389305742341892</v>
      </c>
      <c r="AQ8" s="22">
        <f t="shared" si="18"/>
        <v>10.125555555555554</v>
      </c>
      <c r="AR8" s="22">
        <f t="shared" si="19"/>
        <v>5.7179166666666665</v>
      </c>
      <c r="AS8" s="22">
        <f ca="1">(U8-AS$3)</f>
        <v>-7.1025092630245812E-3</v>
      </c>
      <c r="AT8" s="22">
        <f ca="1">(W8-AT$3)</f>
        <v>0.11289739696741607</v>
      </c>
      <c r="AU8" s="11">
        <f ca="1">AS8*V8</f>
        <v>-0.15338263337349528</v>
      </c>
      <c r="AV8" s="11">
        <f ca="1">AT8*X8</f>
        <v>0.70705130889648971</v>
      </c>
    </row>
    <row r="9" spans="1:48">
      <c r="A9">
        <v>4</v>
      </c>
      <c r="B9" s="27" t="str">
        <f t="shared" si="16"/>
        <v>Karl-Anthony Towns</v>
      </c>
      <c r="C9" s="21">
        <v>51.130890643420507</v>
      </c>
      <c r="D9" s="12">
        <f t="shared" ca="1" si="0"/>
        <v>51.939295112402284</v>
      </c>
      <c r="E9" s="12">
        <f t="shared" ca="1" si="1"/>
        <v>51.939295112402284</v>
      </c>
      <c r="F9" s="29">
        <f ca="1">SUM(AI9:AN9,AP9,AO9)+$A$4</f>
        <v>9.7150086408310621</v>
      </c>
      <c r="G9" s="29">
        <f ca="1">SUM(Y9:AF9)+$A$4</f>
        <v>9.7150086408310621</v>
      </c>
      <c r="H9" s="10">
        <v>1</v>
      </c>
      <c r="I9" s="10">
        <v>0</v>
      </c>
      <c r="J9" t="e">
        <f>VLOOKUP(N9,Schedule!#REF!,2,0)</f>
        <v>#REF!</v>
      </c>
      <c r="K9" s="17">
        <v>4</v>
      </c>
      <c r="L9" s="17" t="s">
        <v>30</v>
      </c>
      <c r="M9" s="17" t="s">
        <v>22</v>
      </c>
      <c r="N9" s="17" t="s">
        <v>31</v>
      </c>
      <c r="O9" s="22">
        <v>24.803783783783786</v>
      </c>
      <c r="P9" s="22">
        <v>2.4886486486486485</v>
      </c>
      <c r="Q9" s="22">
        <v>10.505945945945946</v>
      </c>
      <c r="R9" s="22">
        <v>4.9612162162162159</v>
      </c>
      <c r="S9" s="22">
        <v>0.72959459459459464</v>
      </c>
      <c r="T9" s="22">
        <v>1.2402702702702704</v>
      </c>
      <c r="U9" s="22">
        <v>0.50213571149132541</v>
      </c>
      <c r="V9" s="22">
        <v>16.925810810810809</v>
      </c>
      <c r="W9" s="22">
        <v>0.84899879164508885</v>
      </c>
      <c r="X9" s="22">
        <v>6.2627027027027022</v>
      </c>
      <c r="Y9" s="14">
        <f t="shared" ca="1" si="2"/>
        <v>1.5065726610264065</v>
      </c>
      <c r="Z9" s="14">
        <f t="shared" ca="1" si="3"/>
        <v>0.75930910926529049</v>
      </c>
      <c r="AA9" s="14">
        <f t="shared" ca="1" si="4"/>
        <v>2.0058111536701295</v>
      </c>
      <c r="AB9" s="14">
        <f t="shared" ca="1" si="5"/>
        <v>0.63649252862059791</v>
      </c>
      <c r="AC9" s="14">
        <f t="shared" ca="1" si="6"/>
        <v>-0.82899086816967116</v>
      </c>
      <c r="AD9" s="14">
        <f t="shared" ca="1" si="7"/>
        <v>1.0475448394401934</v>
      </c>
      <c r="AE9" s="14">
        <f ca="1">U$4*AO9</f>
        <v>0.68866623081703282</v>
      </c>
      <c r="AF9" s="15">
        <f ca="1">AP9*W$4</f>
        <v>1.0996029861610848</v>
      </c>
      <c r="AG9" s="12">
        <f t="shared" ca="1" si="8"/>
        <v>6.9150086408310631</v>
      </c>
      <c r="AH9" s="14">
        <f t="shared" ca="1" si="9"/>
        <v>2.273913367141601</v>
      </c>
      <c r="AI9" s="14">
        <f t="shared" ca="1" si="10"/>
        <v>1.5065726610264065</v>
      </c>
      <c r="AJ9" s="14">
        <f t="shared" ca="1" si="11"/>
        <v>0.75930910926529049</v>
      </c>
      <c r="AK9" s="14">
        <f t="shared" ca="1" si="12"/>
        <v>2.0058111536701295</v>
      </c>
      <c r="AL9" s="14">
        <f t="shared" ca="1" si="13"/>
        <v>0.63649252862059791</v>
      </c>
      <c r="AM9" s="14">
        <f t="shared" ca="1" si="14"/>
        <v>-0.82899086816967116</v>
      </c>
      <c r="AN9" s="14">
        <f t="shared" ca="1" si="15"/>
        <v>1.0475448394401934</v>
      </c>
      <c r="AO9" s="14">
        <f t="shared" ca="1" si="17"/>
        <v>0.68866623081703282</v>
      </c>
      <c r="AP9" s="14">
        <f ca="1">(AV9-$AP$3)/$AP$4</f>
        <v>1.0996029861610848</v>
      </c>
      <c r="AQ9" s="22">
        <f t="shared" si="18"/>
        <v>8.4990540540540529</v>
      </c>
      <c r="AR9" s="22">
        <f t="shared" si="19"/>
        <v>5.3170270270270263</v>
      </c>
      <c r="AS9" s="22">
        <f ca="1">(U9-AS$3)</f>
        <v>2.6161006303213441E-2</v>
      </c>
      <c r="AT9" s="22">
        <f ca="1">(W9-AT$3)</f>
        <v>4.8896099904973678E-2</v>
      </c>
      <c r="AU9" s="11">
        <f ca="1">AS9*V9</f>
        <v>0.44279624330861977</v>
      </c>
      <c r="AV9" s="11">
        <f ca="1">AT9*X9</f>
        <v>0.30622173702650002</v>
      </c>
    </row>
    <row r="10" spans="1:48">
      <c r="A10">
        <v>5</v>
      </c>
      <c r="B10" s="27" t="str">
        <f t="shared" si="16"/>
        <v>Kevin Durant</v>
      </c>
      <c r="C10" s="21">
        <v>50.740011103360231</v>
      </c>
      <c r="D10" s="12">
        <f t="shared" ca="1" si="0"/>
        <v>51.538658187954859</v>
      </c>
      <c r="E10" s="12">
        <f t="shared" ca="1" si="1"/>
        <v>51.538658187954859</v>
      </c>
      <c r="F10" s="29">
        <f ca="1">SUM(AI10:AN10,AP10,AO10)+$A$4</f>
        <v>9.640071328447064</v>
      </c>
      <c r="G10" s="29">
        <f ca="1">SUM(Y10:AF10)+$A$4</f>
        <v>9.640071328447064</v>
      </c>
      <c r="H10" s="10">
        <v>1</v>
      </c>
      <c r="I10" s="10">
        <v>0</v>
      </c>
      <c r="J10" t="e">
        <f>VLOOKUP(N10,Schedule!#REF!,2,0)</f>
        <v>#REF!</v>
      </c>
      <c r="K10" s="17">
        <v>5</v>
      </c>
      <c r="L10" s="17" t="s">
        <v>32</v>
      </c>
      <c r="M10" s="17" t="s">
        <v>33</v>
      </c>
      <c r="N10" s="17" t="s">
        <v>26</v>
      </c>
      <c r="O10" s="22">
        <v>25.923731343283581</v>
      </c>
      <c r="P10" s="22">
        <v>2.2064179104477613</v>
      </c>
      <c r="Q10" s="22">
        <v>7.0125373134328362</v>
      </c>
      <c r="R10" s="22">
        <v>4.7458208955223888</v>
      </c>
      <c r="S10" s="22">
        <v>0.70835820895522394</v>
      </c>
      <c r="T10" s="22">
        <v>1.204179104477612</v>
      </c>
      <c r="U10" s="22">
        <v>0.53846018771346038</v>
      </c>
      <c r="V10" s="22">
        <v>16.999552238805972</v>
      </c>
      <c r="W10" s="22">
        <v>0.88401131596917371</v>
      </c>
      <c r="X10" s="22">
        <v>6.12</v>
      </c>
      <c r="Y10" s="14">
        <f t="shared" ca="1" si="2"/>
        <v>1.7013037773530526</v>
      </c>
      <c r="Z10" s="14">
        <f t="shared" ca="1" si="3"/>
        <v>0.47904370009522923</v>
      </c>
      <c r="AA10" s="14">
        <f t="shared" ca="1" si="4"/>
        <v>0.54538641867658044</v>
      </c>
      <c r="AB10" s="14">
        <f t="shared" ca="1" si="5"/>
        <v>0.53393535067701348</v>
      </c>
      <c r="AC10" s="14">
        <f t="shared" ca="1" si="6"/>
        <v>-0.89679698295914656</v>
      </c>
      <c r="AD10" s="14">
        <f t="shared" ca="1" si="7"/>
        <v>0.9811683309640622</v>
      </c>
      <c r="AE10" s="14">
        <f ca="1">U$4*AO10</f>
        <v>1.6520434682789844</v>
      </c>
      <c r="AF10" s="15">
        <f ca="1">AP10*W$4</f>
        <v>1.8439872653612874</v>
      </c>
      <c r="AG10" s="12">
        <f t="shared" ca="1" si="8"/>
        <v>6.8400713284470633</v>
      </c>
      <c r="AH10" s="14">
        <f t="shared" ca="1" si="9"/>
        <v>2.249271177206873</v>
      </c>
      <c r="AI10" s="14">
        <f t="shared" ca="1" si="10"/>
        <v>1.7013037773530526</v>
      </c>
      <c r="AJ10" s="14">
        <f t="shared" ca="1" si="11"/>
        <v>0.47904370009522923</v>
      </c>
      <c r="AK10" s="14">
        <f t="shared" ca="1" si="12"/>
        <v>0.54538641867658044</v>
      </c>
      <c r="AL10" s="14">
        <f t="shared" ca="1" si="13"/>
        <v>0.53393535067701348</v>
      </c>
      <c r="AM10" s="14">
        <f t="shared" ca="1" si="14"/>
        <v>-0.89679698295914656</v>
      </c>
      <c r="AN10" s="14">
        <f t="shared" ca="1" si="15"/>
        <v>0.9811683309640622</v>
      </c>
      <c r="AO10" s="14">
        <f t="shared" ca="1" si="17"/>
        <v>1.6520434682789844</v>
      </c>
      <c r="AP10" s="14">
        <f ca="1">(AV10-$AP$3)/$AP$4</f>
        <v>1.8439872653612874</v>
      </c>
      <c r="AQ10" s="22">
        <f t="shared" si="18"/>
        <v>9.1535820895522395</v>
      </c>
      <c r="AR10" s="22">
        <f t="shared" si="19"/>
        <v>5.4101492537313431</v>
      </c>
      <c r="AS10" s="22">
        <f ca="1">(U10-AS$3)</f>
        <v>6.2485482525348413E-2</v>
      </c>
      <c r="AT10" s="22">
        <f ca="1">(W10-AT$3)</f>
        <v>8.3908624229058537E-2</v>
      </c>
      <c r="AU10" s="11">
        <f ca="1">AS10*V10</f>
        <v>1.0622252243566581</v>
      </c>
      <c r="AV10" s="11">
        <f ca="1">AT10*X10</f>
        <v>0.51352078028183823</v>
      </c>
    </row>
    <row r="11" spans="1:48">
      <c r="A11">
        <v>6</v>
      </c>
      <c r="B11" s="27" t="str">
        <f t="shared" si="16"/>
        <v>Damian Lillard</v>
      </c>
      <c r="C11" s="21">
        <v>50.282926724878145</v>
      </c>
      <c r="D11" s="12">
        <f t="shared" ca="1" si="0"/>
        <v>51.31727178590674</v>
      </c>
      <c r="E11" s="12">
        <f t="shared" ca="1" si="1"/>
        <v>51.31727178590674</v>
      </c>
      <c r="F11" s="29">
        <f ca="1">SUM(AI11:AN11,AP11,AO11)+$A$4</f>
        <v>9.598662010045544</v>
      </c>
      <c r="G11" s="29">
        <f ca="1">SUM(Y11:AF11)+$A$4</f>
        <v>9.598662010045544</v>
      </c>
      <c r="H11" s="10">
        <v>1</v>
      </c>
      <c r="I11" s="10">
        <v>0</v>
      </c>
      <c r="J11" t="e">
        <f>VLOOKUP(N11,Schedule!#REF!,2,0)</f>
        <v>#REF!</v>
      </c>
      <c r="K11" s="17">
        <v>6</v>
      </c>
      <c r="L11" s="17" t="s">
        <v>34</v>
      </c>
      <c r="M11" s="17" t="s">
        <v>28</v>
      </c>
      <c r="N11" s="17" t="s">
        <v>35</v>
      </c>
      <c r="O11" s="22">
        <v>27.821184210526319</v>
      </c>
      <c r="P11" s="22">
        <v>3.8598684210526319</v>
      </c>
      <c r="Q11" s="22">
        <v>4.1663157894736846</v>
      </c>
      <c r="R11" s="22">
        <v>7.4235526315789482</v>
      </c>
      <c r="S11" s="22">
        <v>0.90894736842105261</v>
      </c>
      <c r="T11" s="22">
        <v>0.22723684210526315</v>
      </c>
      <c r="U11" s="22">
        <v>0.45991432703819302</v>
      </c>
      <c r="V11" s="22">
        <v>19.013552631578946</v>
      </c>
      <c r="W11" s="22">
        <v>0.92000374076498648</v>
      </c>
      <c r="X11" s="22">
        <v>7.0348684210526313</v>
      </c>
      <c r="Y11" s="14">
        <f t="shared" ca="1" si="2"/>
        <v>2.0312237918048019</v>
      </c>
      <c r="Z11" s="14">
        <f t="shared" ca="1" si="3"/>
        <v>2.1209803185201039</v>
      </c>
      <c r="AA11" s="14">
        <f t="shared" ca="1" si="4"/>
        <v>-0.64448077183033481</v>
      </c>
      <c r="AB11" s="14">
        <f t="shared" ca="1" si="5"/>
        <v>1.8088962423776018</v>
      </c>
      <c r="AC11" s="14">
        <f t="shared" ca="1" si="6"/>
        <v>-0.25633151942712329</v>
      </c>
      <c r="AD11" s="14">
        <f t="shared" ca="1" si="7"/>
        <v>-0.81555989697918585</v>
      </c>
      <c r="AE11" s="14">
        <f ca="1">U$4*AO11</f>
        <v>-0.47492376046765022</v>
      </c>
      <c r="AF11" s="15">
        <f ca="1">AP11*W$4</f>
        <v>3.0288576060473291</v>
      </c>
      <c r="AG11" s="12">
        <f t="shared" ca="1" si="8"/>
        <v>6.7986620100455433</v>
      </c>
      <c r="AH11" s="14">
        <f t="shared" ca="1" si="9"/>
        <v>2.2356542451785533</v>
      </c>
      <c r="AI11" s="14">
        <f t="shared" ca="1" si="10"/>
        <v>2.0312237918048019</v>
      </c>
      <c r="AJ11" s="14">
        <f t="shared" ca="1" si="11"/>
        <v>2.1209803185201039</v>
      </c>
      <c r="AK11" s="14">
        <f t="shared" ca="1" si="12"/>
        <v>-0.64448077183033481</v>
      </c>
      <c r="AL11" s="14">
        <f t="shared" ca="1" si="13"/>
        <v>1.8088962423776018</v>
      </c>
      <c r="AM11" s="14">
        <f t="shared" ca="1" si="14"/>
        <v>-0.25633151942712329</v>
      </c>
      <c r="AN11" s="14">
        <f t="shared" ca="1" si="15"/>
        <v>-0.81555989697918585</v>
      </c>
      <c r="AO11" s="14">
        <f t="shared" ca="1" si="17"/>
        <v>-0.47492376046765022</v>
      </c>
      <c r="AP11" s="14">
        <f ca="1">(AV11-$AP$3)/$AP$4</f>
        <v>3.0288576060473291</v>
      </c>
      <c r="AQ11" s="22">
        <f t="shared" si="18"/>
        <v>8.7446052631578954</v>
      </c>
      <c r="AR11" s="22">
        <f t="shared" si="19"/>
        <v>6.4721052631578946</v>
      </c>
      <c r="AS11" s="22">
        <f ca="1">(U11-AS$3)</f>
        <v>-1.6060378149918952E-2</v>
      </c>
      <c r="AT11" s="22">
        <f ca="1">(W11-AT$3)</f>
        <v>0.11990104902487131</v>
      </c>
      <c r="AU11" s="11">
        <f ca="1">AS11*V11</f>
        <v>-0.3053648452365445</v>
      </c>
      <c r="AV11" s="11">
        <f ca="1">AT11*X11</f>
        <v>0.84348810343615055</v>
      </c>
    </row>
    <row r="12" spans="1:48">
      <c r="A12">
        <v>7</v>
      </c>
      <c r="B12" s="27" t="str">
        <f t="shared" si="16"/>
        <v>Joel Embiid</v>
      </c>
      <c r="C12" s="21">
        <v>50.171879830316691</v>
      </c>
      <c r="D12" s="12">
        <f t="shared" ca="1" si="0"/>
        <v>50.943198786438117</v>
      </c>
      <c r="E12" s="12">
        <f t="shared" ca="1" si="1"/>
        <v>50.943198786438117</v>
      </c>
      <c r="F12" s="29">
        <f ca="1">SUM(AI12:AN12,AP12,AO12)+$A$4</f>
        <v>9.528693358867768</v>
      </c>
      <c r="G12" s="29">
        <f ca="1">SUM(Y12:AF12)+$A$4</f>
        <v>9.528693358867768</v>
      </c>
      <c r="H12" s="10">
        <v>1</v>
      </c>
      <c r="I12" s="10">
        <v>0</v>
      </c>
      <c r="J12" t="e">
        <f>VLOOKUP(N12,Schedule!#REF!,2,0)</f>
        <v>#REF!</v>
      </c>
      <c r="K12" s="17">
        <v>7</v>
      </c>
      <c r="L12" s="17" t="s">
        <v>36</v>
      </c>
      <c r="M12" s="17" t="s">
        <v>22</v>
      </c>
      <c r="N12" s="17" t="s">
        <v>37</v>
      </c>
      <c r="O12" s="22">
        <v>27.557903225806452</v>
      </c>
      <c r="P12" s="22">
        <v>1.1251612903225807</v>
      </c>
      <c r="Q12" s="22">
        <v>10.63241935483871</v>
      </c>
      <c r="R12" s="22">
        <v>2.8701612903225806</v>
      </c>
      <c r="S12" s="22">
        <v>0.91322580645161289</v>
      </c>
      <c r="T12" s="22">
        <v>1.3698387096774194</v>
      </c>
      <c r="U12" s="22">
        <v>0.50390117035110538</v>
      </c>
      <c r="V12" s="22">
        <v>17.612580645161291</v>
      </c>
      <c r="W12" s="22">
        <v>0.84999921052216065</v>
      </c>
      <c r="X12" s="22">
        <v>10.215</v>
      </c>
      <c r="Y12" s="14">
        <f t="shared" ca="1" si="2"/>
        <v>1.9854457554787288</v>
      </c>
      <c r="Z12" s="14">
        <f t="shared" ca="1" si="3"/>
        <v>-0.59468353099581905</v>
      </c>
      <c r="AA12" s="14">
        <f t="shared" ca="1" si="4"/>
        <v>2.0586835525492355</v>
      </c>
      <c r="AB12" s="14">
        <f t="shared" ca="1" si="5"/>
        <v>-0.35913119910891694</v>
      </c>
      <c r="AC12" s="14">
        <f t="shared" ca="1" si="6"/>
        <v>-0.24267080214941503</v>
      </c>
      <c r="AD12" s="14">
        <f t="shared" ca="1" si="7"/>
        <v>1.2858386276197149</v>
      </c>
      <c r="AE12" s="14">
        <f ca="1">U$4*AO12</f>
        <v>0.76496897596568114</v>
      </c>
      <c r="AF12" s="15">
        <f ca="1">AP12*W$4</f>
        <v>1.8302419795085589</v>
      </c>
      <c r="AG12" s="12">
        <f t="shared" ca="1" si="8"/>
        <v>6.7286933588677682</v>
      </c>
      <c r="AH12" s="14">
        <f t="shared" ca="1" si="9"/>
        <v>2.2126459368078946</v>
      </c>
      <c r="AI12" s="14">
        <f t="shared" ca="1" si="10"/>
        <v>1.9854457554787288</v>
      </c>
      <c r="AJ12" s="14">
        <f t="shared" ca="1" si="11"/>
        <v>-0.59468353099581905</v>
      </c>
      <c r="AK12" s="14">
        <f t="shared" ca="1" si="12"/>
        <v>2.0586835525492355</v>
      </c>
      <c r="AL12" s="14">
        <f t="shared" ca="1" si="13"/>
        <v>-0.35913119910891694</v>
      </c>
      <c r="AM12" s="14">
        <f t="shared" ca="1" si="14"/>
        <v>-0.24267080214941503</v>
      </c>
      <c r="AN12" s="14">
        <f t="shared" ca="1" si="15"/>
        <v>1.2858386276197149</v>
      </c>
      <c r="AO12" s="14">
        <f t="shared" ca="1" si="17"/>
        <v>0.76496897596568114</v>
      </c>
      <c r="AP12" s="14">
        <f ca="1">(AV12-$AP$3)/$AP$4</f>
        <v>1.8302419795085589</v>
      </c>
      <c r="AQ12" s="22">
        <f t="shared" si="18"/>
        <v>8.8750000000000018</v>
      </c>
      <c r="AR12" s="22">
        <f t="shared" si="19"/>
        <v>8.6827419354838717</v>
      </c>
      <c r="AS12" s="22">
        <f ca="1">(U12-AS$3)</f>
        <v>2.7926465162993408E-2</v>
      </c>
      <c r="AT12" s="22">
        <f ca="1">(W12-AT$3)</f>
        <v>4.9896518782045485E-2</v>
      </c>
      <c r="AU12" s="11">
        <f ca="1">AS12*V12</f>
        <v>0.49185711981750874</v>
      </c>
      <c r="AV12" s="11">
        <f ca="1">AT12*X12</f>
        <v>0.50969293935859461</v>
      </c>
    </row>
    <row r="13" spans="1:48">
      <c r="A13">
        <v>8</v>
      </c>
      <c r="B13" s="27" t="str">
        <f t="shared" si="16"/>
        <v>Bradley Beal</v>
      </c>
      <c r="C13" s="21">
        <v>46.66108422424243</v>
      </c>
      <c r="D13" s="12">
        <f t="shared" ca="1" si="0"/>
        <v>47.688362113664958</v>
      </c>
      <c r="E13" s="12">
        <f t="shared" ca="1" si="1"/>
        <v>47.688362113664958</v>
      </c>
      <c r="F13" s="29">
        <f ca="1">SUM(AI13:AN13,AP13,AO13)+$A$4</f>
        <v>8.9198909803977813</v>
      </c>
      <c r="G13" s="29">
        <f ca="1">SUM(Y13:AF13)+$A$4</f>
        <v>8.9198909803977813</v>
      </c>
      <c r="H13" s="10">
        <v>1</v>
      </c>
      <c r="I13" s="10">
        <v>0</v>
      </c>
      <c r="J13" t="e">
        <f>VLOOKUP(N13,Schedule!#REF!,2,0)</f>
        <v>#REF!</v>
      </c>
      <c r="K13" s="17">
        <v>8</v>
      </c>
      <c r="L13" s="23" t="s">
        <v>38</v>
      </c>
      <c r="M13" s="17" t="s">
        <v>39</v>
      </c>
      <c r="N13" s="17" t="s">
        <v>40</v>
      </c>
      <c r="O13" s="22">
        <v>31.474242424242419</v>
      </c>
      <c r="P13" s="22">
        <v>2.5018181818181819</v>
      </c>
      <c r="Q13" s="22">
        <v>4.4887878787878783</v>
      </c>
      <c r="R13" s="22">
        <v>5.6700000000000008</v>
      </c>
      <c r="S13" s="22">
        <v>1.1812121212121212</v>
      </c>
      <c r="T13" s="22">
        <v>0.315</v>
      </c>
      <c r="U13" s="22">
        <v>0.47584982406301451</v>
      </c>
      <c r="V13" s="22">
        <v>23.46742424242424</v>
      </c>
      <c r="W13" s="22">
        <v>0.88400621431309645</v>
      </c>
      <c r="X13" s="22">
        <v>7.5095454545454547</v>
      </c>
      <c r="Y13" s="14">
        <f t="shared" ca="1" si="2"/>
        <v>2.666400053344117</v>
      </c>
      <c r="Z13" s="14">
        <f t="shared" ca="1" si="3"/>
        <v>0.77238693567734773</v>
      </c>
      <c r="AA13" s="14">
        <f t="shared" ca="1" si="4"/>
        <v>-0.50967082970206301</v>
      </c>
      <c r="AB13" s="14">
        <f t="shared" ca="1" si="5"/>
        <v>0.97396905505065401</v>
      </c>
      <c r="AC13" s="14">
        <f t="shared" ca="1" si="6"/>
        <v>0.6129884954935696</v>
      </c>
      <c r="AD13" s="14">
        <f t="shared" ca="1" si="7"/>
        <v>-0.65415164468390963</v>
      </c>
      <c r="AE13" s="14">
        <f ca="1">U$4*AO13</f>
        <v>-4.5579240830052508E-3</v>
      </c>
      <c r="AF13" s="15">
        <f ca="1">AP13*W$4</f>
        <v>2.2625268393010711</v>
      </c>
      <c r="AG13" s="12">
        <f t="shared" ca="1" si="8"/>
        <v>6.1198909803977815</v>
      </c>
      <c r="AH13" s="14">
        <f t="shared" ca="1" si="9"/>
        <v>2.0124489539471293</v>
      </c>
      <c r="AI13" s="14">
        <f t="shared" ca="1" si="10"/>
        <v>2.666400053344117</v>
      </c>
      <c r="AJ13" s="14">
        <f t="shared" ca="1" si="11"/>
        <v>0.77238693567734773</v>
      </c>
      <c r="AK13" s="14">
        <f t="shared" ca="1" si="12"/>
        <v>-0.50967082970206301</v>
      </c>
      <c r="AL13" s="14">
        <f t="shared" ca="1" si="13"/>
        <v>0.97396905505065401</v>
      </c>
      <c r="AM13" s="14">
        <f t="shared" ca="1" si="14"/>
        <v>0.6129884954935696</v>
      </c>
      <c r="AN13" s="14">
        <f t="shared" ca="1" si="15"/>
        <v>-0.65415164468390963</v>
      </c>
      <c r="AO13" s="14">
        <f t="shared" ca="1" si="17"/>
        <v>-4.5579240830052508E-3</v>
      </c>
      <c r="AP13" s="14">
        <f ca="1">(AV13-$AP$3)/$AP$4</f>
        <v>2.2625268393010711</v>
      </c>
      <c r="AQ13" s="22">
        <f t="shared" si="18"/>
        <v>11.166969696969696</v>
      </c>
      <c r="AR13" s="22">
        <f t="shared" si="19"/>
        <v>6.6384848484848487</v>
      </c>
      <c r="AS13" s="22">
        <f ca="1">(U13-AS$3)</f>
        <v>-1.2488112509745353E-4</v>
      </c>
      <c r="AT13" s="22">
        <f ca="1">(W13-AT$3)</f>
        <v>8.3903522572981282E-2</v>
      </c>
      <c r="AU13" s="11">
        <f ca="1">AS13*V13</f>
        <v>-2.9306383425331951E-3</v>
      </c>
      <c r="AV13" s="11">
        <f ca="1">AT13*X13</f>
        <v>0.63007731655828358</v>
      </c>
    </row>
    <row r="14" spans="1:48">
      <c r="A14">
        <v>9</v>
      </c>
      <c r="B14" s="27" t="str">
        <f t="shared" si="16"/>
        <v>Jayson Tatum</v>
      </c>
      <c r="C14" s="21">
        <v>45.653833333785911</v>
      </c>
      <c r="D14" s="12">
        <f t="shared" ca="1" si="0"/>
        <v>46.615352182385195</v>
      </c>
      <c r="E14" s="12">
        <f t="shared" ca="1" si="1"/>
        <v>46.615352182385195</v>
      </c>
      <c r="F14" s="29">
        <f ca="1">SUM(AI14:AN14,AP14,AO14)+$A$4</f>
        <v>8.719189358792768</v>
      </c>
      <c r="G14" s="29">
        <f ca="1">SUM(Y14:AF14)+$A$4</f>
        <v>8.719189358792768</v>
      </c>
      <c r="H14" s="10">
        <v>1</v>
      </c>
      <c r="I14" s="10">
        <v>0</v>
      </c>
      <c r="J14" t="e">
        <f>VLOOKUP(N14,Schedule!#REF!,2,0)</f>
        <v>#REF!</v>
      </c>
      <c r="K14" s="17">
        <v>9</v>
      </c>
      <c r="L14" s="17" t="s">
        <v>41</v>
      </c>
      <c r="M14" s="17" t="s">
        <v>33</v>
      </c>
      <c r="N14" s="17" t="s">
        <v>42</v>
      </c>
      <c r="O14" s="22">
        <v>27.752000000000002</v>
      </c>
      <c r="P14" s="22">
        <v>3.0920000000000001</v>
      </c>
      <c r="Q14" s="22">
        <v>7.5749333333333331</v>
      </c>
      <c r="R14" s="22">
        <v>4.6965333333333339</v>
      </c>
      <c r="S14" s="22">
        <v>1.212</v>
      </c>
      <c r="T14" s="22">
        <v>0.53026666666666666</v>
      </c>
      <c r="U14" s="22">
        <v>0.46078024616854618</v>
      </c>
      <c r="V14" s="22">
        <v>21.210400000000003</v>
      </c>
      <c r="W14" s="22">
        <v>0.86100446779371809</v>
      </c>
      <c r="X14" s="22">
        <v>5.9388000000000005</v>
      </c>
      <c r="Y14" s="14">
        <f t="shared" ca="1" si="2"/>
        <v>2.0191943727184434</v>
      </c>
      <c r="Z14" s="14">
        <f t="shared" ca="1" si="3"/>
        <v>1.3584589908045379</v>
      </c>
      <c r="AA14" s="14">
        <f t="shared" ca="1" si="4"/>
        <v>0.78049692097523404</v>
      </c>
      <c r="AB14" s="14">
        <f t="shared" ca="1" si="5"/>
        <v>0.51046783397541573</v>
      </c>
      <c r="AC14" s="14">
        <f t="shared" ca="1" si="6"/>
        <v>0.71129177923810172</v>
      </c>
      <c r="AD14" s="14">
        <f t="shared" ca="1" si="7"/>
        <v>-0.25824728939885255</v>
      </c>
      <c r="AE14" s="14">
        <f ca="1">U$4*AO14</f>
        <v>-0.50123219756134463</v>
      </c>
      <c r="AF14" s="15">
        <f ca="1">AP14*W$4</f>
        <v>1.2987589480412314</v>
      </c>
      <c r="AG14" s="12">
        <f t="shared" ca="1" si="8"/>
        <v>5.9191893587927673</v>
      </c>
      <c r="AH14" s="14">
        <f t="shared" ca="1" si="9"/>
        <v>1.9464507572883629</v>
      </c>
      <c r="AI14" s="14">
        <f t="shared" ca="1" si="10"/>
        <v>2.0191943727184434</v>
      </c>
      <c r="AJ14" s="14">
        <f t="shared" ca="1" si="11"/>
        <v>1.3584589908045379</v>
      </c>
      <c r="AK14" s="14">
        <f t="shared" ca="1" si="12"/>
        <v>0.78049692097523404</v>
      </c>
      <c r="AL14" s="14">
        <f t="shared" ca="1" si="13"/>
        <v>0.51046783397541573</v>
      </c>
      <c r="AM14" s="14">
        <f t="shared" ca="1" si="14"/>
        <v>0.71129177923810172</v>
      </c>
      <c r="AN14" s="14">
        <f t="shared" ca="1" si="15"/>
        <v>-0.25824728939885255</v>
      </c>
      <c r="AO14" s="14">
        <f t="shared" ca="1" si="17"/>
        <v>-0.50123219756134463</v>
      </c>
      <c r="AP14" s="14">
        <f ca="1">(AV14-$AP$3)/$AP$4</f>
        <v>1.2987589480412314</v>
      </c>
      <c r="AQ14" s="22">
        <f t="shared" si="18"/>
        <v>9.7733333333333334</v>
      </c>
      <c r="AR14" s="22">
        <f t="shared" si="19"/>
        <v>5.1133333333333333</v>
      </c>
      <c r="AS14" s="22">
        <f ca="1">(U14-AS$3)</f>
        <v>-1.5194459019565787E-2</v>
      </c>
      <c r="AT14" s="22">
        <f ca="1">(W14-AT$3)</f>
        <v>6.0901776053602918E-2</v>
      </c>
      <c r="AU14" s="11">
        <f ca="1">AS14*V14</f>
        <v>-0.3222805535885982</v>
      </c>
      <c r="AV14" s="11">
        <f ca="1">AT14*X14</f>
        <v>0.36168346762713705</v>
      </c>
    </row>
    <row r="15" spans="1:48">
      <c r="A15">
        <v>10</v>
      </c>
      <c r="B15" s="27" t="str">
        <f t="shared" si="16"/>
        <v>Kyrie Irving</v>
      </c>
      <c r="C15" s="21">
        <v>45.135629550970023</v>
      </c>
      <c r="D15" s="12">
        <f t="shared" ca="1" si="0"/>
        <v>46.017258244607717</v>
      </c>
      <c r="E15" s="12">
        <f t="shared" ca="1" si="1"/>
        <v>46.017258244607717</v>
      </c>
      <c r="F15" s="29">
        <f ca="1">SUM(AI15:AN15,AP15,AO15)+$A$4</f>
        <v>8.6073186112024835</v>
      </c>
      <c r="G15" s="29">
        <f ca="1">SUM(Y15:AF15)+$A$4</f>
        <v>8.6073186112024835</v>
      </c>
      <c r="H15" s="10">
        <v>1</v>
      </c>
      <c r="I15" s="10">
        <v>0</v>
      </c>
      <c r="J15" t="e">
        <f>VLOOKUP(N15,Schedule!#REF!,2,0)</f>
        <v>#REF!</v>
      </c>
      <c r="K15" s="17">
        <v>10</v>
      </c>
      <c r="L15" s="17" t="s">
        <v>43</v>
      </c>
      <c r="M15" s="17" t="s">
        <v>25</v>
      </c>
      <c r="N15" s="17" t="s">
        <v>26</v>
      </c>
      <c r="O15" s="22">
        <v>24.186530612244901</v>
      </c>
      <c r="P15" s="22">
        <v>2.5183673469387755</v>
      </c>
      <c r="Q15" s="22">
        <v>4.6748979591836735</v>
      </c>
      <c r="R15" s="22">
        <v>5.1000000000000005</v>
      </c>
      <c r="S15" s="22">
        <v>1.3459183673469388</v>
      </c>
      <c r="T15" s="22">
        <v>0.63755102040816325</v>
      </c>
      <c r="U15" s="22">
        <v>0.50097161108753441</v>
      </c>
      <c r="V15" s="22">
        <v>18.273877551020409</v>
      </c>
      <c r="W15" s="22">
        <v>0.91897928415880292</v>
      </c>
      <c r="X15" s="22">
        <v>3.6548979591836734</v>
      </c>
      <c r="Y15" s="14">
        <f t="shared" ca="1" si="2"/>
        <v>1.3992476366265012</v>
      </c>
      <c r="Z15" s="14">
        <f t="shared" ca="1" si="3"/>
        <v>0.78882085979033612</v>
      </c>
      <c r="AA15" s="14">
        <f t="shared" ca="1" si="4"/>
        <v>-0.43186723057196974</v>
      </c>
      <c r="AB15" s="14">
        <f t="shared" ca="1" si="5"/>
        <v>0.70257229842873314</v>
      </c>
      <c r="AC15" s="14">
        <f t="shared" ca="1" si="6"/>
        <v>1.1388826293454342</v>
      </c>
      <c r="AD15" s="14">
        <f t="shared" ca="1" si="7"/>
        <v>-6.093693216657689E-2</v>
      </c>
      <c r="AE15" s="14">
        <f ca="1">U$4*AO15</f>
        <v>0.7104308722468069</v>
      </c>
      <c r="AF15" s="15">
        <f ca="1">AP15*W$4</f>
        <v>1.5601684775032192</v>
      </c>
      <c r="AG15" s="12">
        <f t="shared" ca="1" si="8"/>
        <v>5.8073186112024837</v>
      </c>
      <c r="AH15" s="14">
        <f t="shared" ca="1" si="9"/>
        <v>1.9096634730562643</v>
      </c>
      <c r="AI15" s="14">
        <f t="shared" ca="1" si="10"/>
        <v>1.3992476366265012</v>
      </c>
      <c r="AJ15" s="14">
        <f t="shared" ca="1" si="11"/>
        <v>0.78882085979033612</v>
      </c>
      <c r="AK15" s="14">
        <f t="shared" ca="1" si="12"/>
        <v>-0.43186723057196974</v>
      </c>
      <c r="AL15" s="14">
        <f t="shared" ca="1" si="13"/>
        <v>0.70257229842873314</v>
      </c>
      <c r="AM15" s="14">
        <f t="shared" ca="1" si="14"/>
        <v>1.1388826293454342</v>
      </c>
      <c r="AN15" s="14">
        <f t="shared" ca="1" si="15"/>
        <v>-6.093693216657689E-2</v>
      </c>
      <c r="AO15" s="14">
        <f t="shared" ca="1" si="17"/>
        <v>0.7104308722468069</v>
      </c>
      <c r="AP15" s="14">
        <f ca="1">(AV15-$AP$3)/$AP$4</f>
        <v>1.5601684775032192</v>
      </c>
      <c r="AQ15" s="22">
        <f t="shared" si="18"/>
        <v>9.154693877551022</v>
      </c>
      <c r="AR15" s="22">
        <f t="shared" si="19"/>
        <v>3.3587755102040817</v>
      </c>
      <c r="AS15" s="22">
        <f ca="1">(U15-AS$3)</f>
        <v>2.4996905899422439E-2</v>
      </c>
      <c r="AT15" s="22">
        <f ca="1">(W15-AT$3)</f>
        <v>0.11887659241868775</v>
      </c>
      <c r="AU15" s="11">
        <f ca="1">AS15*V15</f>
        <v>0.45679039756042533</v>
      </c>
      <c r="AV15" s="11">
        <f ca="1">AT15*X15</f>
        <v>0.43448181502577121</v>
      </c>
    </row>
    <row r="16" spans="1:48">
      <c r="A16">
        <v>11</v>
      </c>
      <c r="B16" s="27" t="str">
        <f t="shared" si="16"/>
        <v>Giannis Antetokounmpo</v>
      </c>
      <c r="C16" s="21">
        <v>43.97324460727026</v>
      </c>
      <c r="D16" s="12">
        <f t="shared" ca="1" si="0"/>
        <v>44.736677658422131</v>
      </c>
      <c r="E16" s="12">
        <f t="shared" ca="1" si="1"/>
        <v>44.736677658422131</v>
      </c>
      <c r="F16" s="29">
        <f ca="1">SUM(AI16:AN16,AP16,AO16)+$A$4</f>
        <v>8.367791843787753</v>
      </c>
      <c r="G16" s="29">
        <f ca="1">SUM(Y16:AF16)+$A$4</f>
        <v>8.367791843787753</v>
      </c>
      <c r="H16" s="10">
        <v>1</v>
      </c>
      <c r="I16" s="10">
        <v>0</v>
      </c>
      <c r="J16" t="e">
        <f>VLOOKUP(N16,Schedule!#REF!,2,0)</f>
        <v>#REF!</v>
      </c>
      <c r="K16" s="17">
        <v>11</v>
      </c>
      <c r="L16" s="17" t="s">
        <v>44</v>
      </c>
      <c r="M16" s="17" t="s">
        <v>45</v>
      </c>
      <c r="N16" s="17" t="s">
        <v>46</v>
      </c>
      <c r="O16" s="22">
        <v>27.862361111111113</v>
      </c>
      <c r="P16" s="22">
        <v>1.0938888888888889</v>
      </c>
      <c r="Q16" s="22">
        <v>11.368472222222222</v>
      </c>
      <c r="R16" s="22">
        <v>5.8630555555555555</v>
      </c>
      <c r="S16" s="22">
        <v>1.1440277777777779</v>
      </c>
      <c r="T16" s="22">
        <v>1.2155555555555555</v>
      </c>
      <c r="U16" s="22">
        <v>0.57533038960228422</v>
      </c>
      <c r="V16" s="22">
        <v>17.803055555555559</v>
      </c>
      <c r="W16" s="22">
        <v>0.69200293694741022</v>
      </c>
      <c r="X16" s="22">
        <v>9.0797222222222231</v>
      </c>
      <c r="Y16" s="14">
        <f t="shared" ca="1" si="2"/>
        <v>2.038383434012808</v>
      </c>
      <c r="Z16" s="14">
        <f t="shared" ca="1" si="3"/>
        <v>-0.62573816536844207</v>
      </c>
      <c r="AA16" s="14">
        <f t="shared" ca="1" si="4"/>
        <v>2.3663915612216999</v>
      </c>
      <c r="AB16" s="14">
        <f t="shared" ca="1" si="5"/>
        <v>1.0658894964991112</v>
      </c>
      <c r="AC16" s="14">
        <f t="shared" ca="1" si="6"/>
        <v>0.49426180150257326</v>
      </c>
      <c r="AD16" s="14">
        <f t="shared" ca="1" si="7"/>
        <v>1.0020911547304536</v>
      </c>
      <c r="AE16" s="14">
        <f ca="1">U$4*AO16</f>
        <v>2.7510097295969782</v>
      </c>
      <c r="AF16" s="15">
        <f ca="1">AP16*W$4</f>
        <v>-3.5244971684074273</v>
      </c>
      <c r="AG16" s="12">
        <f t="shared" ca="1" si="8"/>
        <v>5.567791843787754</v>
      </c>
      <c r="AH16" s="14">
        <f t="shared" ca="1" si="9"/>
        <v>1.8308981169298095</v>
      </c>
      <c r="AI16" s="14">
        <f t="shared" ca="1" si="10"/>
        <v>2.038383434012808</v>
      </c>
      <c r="AJ16" s="14">
        <f t="shared" ca="1" si="11"/>
        <v>-0.62573816536844207</v>
      </c>
      <c r="AK16" s="14">
        <f t="shared" ca="1" si="12"/>
        <v>2.3663915612216999</v>
      </c>
      <c r="AL16" s="14">
        <f t="shared" ca="1" si="13"/>
        <v>1.0658894964991112</v>
      </c>
      <c r="AM16" s="14">
        <f t="shared" ca="1" si="14"/>
        <v>0.49426180150257326</v>
      </c>
      <c r="AN16" s="14">
        <f t="shared" ca="1" si="15"/>
        <v>1.0020911547304536</v>
      </c>
      <c r="AO16" s="14">
        <f t="shared" ca="1" si="17"/>
        <v>2.7510097295969782</v>
      </c>
      <c r="AP16" s="14">
        <f ca="1">(AV16-$AP$3)/$AP$4</f>
        <v>-3.5244971684074273</v>
      </c>
      <c r="AQ16" s="22">
        <f t="shared" si="18"/>
        <v>10.242638888888891</v>
      </c>
      <c r="AR16" s="22">
        <f t="shared" si="19"/>
        <v>6.2831944444444447</v>
      </c>
      <c r="AS16" s="22">
        <f ca="1">(U16-AS$3)</f>
        <v>9.9355684414172252E-2</v>
      </c>
      <c r="AT16" s="22">
        <f ca="1">(W16-AT$3)</f>
        <v>-0.10809975479270495</v>
      </c>
      <c r="AU16" s="11">
        <f ca="1">AS16*V16</f>
        <v>1.7688347693857542</v>
      </c>
      <c r="AV16" s="11">
        <f ca="1">AT16*X16</f>
        <v>-0.98151574580809642</v>
      </c>
    </row>
    <row r="17" spans="1:48">
      <c r="A17">
        <v>12</v>
      </c>
      <c r="B17" s="27" t="str">
        <f t="shared" si="16"/>
        <v>Paul George</v>
      </c>
      <c r="C17" s="21">
        <v>43.524657175161451</v>
      </c>
      <c r="D17" s="12">
        <f t="shared" ca="1" si="0"/>
        <v>44.443833790097266</v>
      </c>
      <c r="E17" s="12">
        <f t="shared" ca="1" si="1"/>
        <v>44.443833790097266</v>
      </c>
      <c r="F17" s="29">
        <f ca="1">SUM(AI17:AN17,AP17,AO17)+$A$4</f>
        <v>8.3130167317067425</v>
      </c>
      <c r="G17" s="29">
        <f ca="1">SUM(Y17:AF17)+$A$4</f>
        <v>8.3130167317067425</v>
      </c>
      <c r="H17" s="10">
        <v>1</v>
      </c>
      <c r="I17" s="10">
        <v>0</v>
      </c>
      <c r="J17" t="e">
        <f>VLOOKUP(N17,Schedule!#REF!,2,0)</f>
        <v>#REF!</v>
      </c>
      <c r="K17" s="17">
        <v>12</v>
      </c>
      <c r="L17" s="17" t="s">
        <v>47</v>
      </c>
      <c r="M17" s="17" t="s">
        <v>48</v>
      </c>
      <c r="N17" s="17" t="s">
        <v>49</v>
      </c>
      <c r="O17" s="22">
        <v>26.182499999999997</v>
      </c>
      <c r="P17" s="22">
        <v>3.2467647058823528</v>
      </c>
      <c r="Q17" s="22">
        <v>6.8722058823529411</v>
      </c>
      <c r="R17" s="22">
        <v>5.4697058823529412</v>
      </c>
      <c r="S17" s="22">
        <v>1.1920588235294118</v>
      </c>
      <c r="T17" s="22">
        <v>0.42073529411764704</v>
      </c>
      <c r="U17" s="22">
        <v>0.45674081538894734</v>
      </c>
      <c r="V17" s="22">
        <v>19.846176470588233</v>
      </c>
      <c r="W17" s="22">
        <v>0.86500291113110683</v>
      </c>
      <c r="X17" s="22">
        <v>5.5567647058823528</v>
      </c>
      <c r="Y17" s="14">
        <f t="shared" ca="1" si="2"/>
        <v>1.7462972317030405</v>
      </c>
      <c r="Z17" s="14">
        <f t="shared" ca="1" si="3"/>
        <v>1.5121459842755609</v>
      </c>
      <c r="AA17" s="14">
        <f t="shared" ca="1" si="4"/>
        <v>0.48672065277140841</v>
      </c>
      <c r="AB17" s="14">
        <f t="shared" ca="1" si="5"/>
        <v>0.87860208329651124</v>
      </c>
      <c r="AC17" s="14">
        <f t="shared" ca="1" si="6"/>
        <v>0.64762116580305806</v>
      </c>
      <c r="AD17" s="14">
        <f t="shared" ca="1" si="7"/>
        <v>-0.45969021646221742</v>
      </c>
      <c r="AE17" s="14">
        <f ca="1">U$4*AO17</f>
        <v>-0.59367509732252488</v>
      </c>
      <c r="AF17" s="15">
        <f ca="1">AP17*W$4</f>
        <v>1.2949949276419046</v>
      </c>
      <c r="AG17" s="12">
        <f t="shared" ca="1" si="8"/>
        <v>5.5130167317067427</v>
      </c>
      <c r="AH17" s="14">
        <f t="shared" ca="1" si="9"/>
        <v>1.8128860122431665</v>
      </c>
      <c r="AI17" s="14">
        <f t="shared" ca="1" si="10"/>
        <v>1.7462972317030405</v>
      </c>
      <c r="AJ17" s="14">
        <f t="shared" ca="1" si="11"/>
        <v>1.5121459842755609</v>
      </c>
      <c r="AK17" s="14">
        <f t="shared" ca="1" si="12"/>
        <v>0.48672065277140841</v>
      </c>
      <c r="AL17" s="14">
        <f t="shared" ca="1" si="13"/>
        <v>0.87860208329651124</v>
      </c>
      <c r="AM17" s="14">
        <f t="shared" ca="1" si="14"/>
        <v>0.64762116580305806</v>
      </c>
      <c r="AN17" s="14">
        <f t="shared" ca="1" si="15"/>
        <v>-0.45969021646221742</v>
      </c>
      <c r="AO17" s="14">
        <f t="shared" ca="1" si="17"/>
        <v>-0.59367509732252488</v>
      </c>
      <c r="AP17" s="14">
        <f ca="1">(AV17-$AP$3)/$AP$4</f>
        <v>1.2949949276419046</v>
      </c>
      <c r="AQ17" s="22">
        <f t="shared" si="18"/>
        <v>9.0645588235294099</v>
      </c>
      <c r="AR17" s="22">
        <f t="shared" si="19"/>
        <v>4.8066176470588236</v>
      </c>
      <c r="AS17" s="22">
        <f ca="1">(U17-AS$3)</f>
        <v>-1.9233889799164627E-2</v>
      </c>
      <c r="AT17" s="22">
        <f ca="1">(W17-AT$3)</f>
        <v>6.4900219390991665E-2</v>
      </c>
      <c r="AU17" s="11">
        <f ca="1">AS17*V17</f>
        <v>-0.38171917117006804</v>
      </c>
      <c r="AV17" s="11">
        <f ca="1">AT17*X17</f>
        <v>0.36063524851588397</v>
      </c>
    </row>
    <row r="18" spans="1:48">
      <c r="A18">
        <v>13</v>
      </c>
      <c r="B18" s="27" t="str">
        <f t="shared" si="16"/>
        <v>Luka Doncic</v>
      </c>
      <c r="C18" s="21">
        <v>43.319669682775604</v>
      </c>
      <c r="D18" s="12">
        <f t="shared" ca="1" si="0"/>
        <v>44.291033046409098</v>
      </c>
      <c r="E18" s="12">
        <f t="shared" ca="1" si="1"/>
        <v>44.291033046409098</v>
      </c>
      <c r="F18" s="29">
        <f ca="1">SUM(AI18:AN18,AP18,AO18)+$A$4</f>
        <v>8.2844360483908943</v>
      </c>
      <c r="G18" s="29">
        <f ca="1">SUM(Y18:AF18)+$A$4</f>
        <v>8.2844360483908943</v>
      </c>
      <c r="H18" s="10">
        <v>1</v>
      </c>
      <c r="I18" s="10">
        <v>0</v>
      </c>
      <c r="J18" t="e">
        <f>VLOOKUP(N18,Schedule!#REF!,2,0)</f>
        <v>#REF!</v>
      </c>
      <c r="K18" s="17">
        <v>13</v>
      </c>
      <c r="L18" s="17" t="s">
        <v>50</v>
      </c>
      <c r="M18" s="17" t="s">
        <v>28</v>
      </c>
      <c r="N18" s="17" t="s">
        <v>51</v>
      </c>
      <c r="O18" s="22">
        <v>28.40733333333333</v>
      </c>
      <c r="P18" s="22">
        <v>3.2225333333333332</v>
      </c>
      <c r="Q18" s="22">
        <v>7.9410666666666669</v>
      </c>
      <c r="R18" s="22">
        <v>8.8712</v>
      </c>
      <c r="S18" s="22">
        <v>1.0730666666666666</v>
      </c>
      <c r="T18" s="22">
        <v>0.50080000000000002</v>
      </c>
      <c r="U18" s="22">
        <v>0.47186089558294031</v>
      </c>
      <c r="V18" s="22">
        <v>21.0336</v>
      </c>
      <c r="W18" s="22">
        <v>0.74600540691712502</v>
      </c>
      <c r="X18" s="22">
        <v>7.1513333333333335</v>
      </c>
      <c r="Y18" s="14">
        <f t="shared" ca="1" si="2"/>
        <v>2.1331405932209977</v>
      </c>
      <c r="Z18" s="14">
        <f t="shared" ca="1" si="3"/>
        <v>1.488083348201636</v>
      </c>
      <c r="AA18" s="14">
        <f t="shared" ca="1" si="4"/>
        <v>0.93355951185827535</v>
      </c>
      <c r="AB18" s="14">
        <f t="shared" ca="1" si="5"/>
        <v>2.4981713310122196</v>
      </c>
      <c r="AC18" s="14">
        <f t="shared" ca="1" si="6"/>
        <v>0.2676885358208474</v>
      </c>
      <c r="AD18" s="14">
        <f t="shared" ca="1" si="7"/>
        <v>-0.31244045292811706</v>
      </c>
      <c r="AE18" s="14">
        <f ca="1">U$4*AO18</f>
        <v>-0.13457446389937222</v>
      </c>
      <c r="AF18" s="15">
        <f ca="1">AP18*W$4</f>
        <v>-1.3891923548955929</v>
      </c>
      <c r="AG18" s="12">
        <f t="shared" ca="1" si="8"/>
        <v>5.4844360483908954</v>
      </c>
      <c r="AH18" s="14">
        <f t="shared" ca="1" si="9"/>
        <v>1.8034876150451933</v>
      </c>
      <c r="AI18" s="14">
        <f t="shared" ca="1" si="10"/>
        <v>2.1331405932209977</v>
      </c>
      <c r="AJ18" s="14">
        <f t="shared" ca="1" si="11"/>
        <v>1.488083348201636</v>
      </c>
      <c r="AK18" s="14">
        <f t="shared" ca="1" si="12"/>
        <v>0.93355951185827535</v>
      </c>
      <c r="AL18" s="14">
        <f t="shared" ca="1" si="13"/>
        <v>2.4981713310122196</v>
      </c>
      <c r="AM18" s="14">
        <f t="shared" ca="1" si="14"/>
        <v>0.2676885358208474</v>
      </c>
      <c r="AN18" s="14">
        <f t="shared" ca="1" si="15"/>
        <v>-0.31244045292811706</v>
      </c>
      <c r="AO18" s="14">
        <f t="shared" ca="1" si="17"/>
        <v>-0.13457446389937222</v>
      </c>
      <c r="AP18" s="14">
        <f ca="1">(AV18-$AP$3)/$AP$4</f>
        <v>-1.3891923548955929</v>
      </c>
      <c r="AQ18" s="22">
        <f t="shared" si="18"/>
        <v>9.9249333333333336</v>
      </c>
      <c r="AR18" s="22">
        <f t="shared" si="19"/>
        <v>5.3349333333333337</v>
      </c>
      <c r="AS18" s="22">
        <f ca="1">(U18-AS$3)</f>
        <v>-4.1138096051716588E-3</v>
      </c>
      <c r="AT18" s="22">
        <f ca="1">(W18-AT$3)</f>
        <v>-5.4097284822990144E-2</v>
      </c>
      <c r="AU18" s="11">
        <f ca="1">AS18*V18</f>
        <v>-8.6528225711338599E-2</v>
      </c>
      <c r="AV18" s="11">
        <f ca="1">AT18*X18</f>
        <v>-0.38686771619747684</v>
      </c>
    </row>
    <row r="19" spans="1:48">
      <c r="A19">
        <v>14</v>
      </c>
      <c r="B19" s="27" t="str">
        <f t="shared" si="16"/>
        <v>Jimmy Butler</v>
      </c>
      <c r="C19" s="21">
        <v>42.071874400178054</v>
      </c>
      <c r="D19" s="12">
        <f t="shared" ca="1" si="0"/>
        <v>42.843433089290059</v>
      </c>
      <c r="E19" s="12">
        <f t="shared" ca="1" si="1"/>
        <v>42.843433089290059</v>
      </c>
      <c r="F19" s="29">
        <f ca="1">SUM(AI19:AN19,AP19,AO19)+$A$4</f>
        <v>8.013669068179798</v>
      </c>
      <c r="G19" s="29">
        <f ca="1">SUM(Y19:AF19)+$A$4</f>
        <v>8.013669068179798</v>
      </c>
      <c r="H19" s="10">
        <v>1</v>
      </c>
      <c r="I19" s="10">
        <v>0</v>
      </c>
      <c r="J19" t="e">
        <f>VLOOKUP(N19,Schedule!#REF!,2,0)</f>
        <v>#REF!</v>
      </c>
      <c r="K19" s="17">
        <v>14</v>
      </c>
      <c r="L19" s="17" t="s">
        <v>52</v>
      </c>
      <c r="M19" s="17" t="s">
        <v>48</v>
      </c>
      <c r="N19" s="17" t="s">
        <v>53</v>
      </c>
      <c r="O19" s="22">
        <v>20.908437499999998</v>
      </c>
      <c r="P19" s="22">
        <v>0.55843750000000003</v>
      </c>
      <c r="Q19" s="22">
        <v>6.9417187499999997</v>
      </c>
      <c r="R19" s="22">
        <v>6.5251562500000002</v>
      </c>
      <c r="S19" s="22">
        <v>1.8048437500000001</v>
      </c>
      <c r="T19" s="22">
        <v>0.34703125000000001</v>
      </c>
      <c r="U19" s="22">
        <v>0.47837849824810397</v>
      </c>
      <c r="V19" s="22">
        <v>14.091875</v>
      </c>
      <c r="W19" s="22">
        <v>0.85499747111232161</v>
      </c>
      <c r="X19" s="22">
        <v>8.0321874999999991</v>
      </c>
      <c r="Y19" s="14">
        <f t="shared" ca="1" si="2"/>
        <v>0.82926851059023776</v>
      </c>
      <c r="Z19" s="14">
        <f t="shared" ca="1" si="3"/>
        <v>-1.1574609095112354</v>
      </c>
      <c r="AA19" s="14">
        <f t="shared" ca="1" si="4"/>
        <v>0.51578061168009937</v>
      </c>
      <c r="AB19" s="14">
        <f t="shared" ca="1" si="5"/>
        <v>1.3811385860242755</v>
      </c>
      <c r="AC19" s="14">
        <f t="shared" ca="1" si="6"/>
        <v>2.604195404523475</v>
      </c>
      <c r="AD19" s="14">
        <f t="shared" ca="1" si="7"/>
        <v>-0.59524186744533192</v>
      </c>
      <c r="AE19" s="14">
        <f ca="1">U$4*AO19</f>
        <v>5.2683026868352488E-2</v>
      </c>
      <c r="AF19" s="15">
        <f ca="1">AP19*W$4</f>
        <v>1.5833057054499251</v>
      </c>
      <c r="AG19" s="12">
        <f t="shared" ca="1" si="8"/>
        <v>5.2136690681797973</v>
      </c>
      <c r="AH19" s="14">
        <f t="shared" ca="1" si="9"/>
        <v>1.7144493089978152</v>
      </c>
      <c r="AI19" s="14">
        <f t="shared" ca="1" si="10"/>
        <v>0.82926851059023776</v>
      </c>
      <c r="AJ19" s="14">
        <f t="shared" ca="1" si="11"/>
        <v>-1.1574609095112354</v>
      </c>
      <c r="AK19" s="14">
        <f t="shared" ca="1" si="12"/>
        <v>0.51578061168009937</v>
      </c>
      <c r="AL19" s="14">
        <f t="shared" ca="1" si="13"/>
        <v>1.3811385860242755</v>
      </c>
      <c r="AM19" s="14">
        <f t="shared" ca="1" si="14"/>
        <v>2.604195404523475</v>
      </c>
      <c r="AN19" s="14">
        <f t="shared" ca="1" si="15"/>
        <v>-0.59524186744533192</v>
      </c>
      <c r="AO19" s="14">
        <f t="shared" ca="1" si="17"/>
        <v>5.2683026868352488E-2</v>
      </c>
      <c r="AP19" s="14">
        <f ca="1">(AV19-$AP$3)/$AP$4</f>
        <v>1.5833057054499251</v>
      </c>
      <c r="AQ19" s="22">
        <f t="shared" si="18"/>
        <v>6.74125</v>
      </c>
      <c r="AR19" s="22">
        <f t="shared" si="19"/>
        <v>6.8674999999999997</v>
      </c>
      <c r="AS19" s="22">
        <f ca="1">(U19-AS$3)</f>
        <v>2.4037930599919988E-3</v>
      </c>
      <c r="AT19" s="22">
        <f ca="1">(W19-AT$3)</f>
        <v>5.4894779372206437E-2</v>
      </c>
      <c r="AU19" s="11">
        <f ca="1">AS19*V19</f>
        <v>3.3873951327274748E-2</v>
      </c>
      <c r="AV19" s="11">
        <f ca="1">AT19*X19</f>
        <v>0.44092516068869436</v>
      </c>
    </row>
    <row r="20" spans="1:48">
      <c r="A20">
        <v>15</v>
      </c>
      <c r="B20" s="27" t="str">
        <f t="shared" si="16"/>
        <v>Anthony Davis</v>
      </c>
      <c r="C20" s="21">
        <v>40.855788136632846</v>
      </c>
      <c r="D20" s="12">
        <f t="shared" ca="1" si="0"/>
        <v>41.5119616886724</v>
      </c>
      <c r="E20" s="12">
        <f t="shared" ca="1" si="1"/>
        <v>41.5119616886724</v>
      </c>
      <c r="F20" s="29">
        <f ca="1">SUM(AI20:AN20,AP20,AO20)+$A$4</f>
        <v>7.7646234056611467</v>
      </c>
      <c r="G20" s="29">
        <f ca="1">SUM(Y20:AF20)+$A$4</f>
        <v>7.7646234056611467</v>
      </c>
      <c r="H20" s="10">
        <v>1</v>
      </c>
      <c r="I20" s="10">
        <v>0</v>
      </c>
      <c r="J20" t="e">
        <f>VLOOKUP(N20,Schedule!#REF!,2,0)</f>
        <v>#REF!</v>
      </c>
      <c r="K20" s="17">
        <v>15</v>
      </c>
      <c r="L20" s="17" t="s">
        <v>54</v>
      </c>
      <c r="M20" s="17" t="s">
        <v>45</v>
      </c>
      <c r="N20" s="17" t="s">
        <v>55</v>
      </c>
      <c r="O20" s="22">
        <v>23.060149253731343</v>
      </c>
      <c r="P20" s="22">
        <v>0.89268656716417916</v>
      </c>
      <c r="Q20" s="22">
        <v>7.2929850746268654</v>
      </c>
      <c r="R20" s="22">
        <v>2.8050746268656717</v>
      </c>
      <c r="S20" s="22">
        <v>1.3323880597014925</v>
      </c>
      <c r="T20" s="22">
        <v>2.1037313432835818</v>
      </c>
      <c r="U20" s="22">
        <v>0.50373799451938162</v>
      </c>
      <c r="V20" s="22">
        <v>16.830000000000002</v>
      </c>
      <c r="W20" s="22">
        <v>0.79400595765968585</v>
      </c>
      <c r="X20" s="22">
        <v>6.5637313432835818</v>
      </c>
      <c r="Y20" s="14">
        <f t="shared" ca="1" si="2"/>
        <v>1.2033978421496649</v>
      </c>
      <c r="Z20" s="14">
        <f t="shared" ca="1" si="3"/>
        <v>-0.82553940382888424</v>
      </c>
      <c r="AA20" s="14">
        <f t="shared" ca="1" si="4"/>
        <v>0.66262802720454794</v>
      </c>
      <c r="AB20" s="14">
        <f t="shared" ca="1" si="5"/>
        <v>-0.39012121553268464</v>
      </c>
      <c r="AC20" s="14">
        <f t="shared" ca="1" si="6"/>
        <v>1.0956814175703389</v>
      </c>
      <c r="AD20" s="14">
        <f t="shared" ca="1" si="7"/>
        <v>2.6355658959208932</v>
      </c>
      <c r="AE20" s="14">
        <f ca="1">U$4*AO20</f>
        <v>0.72670792269332551</v>
      </c>
      <c r="AF20" s="15">
        <f ca="1">AP20*W$4</f>
        <v>-0.14369708051605512</v>
      </c>
      <c r="AG20" s="12">
        <f t="shared" ca="1" si="8"/>
        <v>4.9646234056611469</v>
      </c>
      <c r="AH20" s="14">
        <f t="shared" ca="1" si="9"/>
        <v>1.6325537842856821</v>
      </c>
      <c r="AI20" s="14">
        <f t="shared" ca="1" si="10"/>
        <v>1.2033978421496649</v>
      </c>
      <c r="AJ20" s="14">
        <f t="shared" ca="1" si="11"/>
        <v>-0.82553940382888424</v>
      </c>
      <c r="AK20" s="14">
        <f t="shared" ca="1" si="12"/>
        <v>0.66262802720454794</v>
      </c>
      <c r="AL20" s="14">
        <f t="shared" ca="1" si="13"/>
        <v>-0.39012121553268464</v>
      </c>
      <c r="AM20" s="14">
        <f t="shared" ca="1" si="14"/>
        <v>1.0956814175703389</v>
      </c>
      <c r="AN20" s="14">
        <f t="shared" ca="1" si="15"/>
        <v>2.6355658959208932</v>
      </c>
      <c r="AO20" s="14">
        <f t="shared" ca="1" si="17"/>
        <v>0.72670792269332551</v>
      </c>
      <c r="AP20" s="14">
        <f ca="1">(AV20-$AP$3)/$AP$4</f>
        <v>-0.14369708051605512</v>
      </c>
      <c r="AQ20" s="22">
        <f t="shared" si="18"/>
        <v>8.4779104477611931</v>
      </c>
      <c r="AR20" s="22">
        <f t="shared" si="19"/>
        <v>5.2116417910447765</v>
      </c>
      <c r="AS20" s="22">
        <f ca="1">(U20-AS$3)</f>
        <v>2.7763289331269647E-2</v>
      </c>
      <c r="AT20" s="22">
        <f ca="1">(W20-AT$3)</f>
        <v>-6.0967340804293224E-3</v>
      </c>
      <c r="AU20" s="11">
        <f ca="1">AS20*V20</f>
        <v>0.46725615944526822</v>
      </c>
      <c r="AV20" s="11">
        <f ca="1">AT20*X20</f>
        <v>-4.0017324575379147E-2</v>
      </c>
    </row>
    <row r="21" spans="1:48">
      <c r="A21">
        <v>16</v>
      </c>
      <c r="B21" s="27" t="str">
        <f t="shared" si="16"/>
        <v>Fred VanVleet</v>
      </c>
      <c r="C21" s="21">
        <v>39.144783937109686</v>
      </c>
      <c r="D21" s="12">
        <f t="shared" ca="1" si="0"/>
        <v>40.062632931277022</v>
      </c>
      <c r="E21" s="12">
        <f t="shared" ca="1" si="1"/>
        <v>40.062632931277022</v>
      </c>
      <c r="F21" s="29">
        <f ca="1">SUM(AI21:AN21,AP21,AO21)+$A$4</f>
        <v>7.4935330612305977</v>
      </c>
      <c r="G21" s="29">
        <f ca="1">SUM(Y21:AF21)+$A$4</f>
        <v>7.4935330612305977</v>
      </c>
      <c r="H21" s="10">
        <v>1</v>
      </c>
      <c r="I21" s="10">
        <v>0</v>
      </c>
      <c r="J21" t="e">
        <f>VLOOKUP(N21,Schedule!#REF!,2,0)</f>
        <v>#REF!</v>
      </c>
      <c r="K21" s="17">
        <v>16</v>
      </c>
      <c r="L21" s="17" t="s">
        <v>56</v>
      </c>
      <c r="M21" s="17" t="s">
        <v>25</v>
      </c>
      <c r="N21" s="17" t="s">
        <v>57</v>
      </c>
      <c r="O21" s="22">
        <v>20.545151515151517</v>
      </c>
      <c r="P21" s="22">
        <v>3.5696969696969698</v>
      </c>
      <c r="Q21" s="22">
        <v>4.0904545454545449</v>
      </c>
      <c r="R21" s="22">
        <v>6.2872727272727271</v>
      </c>
      <c r="S21" s="22">
        <v>1.7422727272727272</v>
      </c>
      <c r="T21" s="22">
        <v>0.68181818181818177</v>
      </c>
      <c r="U21" s="22">
        <v>0.39914810779918913</v>
      </c>
      <c r="V21" s="22">
        <v>16.967575757575759</v>
      </c>
      <c r="W21" s="22">
        <v>0.87898435376790784</v>
      </c>
      <c r="X21" s="22">
        <v>3.9025757575757574</v>
      </c>
      <c r="Y21" s="14">
        <f t="shared" ca="1" si="2"/>
        <v>0.76610208393454149</v>
      </c>
      <c r="Z21" s="14">
        <f t="shared" ca="1" si="3"/>
        <v>1.8328294917813825</v>
      </c>
      <c r="AA21" s="14">
        <f t="shared" ca="1" si="4"/>
        <v>-0.67619467903312103</v>
      </c>
      <c r="AB21" s="14">
        <f t="shared" ca="1" si="5"/>
        <v>1.2678739956348388</v>
      </c>
      <c r="AC21" s="14">
        <f t="shared" ca="1" si="6"/>
        <v>2.4044110334168076</v>
      </c>
      <c r="AD21" s="14">
        <f t="shared" ca="1" si="7"/>
        <v>2.047633199415216E-2</v>
      </c>
      <c r="AE21" s="14">
        <f ca="1">U$4*AO21</f>
        <v>-2.0273851253006465</v>
      </c>
      <c r="AF21" s="15">
        <f ca="1">AP21*W$4</f>
        <v>1.1054199288026421</v>
      </c>
      <c r="AG21" s="12">
        <f t="shared" ca="1" si="8"/>
        <v>4.6935330612305979</v>
      </c>
      <c r="AH21" s="14">
        <f t="shared" ca="1" si="9"/>
        <v>1.5434091439935824</v>
      </c>
      <c r="AI21" s="14">
        <f t="shared" ca="1" si="10"/>
        <v>0.76610208393454149</v>
      </c>
      <c r="AJ21" s="14">
        <f t="shared" ca="1" si="11"/>
        <v>1.8328294917813825</v>
      </c>
      <c r="AK21" s="14">
        <f t="shared" ca="1" si="12"/>
        <v>-0.67619467903312103</v>
      </c>
      <c r="AL21" s="14">
        <f t="shared" ca="1" si="13"/>
        <v>1.2678739956348388</v>
      </c>
      <c r="AM21" s="14">
        <f t="shared" ca="1" si="14"/>
        <v>2.4044110334168076</v>
      </c>
      <c r="AN21" s="14">
        <f t="shared" ca="1" si="15"/>
        <v>2.047633199415216E-2</v>
      </c>
      <c r="AO21" s="14">
        <f t="shared" ca="1" si="17"/>
        <v>-2.0273851253006465</v>
      </c>
      <c r="AP21" s="14">
        <f ca="1">(AV21-$AP$3)/$AP$4</f>
        <v>1.1054199288026421</v>
      </c>
      <c r="AQ21" s="22">
        <f t="shared" si="18"/>
        <v>6.7725757575757575</v>
      </c>
      <c r="AR21" s="22">
        <f t="shared" si="19"/>
        <v>3.4303030303030306</v>
      </c>
      <c r="AS21" s="22">
        <f ca="1">(U21-AS$3)</f>
        <v>-7.6826597388922835E-2</v>
      </c>
      <c r="AT21" s="22">
        <f ca="1">(W21-AT$3)</f>
        <v>7.8881662027792676E-2</v>
      </c>
      <c r="AU21" s="11">
        <f ca="1">AS21*V21</f>
        <v>-1.3035611113933201</v>
      </c>
      <c r="AV21" s="11">
        <f ca="1">AT21*X21</f>
        <v>0.30784166194694784</v>
      </c>
    </row>
    <row r="22" spans="1:48">
      <c r="A22">
        <v>17</v>
      </c>
      <c r="B22" s="27" t="str">
        <f t="shared" si="16"/>
        <v>Zach LaVine</v>
      </c>
      <c r="C22" s="21">
        <v>36.662839927641841</v>
      </c>
      <c r="D22" s="12">
        <f t="shared" ca="1" si="0"/>
        <v>37.431811709043643</v>
      </c>
      <c r="E22" s="12">
        <f t="shared" ca="1" si="1"/>
        <v>37.431811709043643</v>
      </c>
      <c r="F22" s="29">
        <f ca="1">SUM(AI22:AN22,AP22,AO22)+$A$4</f>
        <v>7.0014499312772989</v>
      </c>
      <c r="G22" s="29">
        <f ca="1">SUM(Y22:AF22)+$A$4</f>
        <v>7.0014499312772989</v>
      </c>
      <c r="H22" s="10">
        <v>1</v>
      </c>
      <c r="I22" s="10">
        <v>0</v>
      </c>
      <c r="J22" t="e">
        <f>VLOOKUP(N22,Schedule!#REF!,2,0)</f>
        <v>#REF!</v>
      </c>
      <c r="K22" s="17">
        <v>17</v>
      </c>
      <c r="L22" s="17" t="s">
        <v>58</v>
      </c>
      <c r="M22" s="17" t="s">
        <v>39</v>
      </c>
      <c r="N22" s="17" t="s">
        <v>59</v>
      </c>
      <c r="O22" s="22">
        <v>26.807826086956517</v>
      </c>
      <c r="P22" s="22">
        <v>3.3911594202898554</v>
      </c>
      <c r="Q22" s="22">
        <v>5.0079710144927541</v>
      </c>
      <c r="R22" s="22">
        <v>4.1978260869565212</v>
      </c>
      <c r="S22" s="22">
        <v>0.95739130434782616</v>
      </c>
      <c r="T22" s="22">
        <v>0.44188405797101449</v>
      </c>
      <c r="U22" s="22">
        <v>0.4959481603974768</v>
      </c>
      <c r="V22" s="22">
        <v>19.368550724637682</v>
      </c>
      <c r="W22" s="22">
        <v>0.83501208702659135</v>
      </c>
      <c r="X22" s="22">
        <v>5.0359420289855077</v>
      </c>
      <c r="Y22" s="14">
        <f t="shared" ca="1" si="2"/>
        <v>1.8550259359609462</v>
      </c>
      <c r="Z22" s="14">
        <f t="shared" ca="1" si="3"/>
        <v>1.6555351982689985</v>
      </c>
      <c r="AA22" s="14">
        <f t="shared" ca="1" si="4"/>
        <v>-0.29262553865935603</v>
      </c>
      <c r="AB22" s="14">
        <f t="shared" ca="1" si="5"/>
        <v>0.27301602841310674</v>
      </c>
      <c r="AC22" s="14">
        <f t="shared" ca="1" si="6"/>
        <v>-0.10165382916070491</v>
      </c>
      <c r="AD22" s="14">
        <f t="shared" ca="1" si="7"/>
        <v>-0.42079479503866513</v>
      </c>
      <c r="AE22" s="14">
        <f ca="1">U$4*AO22</f>
        <v>0.60166560510671196</v>
      </c>
      <c r="AF22" s="15">
        <f ca="1">AP22*W$4</f>
        <v>0.63128132638626189</v>
      </c>
      <c r="AG22" s="12">
        <f t="shared" ca="1" si="8"/>
        <v>4.201449931277299</v>
      </c>
      <c r="AH22" s="14">
        <f t="shared" ca="1" si="9"/>
        <v>1.3815938137366408</v>
      </c>
      <c r="AI22" s="14">
        <f t="shared" ca="1" si="10"/>
        <v>1.8550259359609462</v>
      </c>
      <c r="AJ22" s="14">
        <f t="shared" ca="1" si="11"/>
        <v>1.6555351982689985</v>
      </c>
      <c r="AK22" s="14">
        <f t="shared" ca="1" si="12"/>
        <v>-0.29262553865935603</v>
      </c>
      <c r="AL22" s="14">
        <f t="shared" ca="1" si="13"/>
        <v>0.27301602841310674</v>
      </c>
      <c r="AM22" s="14">
        <f t="shared" ca="1" si="14"/>
        <v>-0.10165382916070491</v>
      </c>
      <c r="AN22" s="14">
        <f t="shared" ca="1" si="15"/>
        <v>-0.42079479503866513</v>
      </c>
      <c r="AO22" s="14">
        <f t="shared" ca="1" si="17"/>
        <v>0.60166560510671196</v>
      </c>
      <c r="AP22" s="14">
        <f ca="1">(AV22-$AP$3)/$AP$4</f>
        <v>0.63128132638626189</v>
      </c>
      <c r="AQ22" s="22">
        <f t="shared" si="18"/>
        <v>9.6057971014492747</v>
      </c>
      <c r="AR22" s="22">
        <f t="shared" si="19"/>
        <v>4.2050724637681158</v>
      </c>
      <c r="AS22" s="22">
        <f ca="1">(U22-AS$3)</f>
        <v>1.9973455209364832E-2</v>
      </c>
      <c r="AT22" s="22">
        <f ca="1">(W22-AT$3)</f>
        <v>3.4909395286476186E-2</v>
      </c>
      <c r="AU22" s="11">
        <f ca="1">AS22*V22</f>
        <v>0.38685688036886151</v>
      </c>
      <c r="AV22" s="11">
        <f ca="1">AT22*X22</f>
        <v>0.17580169092963399</v>
      </c>
    </row>
    <row r="23" spans="1:48">
      <c r="A23">
        <v>18</v>
      </c>
      <c r="B23" s="27" t="str">
        <f t="shared" si="16"/>
        <v>Trae Young</v>
      </c>
      <c r="C23" s="21">
        <v>35.970891064120636</v>
      </c>
      <c r="D23" s="12">
        <f t="shared" ca="1" si="0"/>
        <v>36.712199036551965</v>
      </c>
      <c r="E23" s="12">
        <f t="shared" ca="1" si="1"/>
        <v>36.712199036551965</v>
      </c>
      <c r="F23" s="29">
        <f ca="1">SUM(AI23:AN23,AP23,AO23)+$A$4</f>
        <v>6.8668496577044893</v>
      </c>
      <c r="G23" s="29">
        <f ca="1">SUM(Y23:AF23)+$A$4</f>
        <v>6.8668496577044893</v>
      </c>
      <c r="H23" s="10">
        <v>1</v>
      </c>
      <c r="I23" s="10">
        <v>0</v>
      </c>
      <c r="J23" t="e">
        <f>VLOOKUP(N23,Schedule!#REF!,2,0)</f>
        <v>#REF!</v>
      </c>
      <c r="K23" s="17">
        <v>18</v>
      </c>
      <c r="L23" s="17" t="s">
        <v>60</v>
      </c>
      <c r="M23" s="17" t="s">
        <v>28</v>
      </c>
      <c r="N23" s="17" t="s">
        <v>61</v>
      </c>
      <c r="O23" s="22">
        <v>24.267066666666665</v>
      </c>
      <c r="P23" s="22">
        <v>2.3825333333333334</v>
      </c>
      <c r="Q23" s="22">
        <v>3.8250666666666664</v>
      </c>
      <c r="R23" s="22">
        <v>9.35</v>
      </c>
      <c r="S23" s="22">
        <v>0.92080000000000006</v>
      </c>
      <c r="T23" s="22">
        <v>0.14173333333333335</v>
      </c>
      <c r="U23" s="22">
        <v>0.44275504269841759</v>
      </c>
      <c r="V23" s="22">
        <v>17.424533333333333</v>
      </c>
      <c r="W23" s="22">
        <v>0.88199821457851302</v>
      </c>
      <c r="X23" s="22">
        <v>7.3185333333333329</v>
      </c>
      <c r="Y23" s="14">
        <f t="shared" ca="1" si="2"/>
        <v>1.4132508599462592</v>
      </c>
      <c r="Z23" s="14">
        <f t="shared" ca="1" si="3"/>
        <v>0.65393273369528404</v>
      </c>
      <c r="AA23" s="14">
        <f t="shared" ca="1" si="4"/>
        <v>-0.78714048106214629</v>
      </c>
      <c r="AB23" s="14">
        <f t="shared" ca="1" si="5"/>
        <v>2.7261446065746329</v>
      </c>
      <c r="AC23" s="14">
        <f t="shared" ca="1" si="6"/>
        <v>-0.21848699583222747</v>
      </c>
      <c r="AD23" s="14">
        <f t="shared" ca="1" si="7"/>
        <v>-0.97281235059467552</v>
      </c>
      <c r="AE23" s="14">
        <f ca="1">U$4*AO23</f>
        <v>-0.90024606399446461</v>
      </c>
      <c r="AF23" s="15">
        <f ca="1">AP23*W$4</f>
        <v>2.1522073489718281</v>
      </c>
      <c r="AG23" s="12">
        <f t="shared" ca="1" si="8"/>
        <v>4.0668496577044895</v>
      </c>
      <c r="AH23" s="14">
        <f t="shared" ca="1" si="9"/>
        <v>1.3373322115904223</v>
      </c>
      <c r="AI23" s="14">
        <f t="shared" ca="1" si="10"/>
        <v>1.4132508599462592</v>
      </c>
      <c r="AJ23" s="14">
        <f t="shared" ca="1" si="11"/>
        <v>0.65393273369528404</v>
      </c>
      <c r="AK23" s="14">
        <f t="shared" ca="1" si="12"/>
        <v>-0.78714048106214629</v>
      </c>
      <c r="AL23" s="14">
        <f t="shared" ca="1" si="13"/>
        <v>2.7261446065746329</v>
      </c>
      <c r="AM23" s="14">
        <f t="shared" ca="1" si="14"/>
        <v>-0.21848699583222747</v>
      </c>
      <c r="AN23" s="14">
        <f t="shared" ca="1" si="15"/>
        <v>-0.97281235059467552</v>
      </c>
      <c r="AO23" s="14">
        <f t="shared" ca="1" si="17"/>
        <v>-0.90024606399446461</v>
      </c>
      <c r="AP23" s="14">
        <f ca="1">(AV23-$AP$3)/$AP$4</f>
        <v>2.1522073489718281</v>
      </c>
      <c r="AQ23" s="22">
        <f t="shared" si="18"/>
        <v>7.7148000000000003</v>
      </c>
      <c r="AR23" s="22">
        <f t="shared" si="19"/>
        <v>6.454933333333333</v>
      </c>
      <c r="AS23" s="22">
        <f ca="1">(U23-AS$3)</f>
        <v>-3.3219662489694379E-2</v>
      </c>
      <c r="AT23" s="22">
        <f ca="1">(W23-AT$3)</f>
        <v>8.189552283839785E-2</v>
      </c>
      <c r="AU23" s="11">
        <f ca="1">AS23*V23</f>
        <v>-0.57883711637376267</v>
      </c>
      <c r="AV23" s="11">
        <f ca="1">AT23*X23</f>
        <v>0.59935511374357586</v>
      </c>
    </row>
    <row r="24" spans="1:48">
      <c r="A24">
        <v>19</v>
      </c>
      <c r="B24" s="27" t="str">
        <f t="shared" si="16"/>
        <v>Bam Adebayo</v>
      </c>
      <c r="C24" s="21">
        <v>34.264428005359662</v>
      </c>
      <c r="D24" s="12">
        <f t="shared" ca="1" si="0"/>
        <v>34.691326549174278</v>
      </c>
      <c r="E24" s="12">
        <f t="shared" ca="1" si="1"/>
        <v>34.691326549174278</v>
      </c>
      <c r="F24" s="29">
        <f ca="1">SUM(AI24:AN24,AP24,AO24)+$A$4</f>
        <v>6.488854661153141</v>
      </c>
      <c r="G24" s="29">
        <f ca="1">SUM(Y24:AF24)+$A$4</f>
        <v>6.488854661153141</v>
      </c>
      <c r="H24" s="10">
        <v>1</v>
      </c>
      <c r="I24" s="10">
        <v>0</v>
      </c>
      <c r="J24" t="e">
        <f>VLOOKUP(N24,Schedule!#REF!,2,0)</f>
        <v>#REF!</v>
      </c>
      <c r="K24" s="17">
        <v>19</v>
      </c>
      <c r="L24" s="17" t="s">
        <v>62</v>
      </c>
      <c r="M24" s="17" t="s">
        <v>63</v>
      </c>
      <c r="N24" s="17" t="s">
        <v>53</v>
      </c>
      <c r="O24" s="22">
        <v>18.415131578947371</v>
      </c>
      <c r="P24" s="22">
        <v>0</v>
      </c>
      <c r="Q24" s="22">
        <v>9.1630263157894731</v>
      </c>
      <c r="R24" s="22">
        <v>4.6509210526315794</v>
      </c>
      <c r="S24" s="22">
        <v>1.2494736842105263</v>
      </c>
      <c r="T24" s="22">
        <v>1.110657894736842</v>
      </c>
      <c r="U24" s="22">
        <v>0.56399536647009274</v>
      </c>
      <c r="V24" s="22">
        <v>12.494736842105263</v>
      </c>
      <c r="W24" s="22">
        <v>0.78598951726778843</v>
      </c>
      <c r="X24" s="22">
        <v>5.4977631578947364</v>
      </c>
      <c r="Y24" s="14">
        <f t="shared" ca="1" si="2"/>
        <v>0.39574442168801677</v>
      </c>
      <c r="Z24" s="14">
        <f t="shared" ca="1" si="3"/>
        <v>-1.7120096997355103</v>
      </c>
      <c r="AA24" s="14">
        <f t="shared" ca="1" si="4"/>
        <v>1.4444015817306401</v>
      </c>
      <c r="AB24" s="14">
        <f t="shared" ca="1" si="5"/>
        <v>0.48875024617789847</v>
      </c>
      <c r="AC24" s="14">
        <f t="shared" ca="1" si="6"/>
        <v>0.83094231564825116</v>
      </c>
      <c r="AD24" s="14">
        <f t="shared" ca="1" si="7"/>
        <v>0.80917024681464367</v>
      </c>
      <c r="AE24" s="14">
        <f ca="1">U$4*AO24</f>
        <v>1.7104744865032433</v>
      </c>
      <c r="AF24" s="15">
        <f ca="1">AP24*W$4</f>
        <v>-0.27861893767404228</v>
      </c>
      <c r="AG24" s="12">
        <f t="shared" ca="1" si="8"/>
        <v>3.6888546611531412</v>
      </c>
      <c r="AH24" s="14">
        <f t="shared" ca="1" si="9"/>
        <v>1.2130333249201299</v>
      </c>
      <c r="AI24" s="14">
        <f t="shared" ca="1" si="10"/>
        <v>0.39574442168801677</v>
      </c>
      <c r="AJ24" s="14">
        <f t="shared" ca="1" si="11"/>
        <v>-1.7120096997355103</v>
      </c>
      <c r="AK24" s="14">
        <f t="shared" ca="1" si="12"/>
        <v>1.4444015817306401</v>
      </c>
      <c r="AL24" s="14">
        <f t="shared" ca="1" si="13"/>
        <v>0.48875024617789847</v>
      </c>
      <c r="AM24" s="14">
        <f t="shared" ca="1" si="14"/>
        <v>0.83094231564825116</v>
      </c>
      <c r="AN24" s="14">
        <f t="shared" ca="1" si="15"/>
        <v>0.80917024681464367</v>
      </c>
      <c r="AO24" s="14">
        <f t="shared" ca="1" si="17"/>
        <v>1.7104744865032433</v>
      </c>
      <c r="AP24" s="14">
        <f ca="1">(AV24-$AP$3)/$AP$4</f>
        <v>-0.27861893767404228</v>
      </c>
      <c r="AQ24" s="22">
        <f t="shared" si="18"/>
        <v>7.0469736842105277</v>
      </c>
      <c r="AR24" s="22">
        <f t="shared" si="19"/>
        <v>4.3211842105263161</v>
      </c>
      <c r="AS24" s="22">
        <f ca="1">(U24-AS$3)</f>
        <v>8.8020661281980772E-2</v>
      </c>
      <c r="AT24" s="22">
        <f ca="1">(W24-AT$3)</f>
        <v>-1.4113174472326739E-2</v>
      </c>
      <c r="AU24" s="11">
        <f ca="1">AS24*V24</f>
        <v>1.0997949993864335</v>
      </c>
      <c r="AV24" s="11">
        <f ca="1">AT24*X24</f>
        <v>-7.7590890654898437E-2</v>
      </c>
    </row>
    <row r="25" spans="1:48">
      <c r="A25">
        <v>20</v>
      </c>
      <c r="B25" s="27" t="str">
        <f t="shared" si="16"/>
        <v>LaMelo Ball</v>
      </c>
      <c r="C25" s="21">
        <v>33.637372662495359</v>
      </c>
      <c r="D25" s="12">
        <f t="shared" ca="1" si="0"/>
        <v>34.383865850921254</v>
      </c>
      <c r="E25" s="12">
        <f t="shared" ca="1" si="1"/>
        <v>34.383865850921254</v>
      </c>
      <c r="F25" s="29">
        <f ca="1">SUM(AI25:AN25,AP25,AO25)+$A$4</f>
        <v>6.4313455375930326</v>
      </c>
      <c r="G25" s="29">
        <f ca="1">SUM(Y25:AF25)+$A$4</f>
        <v>6.4313455375930326</v>
      </c>
      <c r="H25" s="10">
        <v>1</v>
      </c>
      <c r="I25" s="10">
        <v>0</v>
      </c>
      <c r="J25" t="e">
        <f>VLOOKUP(N25,Schedule!#REF!,2,0)</f>
        <v>#REF!</v>
      </c>
      <c r="K25" s="17">
        <v>20</v>
      </c>
      <c r="L25" s="17" t="s">
        <v>64</v>
      </c>
      <c r="M25" s="17" t="s">
        <v>28</v>
      </c>
      <c r="N25" s="17" t="s">
        <v>65</v>
      </c>
      <c r="O25" s="22">
        <v>18.928108108108106</v>
      </c>
      <c r="P25" s="22">
        <v>2.1720270270270268</v>
      </c>
      <c r="Q25" s="22">
        <v>6.587567567567568</v>
      </c>
      <c r="R25" s="22">
        <v>6.8</v>
      </c>
      <c r="S25" s="22">
        <v>1.8416216216216217</v>
      </c>
      <c r="T25" s="22">
        <v>0.42499999999999999</v>
      </c>
      <c r="U25" s="22">
        <v>0.44635033917467493</v>
      </c>
      <c r="V25" s="22">
        <v>15.299459459459461</v>
      </c>
      <c r="W25" s="22">
        <v>0.75000817821976518</v>
      </c>
      <c r="X25" s="22">
        <v>4.1309459459459461</v>
      </c>
      <c r="Y25" s="14">
        <f t="shared" ca="1" si="2"/>
        <v>0.48493832306805412</v>
      </c>
      <c r="Z25" s="14">
        <f t="shared" ca="1" si="3"/>
        <v>0.44489229945377451</v>
      </c>
      <c r="AA25" s="14">
        <f t="shared" ca="1" si="4"/>
        <v>0.36772717700948615</v>
      </c>
      <c r="AB25" s="14">
        <f t="shared" ca="1" si="5"/>
        <v>1.5120012216870931</v>
      </c>
      <c r="AC25" s="14">
        <f t="shared" ca="1" si="6"/>
        <v>2.7216242658766521</v>
      </c>
      <c r="AD25" s="14">
        <f t="shared" ca="1" si="7"/>
        <v>-0.45184684870362346</v>
      </c>
      <c r="AE25" s="14">
        <f ca="1">U$4*AO25</f>
        <v>-0.70490405999126005</v>
      </c>
      <c r="AF25" s="15">
        <f ca="1">AP25*W$4</f>
        <v>-0.74308684080714293</v>
      </c>
      <c r="AG25" s="12">
        <f t="shared" ca="1" si="8"/>
        <v>3.6313455375930328</v>
      </c>
      <c r="AH25" s="14">
        <f t="shared" ca="1" si="9"/>
        <v>1.1941221750448041</v>
      </c>
      <c r="AI25" s="14">
        <f t="shared" ca="1" si="10"/>
        <v>0.48493832306805412</v>
      </c>
      <c r="AJ25" s="14">
        <f t="shared" ca="1" si="11"/>
        <v>0.44489229945377451</v>
      </c>
      <c r="AK25" s="14">
        <f t="shared" ca="1" si="12"/>
        <v>0.36772717700948615</v>
      </c>
      <c r="AL25" s="14">
        <f t="shared" ca="1" si="13"/>
        <v>1.5120012216870931</v>
      </c>
      <c r="AM25" s="14">
        <f t="shared" ca="1" si="14"/>
        <v>2.7216242658766521</v>
      </c>
      <c r="AN25" s="14">
        <f t="shared" ca="1" si="15"/>
        <v>-0.45184684870362346</v>
      </c>
      <c r="AO25" s="14">
        <f t="shared" ca="1" si="17"/>
        <v>-0.70490405999126005</v>
      </c>
      <c r="AP25" s="14">
        <f ca="1">(AV25-$AP$3)/$AP$4</f>
        <v>-0.74308684080714293</v>
      </c>
      <c r="AQ25" s="22">
        <f t="shared" si="18"/>
        <v>6.8289189189189194</v>
      </c>
      <c r="AR25" s="22">
        <f t="shared" si="19"/>
        <v>3.0982432432432434</v>
      </c>
      <c r="AS25" s="22">
        <f ca="1">(U25-AS$3)</f>
        <v>-2.9624366013437042E-2</v>
      </c>
      <c r="AT25" s="22">
        <f ca="1">(W25-AT$3)</f>
        <v>-5.0094513520349992E-2</v>
      </c>
      <c r="AU25" s="11">
        <f ca="1">AS25*V25</f>
        <v>-0.4532367868347687</v>
      </c>
      <c r="AV25" s="11">
        <f ca="1">AT25*X25</f>
        <v>-0.20693772754102419</v>
      </c>
    </row>
    <row r="26" spans="1:48">
      <c r="A26">
        <v>21</v>
      </c>
      <c r="B26" s="27" t="str">
        <f t="shared" si="16"/>
        <v>Donovan Mitchell</v>
      </c>
      <c r="C26" s="21">
        <v>32.845561575356896</v>
      </c>
      <c r="D26" s="12">
        <f t="shared" ca="1" si="0"/>
        <v>33.621486464258226</v>
      </c>
      <c r="E26" s="12">
        <f t="shared" ca="1" si="1"/>
        <v>33.621486464258226</v>
      </c>
      <c r="F26" s="29">
        <f ca="1">SUM(AI26:AN26,AP26,AO26)+$A$4</f>
        <v>6.2887459448762986</v>
      </c>
      <c r="G26" s="29">
        <f ca="1">SUM(Y26:AF26)+$A$4</f>
        <v>6.2887459448762986</v>
      </c>
      <c r="H26" s="10">
        <v>1</v>
      </c>
      <c r="I26" s="10">
        <v>0</v>
      </c>
      <c r="J26" t="e">
        <f>VLOOKUP(N26,Schedule!#REF!,2,0)</f>
        <v>#REF!</v>
      </c>
      <c r="K26" s="17">
        <v>21</v>
      </c>
      <c r="L26" s="17" t="s">
        <v>66</v>
      </c>
      <c r="M26" s="17" t="s">
        <v>25</v>
      </c>
      <c r="N26" s="17" t="s">
        <v>67</v>
      </c>
      <c r="O26" s="22">
        <v>27.516891891891891</v>
      </c>
      <c r="P26" s="22">
        <v>3.2322972972972974</v>
      </c>
      <c r="Q26" s="22">
        <v>4.7685135135135139</v>
      </c>
      <c r="R26" s="22">
        <v>5.418783783783784</v>
      </c>
      <c r="S26" s="22">
        <v>1.0114864864864863</v>
      </c>
      <c r="T26" s="22">
        <v>0.21675675675675674</v>
      </c>
      <c r="U26" s="22">
        <v>0.44466964716309743</v>
      </c>
      <c r="V26" s="22">
        <v>20.735405405405405</v>
      </c>
      <c r="W26" s="22">
        <v>0.85400003949681058</v>
      </c>
      <c r="X26" s="22">
        <v>6.8428378378378376</v>
      </c>
      <c r="Y26" s="14">
        <f t="shared" ca="1" si="2"/>
        <v>1.9783149012101646</v>
      </c>
      <c r="Z26" s="14">
        <f t="shared" ca="1" si="3"/>
        <v>1.4977793202737295</v>
      </c>
      <c r="AA26" s="14">
        <f t="shared" ca="1" si="4"/>
        <v>-0.39273110723071664</v>
      </c>
      <c r="AB26" s="14">
        <f t="shared" ca="1" si="5"/>
        <v>0.85435630717010591</v>
      </c>
      <c r="AC26" s="14">
        <f t="shared" ca="1" si="6"/>
        <v>7.1067847302515585E-2</v>
      </c>
      <c r="AD26" s="14">
        <f t="shared" ca="1" si="7"/>
        <v>-0.83483418359996375</v>
      </c>
      <c r="AE26" s="14">
        <f ca="1">U$4*AO26</f>
        <v>-1.0095594628171563</v>
      </c>
      <c r="AF26" s="15">
        <f ca="1">AP26*W$4</f>
        <v>1.3243523225676197</v>
      </c>
      <c r="AG26" s="12">
        <f t="shared" ca="1" si="8"/>
        <v>3.4887459448762987</v>
      </c>
      <c r="AH26" s="14">
        <f t="shared" ca="1" si="9"/>
        <v>1.1472300976997556</v>
      </c>
      <c r="AI26" s="14">
        <f t="shared" ca="1" si="10"/>
        <v>1.9783149012101646</v>
      </c>
      <c r="AJ26" s="14">
        <f t="shared" ca="1" si="11"/>
        <v>1.4977793202737295</v>
      </c>
      <c r="AK26" s="14">
        <f t="shared" ca="1" si="12"/>
        <v>-0.39273110723071664</v>
      </c>
      <c r="AL26" s="14">
        <f t="shared" ca="1" si="13"/>
        <v>0.85435630717010591</v>
      </c>
      <c r="AM26" s="14">
        <f t="shared" ca="1" si="14"/>
        <v>7.1067847302515585E-2</v>
      </c>
      <c r="AN26" s="14">
        <f t="shared" ca="1" si="15"/>
        <v>-0.83483418359996375</v>
      </c>
      <c r="AO26" s="14">
        <f t="shared" ca="1" si="17"/>
        <v>-1.0095594628171563</v>
      </c>
      <c r="AP26" s="14">
        <f ca="1">(AV26-$AP$3)/$AP$4</f>
        <v>1.3243523225676197</v>
      </c>
      <c r="AQ26" s="22">
        <f t="shared" si="18"/>
        <v>9.2204054054054048</v>
      </c>
      <c r="AR26" s="22">
        <f t="shared" si="19"/>
        <v>5.8437837837837829</v>
      </c>
      <c r="AS26" s="22">
        <f ca="1">(U26-AS$3)</f>
        <v>-3.1305058025014543E-2</v>
      </c>
      <c r="AT26" s="22">
        <f ca="1">(W26-AT$3)</f>
        <v>5.3897347756695413E-2</v>
      </c>
      <c r="AU26" s="11">
        <f ca="1">AS26*V26</f>
        <v>-0.64912306938841646</v>
      </c>
      <c r="AV26" s="11">
        <f ca="1">AT26*X26</f>
        <v>0.36881081058861964</v>
      </c>
    </row>
    <row r="27" spans="1:48">
      <c r="A27">
        <v>22</v>
      </c>
      <c r="B27" s="27" t="str">
        <f t="shared" si="16"/>
        <v>Nikola Vucevic</v>
      </c>
      <c r="C27" s="21">
        <v>32.350393355582639</v>
      </c>
      <c r="D27" s="12">
        <f t="shared" ca="1" si="0"/>
        <v>32.845521768200463</v>
      </c>
      <c r="E27" s="12">
        <f t="shared" ca="1" si="1"/>
        <v>32.845521768200463</v>
      </c>
      <c r="F27" s="29">
        <f ca="1">SUM(AI27:AN27,AP27,AO27)+$A$4</f>
        <v>6.1436052818991271</v>
      </c>
      <c r="G27" s="29">
        <f ca="1">SUM(Y27:AF27)+$A$4</f>
        <v>6.1436052818991271</v>
      </c>
      <c r="H27" s="10">
        <v>1</v>
      </c>
      <c r="I27" s="10">
        <v>0</v>
      </c>
      <c r="J27" t="e">
        <f>VLOOKUP(N27,Schedule!#REF!,2,0)</f>
        <v>#REF!</v>
      </c>
      <c r="K27" s="17">
        <v>22</v>
      </c>
      <c r="L27" s="17" t="s">
        <v>68</v>
      </c>
      <c r="M27" s="17" t="s">
        <v>22</v>
      </c>
      <c r="N27" s="17" t="s">
        <v>59</v>
      </c>
      <c r="O27" s="22">
        <v>20.030266666666666</v>
      </c>
      <c r="P27" s="22">
        <v>2.0766666666666667</v>
      </c>
      <c r="Q27" s="22">
        <v>12.090533333333333</v>
      </c>
      <c r="R27" s="22">
        <v>3.5770666666666662</v>
      </c>
      <c r="S27" s="22">
        <v>0.85853333333333337</v>
      </c>
      <c r="T27" s="22">
        <v>0.71546666666666658</v>
      </c>
      <c r="U27" s="22">
        <v>0.4683697743836841</v>
      </c>
      <c r="V27" s="22">
        <v>17.5992</v>
      </c>
      <c r="W27" s="22">
        <v>0.83400257595272365</v>
      </c>
      <c r="X27" s="22">
        <v>1.7598666666666667</v>
      </c>
      <c r="Y27" s="14">
        <f t="shared" ca="1" si="2"/>
        <v>0.67657637313258912</v>
      </c>
      <c r="Z27" s="14">
        <f t="shared" ca="1" si="3"/>
        <v>0.35019598612741554</v>
      </c>
      <c r="AA27" s="14">
        <f t="shared" ca="1" si="4"/>
        <v>2.6682502951325362</v>
      </c>
      <c r="AB27" s="14">
        <f t="shared" ca="1" si="5"/>
        <v>-2.2549047567893971E-2</v>
      </c>
      <c r="AC27" s="14">
        <f t="shared" ca="1" si="6"/>
        <v>-0.41729958189351135</v>
      </c>
      <c r="AD27" s="14">
        <f t="shared" ca="1" si="7"/>
        <v>8.2360421651592824E-2</v>
      </c>
      <c r="AE27" s="14">
        <f ca="1">U$4*AO27</f>
        <v>-0.208157974601928</v>
      </c>
      <c r="AF27" s="15">
        <f ca="1">AP27*W$4</f>
        <v>0.2142288099183273</v>
      </c>
      <c r="AG27" s="12">
        <f t="shared" ca="1" si="8"/>
        <v>3.3436052818991278</v>
      </c>
      <c r="AH27" s="14">
        <f t="shared" ca="1" si="9"/>
        <v>1.0995024214520628</v>
      </c>
      <c r="AI27" s="14">
        <f t="shared" ca="1" si="10"/>
        <v>0.67657637313258912</v>
      </c>
      <c r="AJ27" s="14">
        <f t="shared" ca="1" si="11"/>
        <v>0.35019598612741554</v>
      </c>
      <c r="AK27" s="14">
        <f t="shared" ca="1" si="12"/>
        <v>2.6682502951325362</v>
      </c>
      <c r="AL27" s="14">
        <f t="shared" ca="1" si="13"/>
        <v>-2.2549047567893971E-2</v>
      </c>
      <c r="AM27" s="14">
        <f t="shared" ca="1" si="14"/>
        <v>-0.41729958189351135</v>
      </c>
      <c r="AN27" s="14">
        <f t="shared" ca="1" si="15"/>
        <v>8.2360421651592824E-2</v>
      </c>
      <c r="AO27" s="14">
        <f t="shared" ca="1" si="17"/>
        <v>-0.208157974601928</v>
      </c>
      <c r="AP27" s="14">
        <f ca="1">(AV27-$AP$3)/$AP$4</f>
        <v>0.2142288099183273</v>
      </c>
      <c r="AQ27" s="22">
        <f t="shared" si="18"/>
        <v>8.2429333333333332</v>
      </c>
      <c r="AR27" s="22">
        <f t="shared" si="19"/>
        <v>1.4677333333333333</v>
      </c>
      <c r="AS27" s="22">
        <f ca="1">(U27-AS$3)</f>
        <v>-7.6049308044278674E-3</v>
      </c>
      <c r="AT27" s="22">
        <f ca="1">(W27-AT$3)</f>
        <v>3.3899884212608478E-2</v>
      </c>
      <c r="AU27" s="11">
        <f ca="1">AS27*V27</f>
        <v>-0.13384069821328692</v>
      </c>
      <c r="AV27" s="11">
        <f ca="1">AT27*X27</f>
        <v>5.9659276229629243E-2</v>
      </c>
    </row>
    <row r="28" spans="1:48">
      <c r="A28">
        <v>23</v>
      </c>
      <c r="B28" s="27" t="str">
        <f t="shared" si="16"/>
        <v>Shai Gilgeous-Alexander</v>
      </c>
      <c r="C28" s="21">
        <v>31.43492132905228</v>
      </c>
      <c r="D28" s="12">
        <f t="shared" ca="1" si="0"/>
        <v>32.044535527032735</v>
      </c>
      <c r="E28" s="12">
        <f t="shared" ca="1" si="1"/>
        <v>32.044535527032735</v>
      </c>
      <c r="F28" s="29">
        <f ca="1">SUM(AI28:AN28,AP28,AO28)+$A$4</f>
        <v>5.993784452846846</v>
      </c>
      <c r="G28" s="29">
        <f ca="1">SUM(Y28:AF28)+$A$4</f>
        <v>5.993784452846846</v>
      </c>
      <c r="H28" s="10">
        <v>1</v>
      </c>
      <c r="I28" s="10">
        <v>0</v>
      </c>
      <c r="J28" t="e">
        <f>VLOOKUP(N28,Schedule!#REF!,2,0)</f>
        <v>#REF!</v>
      </c>
      <c r="K28" s="17">
        <v>23</v>
      </c>
      <c r="L28" s="17" t="s">
        <v>69</v>
      </c>
      <c r="M28" s="17" t="s">
        <v>25</v>
      </c>
      <c r="N28" s="17" t="s">
        <v>70</v>
      </c>
      <c r="O28" s="22">
        <v>25.701884057971014</v>
      </c>
      <c r="P28" s="22">
        <v>2</v>
      </c>
      <c r="Q28" s="22">
        <v>5.3040579710144931</v>
      </c>
      <c r="R28" s="22">
        <v>5.3040579710144931</v>
      </c>
      <c r="S28" s="22">
        <v>0.95768115942028986</v>
      </c>
      <c r="T28" s="22">
        <v>0.66304347826086951</v>
      </c>
      <c r="U28" s="22">
        <v>0.49390379989584798</v>
      </c>
      <c r="V28" s="22">
        <v>17.532898550724639</v>
      </c>
      <c r="W28" s="22">
        <v>0.80899722625323767</v>
      </c>
      <c r="X28" s="22">
        <v>7.8897101449275358</v>
      </c>
      <c r="Y28" s="14">
        <f t="shared" ca="1" si="2"/>
        <v>1.6627300341840001</v>
      </c>
      <c r="Z28" s="14">
        <f t="shared" ca="1" si="3"/>
        <v>0.2740631919462802</v>
      </c>
      <c r="AA28" s="14">
        <f t="shared" ca="1" si="4"/>
        <v>-0.16884594099395628</v>
      </c>
      <c r="AB28" s="14">
        <f t="shared" ca="1" si="5"/>
        <v>0.79973137122905458</v>
      </c>
      <c r="AC28" s="14">
        <f t="shared" ca="1" si="6"/>
        <v>-0.10072834463383944</v>
      </c>
      <c r="AD28" s="14">
        <f t="shared" ca="1" si="7"/>
        <v>-1.4052873212687928E-2</v>
      </c>
      <c r="AE28" s="14">
        <f ca="1">U$4*AO28</f>
        <v>0.48889651461618816</v>
      </c>
      <c r="AF28" s="15">
        <f ca="1">AP28*W$4</f>
        <v>0.25199049971180587</v>
      </c>
      <c r="AG28" s="12">
        <f t="shared" ca="1" si="8"/>
        <v>3.1937844528468458</v>
      </c>
      <c r="AH28" s="14">
        <f t="shared" ca="1" si="9"/>
        <v>1.0502357316251538</v>
      </c>
      <c r="AI28" s="14">
        <f t="shared" ca="1" si="10"/>
        <v>1.6627300341840001</v>
      </c>
      <c r="AJ28" s="14">
        <f t="shared" ca="1" si="11"/>
        <v>0.2740631919462802</v>
      </c>
      <c r="AK28" s="14">
        <f t="shared" ca="1" si="12"/>
        <v>-0.16884594099395628</v>
      </c>
      <c r="AL28" s="14">
        <f t="shared" ca="1" si="13"/>
        <v>0.79973137122905458</v>
      </c>
      <c r="AM28" s="14">
        <f t="shared" ca="1" si="14"/>
        <v>-0.10072834463383944</v>
      </c>
      <c r="AN28" s="14">
        <f t="shared" ca="1" si="15"/>
        <v>-1.4052873212687928E-2</v>
      </c>
      <c r="AO28" s="14">
        <f t="shared" ca="1" si="17"/>
        <v>0.48889651461618816</v>
      </c>
      <c r="AP28" s="14">
        <f ca="1">(AV28-$AP$3)/$AP$4</f>
        <v>0.25199049971180587</v>
      </c>
      <c r="AQ28" s="22">
        <f t="shared" si="18"/>
        <v>8.6595652173913056</v>
      </c>
      <c r="AR28" s="22">
        <f t="shared" si="19"/>
        <v>6.3827536231884059</v>
      </c>
      <c r="AS28" s="22">
        <f ca="1">(U28-AS$3)</f>
        <v>1.7929094707736015E-2</v>
      </c>
      <c r="AT28" s="22">
        <f ca="1">(W28-AT$3)</f>
        <v>8.8945345131224984E-3</v>
      </c>
      <c r="AU28" s="11">
        <f ca="1">AS28*V28</f>
        <v>0.31434899861706955</v>
      </c>
      <c r="AV28" s="11">
        <f ca="1">AT28*X28</f>
        <v>7.0175299182590675E-2</v>
      </c>
    </row>
    <row r="29" spans="1:48">
      <c r="A29">
        <v>24</v>
      </c>
      <c r="B29" s="27" t="str">
        <f t="shared" si="16"/>
        <v>Chris Paul</v>
      </c>
      <c r="C29" s="21">
        <v>31.420425249359056</v>
      </c>
      <c r="D29" s="12">
        <f t="shared" ca="1" si="0"/>
        <v>31.953449060529106</v>
      </c>
      <c r="E29" s="12">
        <f t="shared" ca="1" si="1"/>
        <v>31.953449060529106</v>
      </c>
      <c r="F29" s="29">
        <f ca="1">SUM(AI29:AN29,AP29,AO29)+$A$4</f>
        <v>5.9767471440572191</v>
      </c>
      <c r="G29" s="29">
        <f ca="1">SUM(Y29:AF29)+$A$4</f>
        <v>5.9767471440572191</v>
      </c>
      <c r="H29" s="10">
        <v>1</v>
      </c>
      <c r="I29" s="10">
        <v>0</v>
      </c>
      <c r="J29" t="e">
        <f>VLOOKUP(N29,Schedule!#REF!,2,0)</f>
        <v>#REF!</v>
      </c>
      <c r="K29" s="17">
        <v>24</v>
      </c>
      <c r="L29" s="17" t="s">
        <v>71</v>
      </c>
      <c r="M29" s="17" t="s">
        <v>28</v>
      </c>
      <c r="N29" s="17" t="s">
        <v>72</v>
      </c>
      <c r="O29" s="22">
        <v>15.910133333333333</v>
      </c>
      <c r="P29" s="22">
        <v>1.3632</v>
      </c>
      <c r="Q29" s="22">
        <v>4.4117333333333333</v>
      </c>
      <c r="R29" s="22">
        <v>8.6316000000000006</v>
      </c>
      <c r="S29" s="22">
        <v>1.3426666666666667</v>
      </c>
      <c r="T29" s="22">
        <v>0.25573333333333331</v>
      </c>
      <c r="U29" s="22">
        <v>0.4976864925924317</v>
      </c>
      <c r="V29" s="22">
        <v>12.275733333333335</v>
      </c>
      <c r="W29" s="22">
        <v>0.90302560124127229</v>
      </c>
      <c r="X29" s="22">
        <v>2.5779999999999998</v>
      </c>
      <c r="Y29" s="14">
        <f t="shared" ca="1" si="2"/>
        <v>-3.981267259466495E-2</v>
      </c>
      <c r="Z29" s="14">
        <f t="shared" ca="1" si="3"/>
        <v>-0.35830241676520191</v>
      </c>
      <c r="AA29" s="14">
        <f t="shared" ca="1" si="4"/>
        <v>-0.54188359836535793</v>
      </c>
      <c r="AB29" s="14">
        <f t="shared" ca="1" si="5"/>
        <v>2.3840894662988652</v>
      </c>
      <c r="AC29" s="14">
        <f t="shared" ca="1" si="6"/>
        <v>1.1285002039491472</v>
      </c>
      <c r="AD29" s="14">
        <f t="shared" ca="1" si="7"/>
        <v>-0.76315101657874262</v>
      </c>
      <c r="AE29" s="14">
        <f ca="1">U$4*AO29</f>
        <v>0.41452228496339399</v>
      </c>
      <c r="AF29" s="15">
        <f ca="1">AP29*W$4</f>
        <v>0.95278489314977977</v>
      </c>
      <c r="AG29" s="12">
        <f t="shared" ca="1" si="8"/>
        <v>3.1767471440572188</v>
      </c>
      <c r="AH29" s="14">
        <f t="shared" ca="1" si="9"/>
        <v>1.0446332275345449</v>
      </c>
      <c r="AI29" s="14">
        <f t="shared" ca="1" si="10"/>
        <v>-3.981267259466495E-2</v>
      </c>
      <c r="AJ29" s="14">
        <f t="shared" ca="1" si="11"/>
        <v>-0.35830241676520191</v>
      </c>
      <c r="AK29" s="14">
        <f t="shared" ca="1" si="12"/>
        <v>-0.54188359836535793</v>
      </c>
      <c r="AL29" s="14">
        <f t="shared" ca="1" si="13"/>
        <v>2.3840894662988652</v>
      </c>
      <c r="AM29" s="14">
        <f t="shared" ca="1" si="14"/>
        <v>1.1285002039491472</v>
      </c>
      <c r="AN29" s="14">
        <f t="shared" ca="1" si="15"/>
        <v>-0.76315101657874262</v>
      </c>
      <c r="AO29" s="14">
        <f t="shared" ca="1" si="17"/>
        <v>0.41452228496339399</v>
      </c>
      <c r="AP29" s="14">
        <f ca="1">(AV29-$AP$3)/$AP$4</f>
        <v>0.95278489314977977</v>
      </c>
      <c r="AQ29" s="22">
        <f t="shared" si="18"/>
        <v>6.1094666666666679</v>
      </c>
      <c r="AR29" s="22">
        <f t="shared" si="19"/>
        <v>2.3279999999999998</v>
      </c>
      <c r="AS29" s="22">
        <f ca="1">(U29-AS$3)</f>
        <v>2.1711787404319727E-2</v>
      </c>
      <c r="AT29" s="22">
        <f ca="1">(W29-AT$3)</f>
        <v>0.10292290950115712</v>
      </c>
      <c r="AU29" s="11">
        <f ca="1">AS29*V29</f>
        <v>0.26652811236545454</v>
      </c>
      <c r="AV29" s="11">
        <f ca="1">AT29*X29</f>
        <v>0.26533526069398305</v>
      </c>
    </row>
    <row r="30" spans="1:48">
      <c r="A30">
        <v>25</v>
      </c>
      <c r="B30" s="27" t="str">
        <f t="shared" si="16"/>
        <v>Rudy Gobert</v>
      </c>
      <c r="C30" s="21">
        <v>30.591255381984947</v>
      </c>
      <c r="D30" s="12">
        <f t="shared" ca="1" si="0"/>
        <v>30.664018702295369</v>
      </c>
      <c r="E30" s="12">
        <f t="shared" ca="1" si="1"/>
        <v>30.664018702295369</v>
      </c>
      <c r="F30" s="29">
        <f ca="1">SUM(AI30:AN30,AP30,AO30)+$A$4</f>
        <v>5.7355650670790617</v>
      </c>
      <c r="G30" s="29">
        <f ca="1">SUM(Y30:AF30)+$A$4</f>
        <v>5.7355650670790617</v>
      </c>
      <c r="H30" s="10">
        <v>1</v>
      </c>
      <c r="I30" s="10">
        <v>0</v>
      </c>
      <c r="J30" t="e">
        <f>VLOOKUP(N30,Schedule!#REF!,2,0)</f>
        <v>#REF!</v>
      </c>
      <c r="K30" s="17">
        <v>25</v>
      </c>
      <c r="L30" s="17" t="s">
        <v>73</v>
      </c>
      <c r="M30" s="17" t="s">
        <v>22</v>
      </c>
      <c r="N30" s="17" t="s">
        <v>67</v>
      </c>
      <c r="O30" s="22">
        <v>13.48012987012987</v>
      </c>
      <c r="P30" s="22">
        <v>0</v>
      </c>
      <c r="Q30" s="22">
        <v>14.075974025974025</v>
      </c>
      <c r="R30" s="22">
        <v>1.291948051948052</v>
      </c>
      <c r="S30" s="22">
        <v>0.67999999999999994</v>
      </c>
      <c r="T30" s="22">
        <v>2.7199999999999998</v>
      </c>
      <c r="U30" s="22">
        <v>0.68799454297407914</v>
      </c>
      <c r="V30" s="22">
        <v>7.615584415584415</v>
      </c>
      <c r="W30" s="22">
        <v>0.64600805098960079</v>
      </c>
      <c r="X30" s="22">
        <v>4.6457142857142859</v>
      </c>
      <c r="Y30" s="14">
        <f t="shared" ca="1" si="2"/>
        <v>-0.46233003338838952</v>
      </c>
      <c r="Z30" s="14">
        <f t="shared" ca="1" si="3"/>
        <v>-1.7120096997355103</v>
      </c>
      <c r="AA30" s="14">
        <f t="shared" ca="1" si="4"/>
        <v>3.4982667639786862</v>
      </c>
      <c r="AB30" s="14">
        <f t="shared" ca="1" si="5"/>
        <v>-1.1105732239380841</v>
      </c>
      <c r="AC30" s="14">
        <f t="shared" ca="1" si="6"/>
        <v>-0.98734252137115419</v>
      </c>
      <c r="AD30" s="14">
        <f t="shared" ca="1" si="7"/>
        <v>3.7689668492487107</v>
      </c>
      <c r="AE30" s="14">
        <f ca="1">U$4*AO30</f>
        <v>2.5112190330023525</v>
      </c>
      <c r="AF30" s="15">
        <f ca="1">AP30*W$4</f>
        <v>-2.5706321007175492</v>
      </c>
      <c r="AG30" s="12">
        <f t="shared" ca="1" si="8"/>
        <v>2.9355650670790614</v>
      </c>
      <c r="AH30" s="14">
        <f t="shared" ca="1" si="9"/>
        <v>0.96532354373786711</v>
      </c>
      <c r="AI30" s="14">
        <f t="shared" ca="1" si="10"/>
        <v>-0.46233003338838952</v>
      </c>
      <c r="AJ30" s="14">
        <f t="shared" ca="1" si="11"/>
        <v>-1.7120096997355103</v>
      </c>
      <c r="AK30" s="14">
        <f t="shared" ca="1" si="12"/>
        <v>3.4982667639786862</v>
      </c>
      <c r="AL30" s="14">
        <f t="shared" ca="1" si="13"/>
        <v>-1.1105732239380841</v>
      </c>
      <c r="AM30" s="14">
        <f t="shared" ca="1" si="14"/>
        <v>-0.98734252137115419</v>
      </c>
      <c r="AN30" s="14">
        <f t="shared" ca="1" si="15"/>
        <v>3.7689668492487107</v>
      </c>
      <c r="AO30" s="14">
        <f t="shared" ca="1" si="17"/>
        <v>2.5112190330023525</v>
      </c>
      <c r="AP30" s="14">
        <f ca="1">(AV30-$AP$3)/$AP$4</f>
        <v>-2.5706321007175492</v>
      </c>
      <c r="AQ30" s="22">
        <f t="shared" si="18"/>
        <v>5.2394805194805194</v>
      </c>
      <c r="AR30" s="22">
        <f t="shared" si="19"/>
        <v>3.0011688311688314</v>
      </c>
      <c r="AS30" s="22">
        <f ca="1">(U30-AS$3)</f>
        <v>0.21201983778596717</v>
      </c>
      <c r="AT30" s="22">
        <f ca="1">(W30-AT$3)</f>
        <v>-0.15409464075051438</v>
      </c>
      <c r="AU30" s="11">
        <f ca="1">AS30*V30</f>
        <v>1.6146549724375472</v>
      </c>
      <c r="AV30" s="11">
        <f ca="1">AT30*X30</f>
        <v>-0.71587967388667539</v>
      </c>
    </row>
    <row r="31" spans="1:48">
      <c r="A31">
        <v>26</v>
      </c>
      <c r="B31" s="27" t="str">
        <f t="shared" si="16"/>
        <v>Domantas Sabonis</v>
      </c>
      <c r="C31" s="21">
        <v>30.519909371674991</v>
      </c>
      <c r="D31" s="12">
        <f t="shared" ca="1" si="0"/>
        <v>30.940458534620205</v>
      </c>
      <c r="E31" s="12">
        <f t="shared" ca="1" si="1"/>
        <v>30.940458534620209</v>
      </c>
      <c r="F31" s="29">
        <f ca="1">SUM(AI31:AN31,AP31,AO31)+$A$4</f>
        <v>5.7872718789234217</v>
      </c>
      <c r="G31" s="29">
        <f ca="1">SUM(Y31:AF31)+$A$4</f>
        <v>5.7872718789234225</v>
      </c>
      <c r="H31" s="10">
        <v>1</v>
      </c>
      <c r="I31" s="10">
        <v>0</v>
      </c>
      <c r="J31" t="e">
        <f>VLOOKUP(N31,Schedule!#REF!,2,0)</f>
        <v>#REF!</v>
      </c>
      <c r="K31" s="17">
        <v>26</v>
      </c>
      <c r="L31" s="17" t="s">
        <v>74</v>
      </c>
      <c r="M31" s="17" t="s">
        <v>45</v>
      </c>
      <c r="N31" s="17" t="s">
        <v>75</v>
      </c>
      <c r="O31" s="22">
        <v>19.472602739726028</v>
      </c>
      <c r="P31" s="22">
        <v>0.75876712328767126</v>
      </c>
      <c r="Q31" s="22">
        <v>11.017397260273972</v>
      </c>
      <c r="R31" s="22">
        <v>6.0810958904109595</v>
      </c>
      <c r="S31" s="22">
        <v>1.0016438356164383</v>
      </c>
      <c r="T31" s="22">
        <v>0.57232876712328773</v>
      </c>
      <c r="U31" s="22">
        <v>0.53317887198537084</v>
      </c>
      <c r="V31" s="22">
        <v>14.308082191780821</v>
      </c>
      <c r="W31" s="22">
        <v>0.73199106443470952</v>
      </c>
      <c r="X31" s="22">
        <v>4.7217808219178083</v>
      </c>
      <c r="Y31" s="14">
        <f t="shared" ca="1" si="2"/>
        <v>0.57961244110995636</v>
      </c>
      <c r="Z31" s="14">
        <f t="shared" ca="1" si="3"/>
        <v>-0.95852629240500087</v>
      </c>
      <c r="AA31" s="14">
        <f t="shared" ca="1" si="4"/>
        <v>2.2196241451529706</v>
      </c>
      <c r="AB31" s="14">
        <f t="shared" ca="1" si="5"/>
        <v>1.1697060573631712</v>
      </c>
      <c r="AC31" s="14">
        <f t="shared" ca="1" si="6"/>
        <v>3.9641034564197833E-2</v>
      </c>
      <c r="AD31" s="14">
        <f t="shared" ca="1" si="7"/>
        <v>-0.18088942893177049</v>
      </c>
      <c r="AE31" s="14">
        <f ca="1">U$4*AO31</f>
        <v>1.2729576357672188</v>
      </c>
      <c r="AF31" s="15">
        <f ca="1">AP31*W$4</f>
        <v>-1.1548537136973209</v>
      </c>
      <c r="AG31" s="12">
        <f t="shared" ca="1" si="8"/>
        <v>2.9872718789234227</v>
      </c>
      <c r="AH31" s="14">
        <f t="shared" ca="1" si="9"/>
        <v>0.98232667659455108</v>
      </c>
      <c r="AI31" s="14">
        <f t="shared" ca="1" si="10"/>
        <v>0.57961244110995636</v>
      </c>
      <c r="AJ31" s="14">
        <f t="shared" ca="1" si="11"/>
        <v>-0.95852629240500087</v>
      </c>
      <c r="AK31" s="14">
        <f t="shared" ca="1" si="12"/>
        <v>2.2196241451529706</v>
      </c>
      <c r="AL31" s="14">
        <f t="shared" ca="1" si="13"/>
        <v>1.1697060573631712</v>
      </c>
      <c r="AM31" s="14">
        <f t="shared" ca="1" si="14"/>
        <v>3.9641034564197833E-2</v>
      </c>
      <c r="AN31" s="14">
        <f t="shared" ca="1" si="15"/>
        <v>-0.18088942893177049</v>
      </c>
      <c r="AO31" s="14">
        <f t="shared" ca="1" si="17"/>
        <v>1.2729576357672188</v>
      </c>
      <c r="AP31" s="14">
        <f ca="1">(AV31-$AP$3)/$AP$4</f>
        <v>-1.1548537136973209</v>
      </c>
      <c r="AQ31" s="22">
        <f t="shared" si="18"/>
        <v>7.6287671232876706</v>
      </c>
      <c r="AR31" s="22">
        <f t="shared" si="19"/>
        <v>3.4563013698630143</v>
      </c>
      <c r="AS31" s="22">
        <f ca="1">(U31-AS$3)</f>
        <v>5.7204166797258871E-2</v>
      </c>
      <c r="AT31" s="22">
        <f ca="1">(W31-AT$3)</f>
        <v>-6.8111627305405653E-2</v>
      </c>
      <c r="AU31" s="11">
        <f ca="1">AS31*V31</f>
        <v>0.81848192024751942</v>
      </c>
      <c r="AV31" s="11">
        <f ca="1">AT31*X31</f>
        <v>-0.32160817556027776</v>
      </c>
    </row>
    <row r="32" spans="1:48">
      <c r="A32">
        <v>27</v>
      </c>
      <c r="B32" s="27" t="str">
        <f t="shared" si="16"/>
        <v>Zion Williamson</v>
      </c>
      <c r="C32" s="21">
        <v>29.662754038440713</v>
      </c>
      <c r="D32" s="12">
        <f t="shared" ca="1" si="0"/>
        <v>30.181898568227957</v>
      </c>
      <c r="E32" s="12">
        <f t="shared" ca="1" si="1"/>
        <v>30.18189856822795</v>
      </c>
      <c r="F32" s="29">
        <f ca="1">SUM(AI32:AN32,AP32,AO32)+$A$4</f>
        <v>5.6453866913762862</v>
      </c>
      <c r="G32" s="29">
        <f ca="1">SUM(Y32:AF32)+$A$4</f>
        <v>5.6453866913762853</v>
      </c>
      <c r="H32" s="10">
        <v>1</v>
      </c>
      <c r="I32" s="10">
        <v>0</v>
      </c>
      <c r="J32" t="e">
        <f>VLOOKUP(N32,Schedule!#REF!,2,0)</f>
        <v>#REF!</v>
      </c>
      <c r="K32" s="17">
        <v>27</v>
      </c>
      <c r="L32" s="17" t="s">
        <v>76</v>
      </c>
      <c r="M32" s="17" t="s">
        <v>45</v>
      </c>
      <c r="N32" s="17" t="s">
        <v>77</v>
      </c>
      <c r="O32" s="22">
        <v>30.384927536231885</v>
      </c>
      <c r="P32" s="22">
        <v>0.17884057971014491</v>
      </c>
      <c r="Q32" s="22">
        <v>7.511884057971014</v>
      </c>
      <c r="R32" s="22">
        <v>4.6856521739130432</v>
      </c>
      <c r="S32" s="22">
        <v>0.96681159420289842</v>
      </c>
      <c r="T32" s="22">
        <v>0.59507246376811596</v>
      </c>
      <c r="U32" s="22">
        <v>0.61933993145145771</v>
      </c>
      <c r="V32" s="22">
        <v>18.816666666666666</v>
      </c>
      <c r="W32" s="22">
        <v>0.70499888913574771</v>
      </c>
      <c r="X32" s="22">
        <v>9.784782608695652</v>
      </c>
      <c r="Y32" s="14">
        <f t="shared" ca="1" si="2"/>
        <v>2.4769951991844561</v>
      </c>
      <c r="Z32" s="14">
        <f t="shared" ca="1" si="3"/>
        <v>-1.5344144860880227</v>
      </c>
      <c r="AA32" s="14">
        <f t="shared" ca="1" si="4"/>
        <v>0.75413907654627876</v>
      </c>
      <c r="AB32" s="14">
        <f t="shared" ca="1" si="5"/>
        <v>0.50528693682637538</v>
      </c>
      <c r="AC32" s="14">
        <f t="shared" ca="1" si="6"/>
        <v>-7.1575582037571195E-2</v>
      </c>
      <c r="AD32" s="14">
        <f t="shared" ca="1" si="7"/>
        <v>-0.1390607115720478</v>
      </c>
      <c r="AE32" s="14">
        <f ca="1">U$4*AO32</f>
        <v>4.1955739084507657</v>
      </c>
      <c r="AF32" s="15">
        <f ca="1">AP32*W$4</f>
        <v>-3.3415576499339483</v>
      </c>
      <c r="AG32" s="12">
        <f t="shared" ca="1" si="8"/>
        <v>2.8453866913762855</v>
      </c>
      <c r="AH32" s="14">
        <f t="shared" ca="1" si="9"/>
        <v>0.93566952237817502</v>
      </c>
      <c r="AI32" s="14">
        <f t="shared" ca="1" si="10"/>
        <v>2.4769951991844561</v>
      </c>
      <c r="AJ32" s="14">
        <f t="shared" ca="1" si="11"/>
        <v>-1.5344144860880227</v>
      </c>
      <c r="AK32" s="14">
        <f t="shared" ca="1" si="12"/>
        <v>0.75413907654627876</v>
      </c>
      <c r="AL32" s="14">
        <f t="shared" ca="1" si="13"/>
        <v>0.50528693682637538</v>
      </c>
      <c r="AM32" s="14">
        <f t="shared" ca="1" si="14"/>
        <v>-7.1575582037571195E-2</v>
      </c>
      <c r="AN32" s="14">
        <f t="shared" ca="1" si="15"/>
        <v>-0.1390607115720478</v>
      </c>
      <c r="AO32" s="14">
        <f t="shared" ca="1" si="17"/>
        <v>4.1955739084507657</v>
      </c>
      <c r="AP32" s="14">
        <f ca="1">(AV32-$AP$3)/$AP$4</f>
        <v>-3.3415576499339483</v>
      </c>
      <c r="AQ32" s="22">
        <f t="shared" si="18"/>
        <v>11.653913043478262</v>
      </c>
      <c r="AR32" s="22">
        <f t="shared" si="19"/>
        <v>6.8982608695652186</v>
      </c>
      <c r="AS32" s="22">
        <f ca="1">(U32-AS$3)</f>
        <v>0.14336522626334575</v>
      </c>
      <c r="AT32" s="22">
        <f ca="1">(W32-AT$3)</f>
        <v>-9.510380260436746E-2</v>
      </c>
      <c r="AU32" s="11">
        <f ca="1">AS32*V32</f>
        <v>2.6976556741886224</v>
      </c>
      <c r="AV32" s="11">
        <f ca="1">AT32*X32</f>
        <v>-0.93057003374403902</v>
      </c>
    </row>
    <row r="33" spans="1:48">
      <c r="A33">
        <v>28</v>
      </c>
      <c r="B33" s="27" t="str">
        <f t="shared" si="16"/>
        <v>O.G. Anunoby</v>
      </c>
      <c r="C33" s="21">
        <v>29.367785567045505</v>
      </c>
      <c r="D33" s="12">
        <f t="shared" ca="1" si="0"/>
        <v>29.947595014835816</v>
      </c>
      <c r="E33" s="12">
        <f t="shared" ca="1" si="1"/>
        <v>29.947595014835816</v>
      </c>
      <c r="F33" s="29">
        <f ca="1">SUM(AI33:AN33,AP33,AO33)+$A$4</f>
        <v>5.6015612786352005</v>
      </c>
      <c r="G33" s="29">
        <f ca="1">SUM(Y33:AF33)+$A$4</f>
        <v>5.6015612786352005</v>
      </c>
      <c r="H33" s="10">
        <v>1</v>
      </c>
      <c r="I33" s="10">
        <v>0</v>
      </c>
      <c r="J33" t="e">
        <f>VLOOKUP(N33,Schedule!#REF!,2,0)</f>
        <v>#REF!</v>
      </c>
      <c r="K33" s="17">
        <v>28</v>
      </c>
      <c r="L33" s="17" t="s">
        <v>78</v>
      </c>
      <c r="M33" s="17" t="s">
        <v>33</v>
      </c>
      <c r="N33" s="17" t="s">
        <v>57</v>
      </c>
      <c r="O33" s="22">
        <v>18.132686567164182</v>
      </c>
      <c r="P33" s="22">
        <v>2.6589552238805969</v>
      </c>
      <c r="Q33" s="22">
        <v>5.7443283582089553</v>
      </c>
      <c r="R33" s="22">
        <v>2.4302985074626866</v>
      </c>
      <c r="S33" s="22">
        <v>1.6201492537313433</v>
      </c>
      <c r="T33" s="22">
        <v>0.73641791044776128</v>
      </c>
      <c r="U33" s="22">
        <v>0.4778620417479974</v>
      </c>
      <c r="V33" s="22">
        <v>13.992985074626866</v>
      </c>
      <c r="W33" s="22">
        <v>0.78998484253073598</v>
      </c>
      <c r="X33" s="22">
        <v>2.6586567164179105</v>
      </c>
      <c r="Y33" s="14">
        <f t="shared" ca="1" si="2"/>
        <v>0.34663423614504529</v>
      </c>
      <c r="Z33" s="14">
        <f t="shared" ca="1" si="3"/>
        <v>0.92842974543695955</v>
      </c>
      <c r="AA33" s="14">
        <f t="shared" ca="1" si="4"/>
        <v>1.5209756802103578E-2</v>
      </c>
      <c r="AB33" s="14">
        <f t="shared" ca="1" si="5"/>
        <v>-0.56856511599815807</v>
      </c>
      <c r="AC33" s="14">
        <f t="shared" ca="1" si="6"/>
        <v>2.0144803547195491</v>
      </c>
      <c r="AD33" s="14">
        <f t="shared" ca="1" si="7"/>
        <v>0.12089257709402558</v>
      </c>
      <c r="AE33" s="14">
        <f ca="1">U$4*AO33</f>
        <v>4.1073771583859095E-2</v>
      </c>
      <c r="AF33" s="15">
        <f ca="1">AP33*W$4</f>
        <v>-9.659404714818258E-2</v>
      </c>
      <c r="AG33" s="12">
        <f t="shared" ca="1" si="8"/>
        <v>2.8015612786352011</v>
      </c>
      <c r="AH33" s="14">
        <f t="shared" ca="1" si="9"/>
        <v>0.92125808820237143</v>
      </c>
      <c r="AI33" s="14">
        <f t="shared" ca="1" si="10"/>
        <v>0.34663423614504529</v>
      </c>
      <c r="AJ33" s="14">
        <f t="shared" ca="1" si="11"/>
        <v>0.92842974543695955</v>
      </c>
      <c r="AK33" s="14">
        <f t="shared" ca="1" si="12"/>
        <v>1.5209756802103578E-2</v>
      </c>
      <c r="AL33" s="14">
        <f t="shared" ca="1" si="13"/>
        <v>-0.56856511599815807</v>
      </c>
      <c r="AM33" s="14">
        <f t="shared" ca="1" si="14"/>
        <v>2.0144803547195491</v>
      </c>
      <c r="AN33" s="14">
        <f t="shared" ca="1" si="15"/>
        <v>0.12089257709402558</v>
      </c>
      <c r="AO33" s="14">
        <f t="shared" ca="1" si="17"/>
        <v>4.1073771583859095E-2</v>
      </c>
      <c r="AP33" s="14">
        <f ca="1">(AV33-$AP$3)/$AP$4</f>
        <v>-9.659404714818258E-2</v>
      </c>
      <c r="AQ33" s="22">
        <f t="shared" si="18"/>
        <v>6.6867164179104481</v>
      </c>
      <c r="AR33" s="22">
        <f t="shared" si="19"/>
        <v>2.1002985074626865</v>
      </c>
      <c r="AS33" s="22">
        <f ca="1">(U33-AS$3)</f>
        <v>1.887336559885433E-3</v>
      </c>
      <c r="AT33" s="22">
        <f ca="1">(W33-AT$3)</f>
        <v>-1.0117849209379193E-2</v>
      </c>
      <c r="AU33" s="11">
        <f ca="1">AS33*V33</f>
        <v>2.6409472313274479E-2</v>
      </c>
      <c r="AV33" s="11">
        <f ca="1">AT33*X33</f>
        <v>-2.6899887756219636E-2</v>
      </c>
    </row>
    <row r="34" spans="1:48">
      <c r="A34">
        <v>29</v>
      </c>
      <c r="B34" s="27" t="str">
        <f t="shared" si="16"/>
        <v>Jaylen Brown</v>
      </c>
      <c r="C34" s="21">
        <v>29.333883506799754</v>
      </c>
      <c r="D34" s="12">
        <f t="shared" ca="1" si="0"/>
        <v>29.974199910190098</v>
      </c>
      <c r="E34" s="12">
        <f t="shared" ca="1" si="1"/>
        <v>29.974199910190098</v>
      </c>
      <c r="F34" s="29">
        <f ca="1">SUM(AI34:AN34,AP34,AO34)+$A$4</f>
        <v>5.6065376031635932</v>
      </c>
      <c r="G34" s="29">
        <f ca="1">SUM(Y34:AF34)+$A$4</f>
        <v>5.6065376031635932</v>
      </c>
      <c r="H34" s="10">
        <v>1</v>
      </c>
      <c r="I34" s="10">
        <v>0</v>
      </c>
      <c r="J34" t="e">
        <f>VLOOKUP(N34,Schedule!#REF!,2,0)</f>
        <v>#REF!</v>
      </c>
      <c r="K34" s="17">
        <v>29</v>
      </c>
      <c r="L34" s="17" t="s">
        <v>79</v>
      </c>
      <c r="M34" s="17" t="s">
        <v>48</v>
      </c>
      <c r="N34" s="17" t="s">
        <v>42</v>
      </c>
      <c r="O34" s="22">
        <v>24.903380281690136</v>
      </c>
      <c r="P34" s="22">
        <v>2.8053521126760566</v>
      </c>
      <c r="Q34" s="22">
        <v>6.1861971830985922</v>
      </c>
      <c r="R34" s="22">
        <v>3.0930985915492961</v>
      </c>
      <c r="S34" s="22">
        <v>1.1783098591549295</v>
      </c>
      <c r="T34" s="22">
        <v>0.51549295774647885</v>
      </c>
      <c r="U34" s="22">
        <v>0.48132218121204895</v>
      </c>
      <c r="V34" s="22">
        <v>18.927323943661975</v>
      </c>
      <c r="W34" s="22">
        <v>0.78800194624917719</v>
      </c>
      <c r="X34" s="22">
        <v>4.9209859154929578</v>
      </c>
      <c r="Y34" s="14">
        <f t="shared" ca="1" si="2"/>
        <v>1.5238900229466292</v>
      </c>
      <c r="Z34" s="14">
        <f t="shared" ca="1" si="3"/>
        <v>1.0738071915685676</v>
      </c>
      <c r="AA34" s="14">
        <f t="shared" ca="1" si="4"/>
        <v>0.19993368388163546</v>
      </c>
      <c r="AB34" s="14">
        <f t="shared" ca="1" si="5"/>
        <v>-0.25298302282299634</v>
      </c>
      <c r="AC34" s="14">
        <f t="shared" ca="1" si="6"/>
        <v>0.60372180023097077</v>
      </c>
      <c r="AD34" s="14">
        <f t="shared" ca="1" si="7"/>
        <v>-0.28541812729858645</v>
      </c>
      <c r="AE34" s="14">
        <f ca="1">U$4*AO34</f>
        <v>0.15741384283447238</v>
      </c>
      <c r="AF34" s="15">
        <f ca="1">AP34*W$4</f>
        <v>-0.21382778817709902</v>
      </c>
      <c r="AG34" s="12">
        <f t="shared" ca="1" si="8"/>
        <v>2.8065376031635938</v>
      </c>
      <c r="AH34" s="14">
        <f t="shared" ca="1" si="9"/>
        <v>0.92289448975327204</v>
      </c>
      <c r="AI34" s="14">
        <f t="shared" ca="1" si="10"/>
        <v>1.5238900229466292</v>
      </c>
      <c r="AJ34" s="14">
        <f t="shared" ca="1" si="11"/>
        <v>1.0738071915685676</v>
      </c>
      <c r="AK34" s="14">
        <f t="shared" ca="1" si="12"/>
        <v>0.19993368388163546</v>
      </c>
      <c r="AL34" s="14">
        <f t="shared" ca="1" si="13"/>
        <v>-0.25298302282299634</v>
      </c>
      <c r="AM34" s="14">
        <f t="shared" ca="1" si="14"/>
        <v>0.60372180023097077</v>
      </c>
      <c r="AN34" s="14">
        <f t="shared" ca="1" si="15"/>
        <v>-0.28541812729858645</v>
      </c>
      <c r="AO34" s="14">
        <f t="shared" ca="1" si="17"/>
        <v>0.15741384283447238</v>
      </c>
      <c r="AP34" s="14">
        <f ca="1">(AV34-$AP$3)/$AP$4</f>
        <v>-0.21382778817709902</v>
      </c>
      <c r="AQ34" s="22">
        <f t="shared" si="18"/>
        <v>9.110140845070422</v>
      </c>
      <c r="AR34" s="22">
        <f t="shared" si="19"/>
        <v>3.8777464788732399</v>
      </c>
      <c r="AS34" s="22">
        <f ca="1">(U34-AS$3)</f>
        <v>5.3474760239369812E-3</v>
      </c>
      <c r="AT34" s="22">
        <f ca="1">(W34-AT$3)</f>
        <v>-1.2100745490937981E-2</v>
      </c>
      <c r="AU34" s="11">
        <f ca="1">AS34*V34</f>
        <v>0.10121341098602075</v>
      </c>
      <c r="AV34" s="11">
        <f ca="1">AT34*X34</f>
        <v>-5.9547598127870721E-2</v>
      </c>
    </row>
    <row r="35" spans="1:48">
      <c r="A35">
        <v>30</v>
      </c>
      <c r="B35" s="27" t="str">
        <f t="shared" si="16"/>
        <v>LeBron James</v>
      </c>
      <c r="C35" s="21">
        <v>29.26414780666401</v>
      </c>
      <c r="D35" s="12">
        <f t="shared" ca="1" si="0"/>
        <v>29.871974156205685</v>
      </c>
      <c r="E35" s="12">
        <f t="shared" ca="1" si="1"/>
        <v>29.871974156205685</v>
      </c>
      <c r="F35" s="29">
        <f ca="1">SUM(AI35:AN35,AP35,AO35)+$A$4</f>
        <v>5.5874167413743674</v>
      </c>
      <c r="G35" s="29">
        <f ca="1">SUM(Y35:AF35)+$A$4</f>
        <v>5.5874167413743674</v>
      </c>
      <c r="H35" s="10">
        <v>1</v>
      </c>
      <c r="I35" s="10">
        <v>0</v>
      </c>
      <c r="J35" t="e">
        <f>VLOOKUP(N35,Schedule!#REF!,2,0)</f>
        <v>#REF!</v>
      </c>
      <c r="K35" s="17">
        <v>30</v>
      </c>
      <c r="L35" s="17" t="s">
        <v>80</v>
      </c>
      <c r="M35" s="17" t="s">
        <v>81</v>
      </c>
      <c r="N35" s="17" t="s">
        <v>55</v>
      </c>
      <c r="O35" s="22">
        <v>23.904788732394362</v>
      </c>
      <c r="P35" s="22">
        <v>2.2154929577464793</v>
      </c>
      <c r="Q35" s="22">
        <v>6.8722535211267601</v>
      </c>
      <c r="R35" s="22">
        <v>7.0826760563380287</v>
      </c>
      <c r="S35" s="22">
        <v>1.0518309859154931</v>
      </c>
      <c r="T35" s="22">
        <v>0.56098591549295773</v>
      </c>
      <c r="U35" s="22">
        <v>0.50731966783633164</v>
      </c>
      <c r="V35" s="22">
        <v>17.741126760563379</v>
      </c>
      <c r="W35" s="22">
        <v>0.69298756284731411</v>
      </c>
      <c r="X35" s="22">
        <v>5.3225352112676054</v>
      </c>
      <c r="Y35" s="14">
        <f t="shared" ca="1" si="2"/>
        <v>1.3502597082954932</v>
      </c>
      <c r="Z35" s="14">
        <f t="shared" ca="1" si="3"/>
        <v>0.48805555281058621</v>
      </c>
      <c r="AA35" s="14">
        <f t="shared" ca="1" si="4"/>
        <v>0.48674056823248063</v>
      </c>
      <c r="AB35" s="14">
        <f t="shared" ca="1" si="5"/>
        <v>1.6465930898709813</v>
      </c>
      <c r="AC35" s="14">
        <f t="shared" ca="1" si="6"/>
        <v>0.19988467168413476</v>
      </c>
      <c r="AD35" s="14">
        <f t="shared" ca="1" si="7"/>
        <v>-0.20175045879457562</v>
      </c>
      <c r="AE35" s="14">
        <f ca="1">U$4*AO35</f>
        <v>0.86487593982362998</v>
      </c>
      <c r="AF35" s="15">
        <f ca="1">AP35*W$4</f>
        <v>-2.0472423305483631</v>
      </c>
      <c r="AG35" s="12">
        <f t="shared" ca="1" si="8"/>
        <v>2.7874167413743671</v>
      </c>
      <c r="AH35" s="14">
        <f t="shared" ca="1" si="9"/>
        <v>0.91660683554022337</v>
      </c>
      <c r="AI35" s="14">
        <f t="shared" ca="1" si="10"/>
        <v>1.3502597082954932</v>
      </c>
      <c r="AJ35" s="14">
        <f t="shared" ca="1" si="11"/>
        <v>0.48805555281058621</v>
      </c>
      <c r="AK35" s="14">
        <f t="shared" ca="1" si="12"/>
        <v>0.48674056823248063</v>
      </c>
      <c r="AL35" s="14">
        <f t="shared" ca="1" si="13"/>
        <v>1.6465930898709813</v>
      </c>
      <c r="AM35" s="14">
        <f t="shared" ca="1" si="14"/>
        <v>0.19988467168413476</v>
      </c>
      <c r="AN35" s="14">
        <f t="shared" ca="1" si="15"/>
        <v>-0.20175045879457562</v>
      </c>
      <c r="AO35" s="14">
        <f t="shared" ca="1" si="17"/>
        <v>0.86487593982362998</v>
      </c>
      <c r="AP35" s="14">
        <f ca="1">(AV35-$AP$3)/$AP$4</f>
        <v>-2.0472423305483631</v>
      </c>
      <c r="AQ35" s="22">
        <f t="shared" si="18"/>
        <v>9.0004225352112677</v>
      </c>
      <c r="AR35" s="22">
        <f t="shared" si="19"/>
        <v>3.6884507042253518</v>
      </c>
      <c r="AS35" s="22">
        <f ca="1">(U35-AS$3)</f>
        <v>3.1344962648219676E-2</v>
      </c>
      <c r="AT35" s="22">
        <f ca="1">(W35-AT$3)</f>
        <v>-0.10711512889280106</v>
      </c>
      <c r="AU35" s="11">
        <f ca="1">AS35*V35</f>
        <v>0.55609495564718969</v>
      </c>
      <c r="AV35" s="11">
        <f ca="1">AT35*X35</f>
        <v>-0.5701240451914017</v>
      </c>
    </row>
    <row r="36" spans="1:48">
      <c r="A36">
        <v>31</v>
      </c>
      <c r="B36" s="27" t="str">
        <f t="shared" si="16"/>
        <v>Michael Porter Jr.</v>
      </c>
      <c r="C36" s="21">
        <v>29.11949959757899</v>
      </c>
      <c r="D36" s="12">
        <f t="shared" ca="1" si="0"/>
        <v>29.567931254145829</v>
      </c>
      <c r="E36" s="12">
        <f t="shared" ca="1" si="1"/>
        <v>29.567931254145829</v>
      </c>
      <c r="F36" s="29">
        <f ca="1">SUM(AI36:AN36,AP36,AO36)+$A$4</f>
        <v>5.530546901028969</v>
      </c>
      <c r="G36" s="29">
        <f ca="1">SUM(Y36:AF36)+$A$4</f>
        <v>5.530546901028969</v>
      </c>
      <c r="H36" s="10">
        <v>1</v>
      </c>
      <c r="I36" s="10">
        <v>0</v>
      </c>
      <c r="J36" t="e">
        <f>VLOOKUP(N36,Schedule!#REF!,2,0)</f>
        <v>#REF!</v>
      </c>
      <c r="K36" s="17">
        <v>31</v>
      </c>
      <c r="L36" s="17" t="s">
        <v>82</v>
      </c>
      <c r="M36" s="17" t="s">
        <v>33</v>
      </c>
      <c r="N36" s="17" t="s">
        <v>23</v>
      </c>
      <c r="O36" s="22">
        <v>22.289692307692309</v>
      </c>
      <c r="P36" s="22">
        <v>3.2778461538461539</v>
      </c>
      <c r="Q36" s="22">
        <v>7.8952307692307704</v>
      </c>
      <c r="R36" s="22">
        <v>1.6335384615384616</v>
      </c>
      <c r="S36" s="22">
        <v>0.61261538461538467</v>
      </c>
      <c r="T36" s="22">
        <v>0.8167692307692308</v>
      </c>
      <c r="U36" s="22">
        <v>0.52400047175374465</v>
      </c>
      <c r="V36" s="22">
        <v>15.653538461538462</v>
      </c>
      <c r="W36" s="22">
        <v>0.79300823661549968</v>
      </c>
      <c r="X36" s="22">
        <v>3.2873846153846156</v>
      </c>
      <c r="Y36" s="14">
        <f t="shared" ca="1" si="2"/>
        <v>1.0694344793911366</v>
      </c>
      <c r="Z36" s="14">
        <f t="shared" ca="1" si="3"/>
        <v>1.5430109948931228</v>
      </c>
      <c r="AA36" s="14">
        <f t="shared" ca="1" si="4"/>
        <v>0.91439774597065426</v>
      </c>
      <c r="AB36" s="14">
        <f t="shared" ca="1" si="5"/>
        <v>-0.9479301901556445</v>
      </c>
      <c r="AC36" s="14">
        <f t="shared" ca="1" si="6"/>
        <v>-1.2024963165321874</v>
      </c>
      <c r="AD36" s="14">
        <f t="shared" ca="1" si="7"/>
        <v>0.26866946313385753</v>
      </c>
      <c r="AE36" s="14">
        <f ca="1">U$4*AO36</f>
        <v>1.16920776301359</v>
      </c>
      <c r="AF36" s="15">
        <f ca="1">AP36*W$4</f>
        <v>-8.374703868555998E-2</v>
      </c>
      <c r="AG36" s="12">
        <f t="shared" ca="1" si="8"/>
        <v>2.7305469010289691</v>
      </c>
      <c r="AH36" s="14">
        <f t="shared" ca="1" si="9"/>
        <v>0.8979059058862775</v>
      </c>
      <c r="AI36" s="14">
        <f t="shared" ca="1" si="10"/>
        <v>1.0694344793911366</v>
      </c>
      <c r="AJ36" s="14">
        <f t="shared" ca="1" si="11"/>
        <v>1.5430109948931228</v>
      </c>
      <c r="AK36" s="14">
        <f t="shared" ca="1" si="12"/>
        <v>0.91439774597065426</v>
      </c>
      <c r="AL36" s="14">
        <f t="shared" ca="1" si="13"/>
        <v>-0.9479301901556445</v>
      </c>
      <c r="AM36" s="14">
        <f t="shared" ca="1" si="14"/>
        <v>-1.2024963165321874</v>
      </c>
      <c r="AN36" s="14">
        <f t="shared" ca="1" si="15"/>
        <v>0.26866946313385753</v>
      </c>
      <c r="AO36" s="14">
        <f t="shared" ca="1" si="17"/>
        <v>1.16920776301359</v>
      </c>
      <c r="AP36" s="14">
        <f ca="1">(AV36-$AP$3)/$AP$4</f>
        <v>-8.374703868555998E-2</v>
      </c>
      <c r="AQ36" s="22">
        <f t="shared" si="18"/>
        <v>8.2024615384615398</v>
      </c>
      <c r="AR36" s="22">
        <f t="shared" si="19"/>
        <v>2.6069230769230765</v>
      </c>
      <c r="AS36" s="22">
        <f ca="1">(U36-AS$3)</f>
        <v>4.8025766565632677E-2</v>
      </c>
      <c r="AT36" s="22">
        <f ca="1">(W36-AT$3)</f>
        <v>-7.0944551246154841E-3</v>
      </c>
      <c r="AU36" s="11">
        <f ca="1">AS36*V36</f>
        <v>0.75177318407999905</v>
      </c>
      <c r="AV36" s="11">
        <f ca="1">AT36*X36</f>
        <v>-2.3322202631197487E-2</v>
      </c>
    </row>
    <row r="37" spans="1:48">
      <c r="A37">
        <v>32</v>
      </c>
      <c r="B37" s="27" t="str">
        <f t="shared" si="16"/>
        <v>Jaren Jackson Jr.</v>
      </c>
      <c r="C37" s="21">
        <v>29.02843414111528</v>
      </c>
      <c r="D37" s="12">
        <f t="shared" ca="1" si="0"/>
        <v>29.49320681823076</v>
      </c>
      <c r="E37" s="12">
        <f t="shared" ca="1" si="1"/>
        <v>29.49320681823076</v>
      </c>
      <c r="F37" s="29">
        <f ca="1">SUM(AI37:AN37,AP37,AO37)+$A$4</f>
        <v>5.516570035555052</v>
      </c>
      <c r="G37" s="29">
        <f ca="1">SUM(Y37:AF37)+$A$4</f>
        <v>5.516570035555052</v>
      </c>
      <c r="H37" s="10">
        <v>1</v>
      </c>
      <c r="I37" s="10">
        <v>0</v>
      </c>
      <c r="J37" t="e">
        <f>VLOOKUP(N37,Schedule!#REF!,2,0)</f>
        <v>#REF!</v>
      </c>
      <c r="K37" s="17">
        <v>32</v>
      </c>
      <c r="L37" s="17" t="s">
        <v>83</v>
      </c>
      <c r="M37" s="17" t="s">
        <v>45</v>
      </c>
      <c r="N37" s="17" t="s">
        <v>84</v>
      </c>
      <c r="O37" s="22">
        <v>20.437058823529412</v>
      </c>
      <c r="P37" s="22">
        <v>2.8694117647058826</v>
      </c>
      <c r="Q37" s="22">
        <v>6.3860294117647056</v>
      </c>
      <c r="R37" s="22">
        <v>1.3304411764705881</v>
      </c>
      <c r="S37" s="22">
        <v>0.93132352941176466</v>
      </c>
      <c r="T37" s="22">
        <v>1.9291176470588236</v>
      </c>
      <c r="U37" s="22">
        <v>0.46209246869599641</v>
      </c>
      <c r="V37" s="22">
        <v>15.2325</v>
      </c>
      <c r="W37" s="22">
        <v>0.79001331557922772</v>
      </c>
      <c r="X37" s="22">
        <v>4.4176470588235288</v>
      </c>
      <c r="Y37" s="14">
        <f t="shared" ca="1" si="2"/>
        <v>0.74730744455363562</v>
      </c>
      <c r="Z37" s="14">
        <f t="shared" ca="1" si="3"/>
        <v>1.1374207607420705</v>
      </c>
      <c r="AA37" s="14">
        <f t="shared" ca="1" si="4"/>
        <v>0.28347384774243561</v>
      </c>
      <c r="AB37" s="14">
        <f t="shared" ca="1" si="5"/>
        <v>-1.0922453131527157</v>
      </c>
      <c r="AC37" s="14">
        <f t="shared" ca="1" si="6"/>
        <v>-0.18488619127904382</v>
      </c>
      <c r="AD37" s="14">
        <f t="shared" ca="1" si="7"/>
        <v>2.3144278214653173</v>
      </c>
      <c r="AE37" s="14">
        <f ca="1">U$4*AO37</f>
        <v>-0.32887850178240707</v>
      </c>
      <c r="AF37" s="15">
        <f ca="1">AP37*W$4</f>
        <v>-0.16004983273424009</v>
      </c>
      <c r="AG37" s="12">
        <f t="shared" ca="1" si="8"/>
        <v>2.7165700355550526</v>
      </c>
      <c r="AH37" s="14">
        <f t="shared" ca="1" si="9"/>
        <v>0.89330978997628219</v>
      </c>
      <c r="AI37" s="14">
        <f t="shared" ca="1" si="10"/>
        <v>0.74730744455363562</v>
      </c>
      <c r="AJ37" s="14">
        <f t="shared" ca="1" si="11"/>
        <v>1.1374207607420705</v>
      </c>
      <c r="AK37" s="14">
        <f t="shared" ca="1" si="12"/>
        <v>0.28347384774243561</v>
      </c>
      <c r="AL37" s="14">
        <f t="shared" ca="1" si="13"/>
        <v>-1.0922453131527157</v>
      </c>
      <c r="AM37" s="14">
        <f t="shared" ca="1" si="14"/>
        <v>-0.18488619127904382</v>
      </c>
      <c r="AN37" s="14">
        <f t="shared" ca="1" si="15"/>
        <v>2.3144278214653173</v>
      </c>
      <c r="AO37" s="14">
        <f t="shared" ca="1" si="17"/>
        <v>-0.32887850178240707</v>
      </c>
      <c r="AP37" s="14">
        <f ca="1">(AV37-$AP$3)/$AP$4</f>
        <v>-0.16004983273424009</v>
      </c>
      <c r="AQ37" s="22">
        <f t="shared" si="18"/>
        <v>7.0388235294117649</v>
      </c>
      <c r="AR37" s="22">
        <f t="shared" si="19"/>
        <v>3.4899999999999998</v>
      </c>
      <c r="AS37" s="22">
        <f ca="1">(U37-AS$3)</f>
        <v>-1.3882236492115563E-2</v>
      </c>
      <c r="AT37" s="22">
        <f ca="1">(W37-AT$3)</f>
        <v>-1.0089376160887453E-2</v>
      </c>
      <c r="AU37" s="11">
        <f ca="1">AS37*V37</f>
        <v>-0.21146116736615031</v>
      </c>
      <c r="AV37" s="11">
        <f ca="1">AT37*X37</f>
        <v>-4.4571302922508688E-2</v>
      </c>
    </row>
    <row r="38" spans="1:48">
      <c r="A38">
        <v>33</v>
      </c>
      <c r="B38" s="27" t="str">
        <f t="shared" si="16"/>
        <v>Kristaps Porzingis</v>
      </c>
      <c r="C38" s="21">
        <v>28.826869380636008</v>
      </c>
      <c r="D38" s="12">
        <f t="shared" ca="1" si="0"/>
        <v>29.214658384976421</v>
      </c>
      <c r="E38" s="12">
        <f t="shared" ca="1" si="1"/>
        <v>29.214658384976421</v>
      </c>
      <c r="F38" s="29">
        <f ca="1">SUM(AI38:AN38,AP38,AO38)+$A$4</f>
        <v>5.4644688195085198</v>
      </c>
      <c r="G38" s="29">
        <f ca="1">SUM(Y38:AF38)+$A$4</f>
        <v>5.4644688195085198</v>
      </c>
      <c r="H38" s="10">
        <v>1</v>
      </c>
      <c r="I38" s="10">
        <v>0</v>
      </c>
      <c r="J38" t="e">
        <f>VLOOKUP(N38,Schedule!#REF!,2,0)</f>
        <v>#REF!</v>
      </c>
      <c r="K38" s="17">
        <v>33</v>
      </c>
      <c r="L38" s="17" t="s">
        <v>85</v>
      </c>
      <c r="M38" s="17" t="s">
        <v>63</v>
      </c>
      <c r="N38" s="17" t="s">
        <v>51</v>
      </c>
      <c r="O38" s="22">
        <v>21.387121212121215</v>
      </c>
      <c r="P38" s="22">
        <v>2.3828787878787878</v>
      </c>
      <c r="Q38" s="22">
        <v>9.4266666666666659</v>
      </c>
      <c r="R38" s="22">
        <v>1.8180303030303029</v>
      </c>
      <c r="S38" s="22">
        <v>0.53863636363636358</v>
      </c>
      <c r="T38" s="22">
        <v>1.4813636363636362</v>
      </c>
      <c r="U38" s="22">
        <v>0.46495490487887969</v>
      </c>
      <c r="V38" s="22">
        <v>16.900303030303032</v>
      </c>
      <c r="W38" s="22">
        <v>0.84599493276164484</v>
      </c>
      <c r="X38" s="22">
        <v>3.8871212121212122</v>
      </c>
      <c r="Y38" s="14">
        <f t="shared" ca="1" si="2"/>
        <v>0.91249974122962607</v>
      </c>
      <c r="Z38" s="14">
        <f t="shared" ca="1" si="3"/>
        <v>0.65427578264930175</v>
      </c>
      <c r="AA38" s="14">
        <f t="shared" ca="1" si="4"/>
        <v>1.5546168270872782</v>
      </c>
      <c r="AB38" s="14">
        <f t="shared" ca="1" si="5"/>
        <v>-0.86008722979758967</v>
      </c>
      <c r="AC38" s="14">
        <f t="shared" ca="1" si="6"/>
        <v>-1.4387055318713922</v>
      </c>
      <c r="AD38" s="14">
        <f t="shared" ca="1" si="7"/>
        <v>1.4909479688921827</v>
      </c>
      <c r="AE38" s="14">
        <f ca="1">U$4*AO38</f>
        <v>-0.28964969560232523</v>
      </c>
      <c r="AF38" s="15">
        <f ca="1">AP38*W$4</f>
        <v>0.64057095692143839</v>
      </c>
      <c r="AG38" s="12">
        <f t="shared" ca="1" si="8"/>
        <v>2.6644688195085204</v>
      </c>
      <c r="AH38" s="14">
        <f t="shared" ca="1" si="9"/>
        <v>0.87617696227264197</v>
      </c>
      <c r="AI38" s="14">
        <f t="shared" ca="1" si="10"/>
        <v>0.91249974122962607</v>
      </c>
      <c r="AJ38" s="14">
        <f t="shared" ca="1" si="11"/>
        <v>0.65427578264930175</v>
      </c>
      <c r="AK38" s="14">
        <f t="shared" ca="1" si="12"/>
        <v>1.5546168270872782</v>
      </c>
      <c r="AL38" s="14">
        <f t="shared" ca="1" si="13"/>
        <v>-0.86008722979758967</v>
      </c>
      <c r="AM38" s="14">
        <f t="shared" ca="1" si="14"/>
        <v>-1.4387055318713922</v>
      </c>
      <c r="AN38" s="14">
        <f t="shared" ca="1" si="15"/>
        <v>1.4909479688921827</v>
      </c>
      <c r="AO38" s="14">
        <f t="shared" ca="1" si="17"/>
        <v>-0.28964969560232523</v>
      </c>
      <c r="AP38" s="14">
        <f ca="1">(AV38-$AP$3)/$AP$4</f>
        <v>0.64057095692143839</v>
      </c>
      <c r="AQ38" s="22">
        <f t="shared" si="18"/>
        <v>7.8578787878787884</v>
      </c>
      <c r="AR38" s="22">
        <f t="shared" si="19"/>
        <v>3.2884848484848481</v>
      </c>
      <c r="AS38" s="22">
        <f ca="1">(U38-AS$3)</f>
        <v>-1.1019800309232275E-2</v>
      </c>
      <c r="AT38" s="22">
        <f ca="1">(W38-AT$3)</f>
        <v>4.5892241021529667E-2</v>
      </c>
      <c r="AU38" s="11">
        <f ca="1">AS38*V38</f>
        <v>-0.18623796455945252</v>
      </c>
      <c r="AV38" s="11">
        <f ca="1">AT38*X38</f>
        <v>0.17838870354656722</v>
      </c>
    </row>
    <row r="39" spans="1:48">
      <c r="A39">
        <v>34</v>
      </c>
      <c r="B39" s="27" t="str">
        <f t="shared" si="16"/>
        <v>Jrue Holiday</v>
      </c>
      <c r="C39" s="21">
        <v>28.772181837185414</v>
      </c>
      <c r="D39" s="12">
        <f t="shared" ca="1" si="0"/>
        <v>29.31833013229484</v>
      </c>
      <c r="E39" s="12">
        <f t="shared" ca="1" si="1"/>
        <v>29.31833013229484</v>
      </c>
      <c r="F39" s="29">
        <f ca="1">SUM(AI39:AN39,AP39,AO39)+$A$4</f>
        <v>5.4838601477664195</v>
      </c>
      <c r="G39" s="29">
        <f ca="1">SUM(Y39:AF39)+$A$4</f>
        <v>5.4838601477664195</v>
      </c>
      <c r="H39" s="10">
        <v>1</v>
      </c>
      <c r="I39" s="10">
        <v>0</v>
      </c>
      <c r="J39" t="e">
        <f>VLOOKUP(N39,Schedule!#REF!,2,0)</f>
        <v>#REF!</v>
      </c>
      <c r="K39" s="17">
        <v>34</v>
      </c>
      <c r="L39" s="17" t="s">
        <v>86</v>
      </c>
      <c r="M39" s="17" t="s">
        <v>25</v>
      </c>
      <c r="N39" s="17" t="s">
        <v>46</v>
      </c>
      <c r="O39" s="22">
        <v>17.429200000000002</v>
      </c>
      <c r="P39" s="22">
        <v>1.738</v>
      </c>
      <c r="Q39" s="22">
        <v>4.4373333333333331</v>
      </c>
      <c r="R39" s="22">
        <v>6.032</v>
      </c>
      <c r="S39" s="22">
        <v>1.5253333333333334</v>
      </c>
      <c r="T39" s="22">
        <v>0.624</v>
      </c>
      <c r="U39" s="22">
        <v>0.49967144679370723</v>
      </c>
      <c r="V39" s="22">
        <v>13.797866666666669</v>
      </c>
      <c r="W39" s="22">
        <v>0.76602598518200371</v>
      </c>
      <c r="X39" s="22">
        <v>2.4834666666666667</v>
      </c>
      <c r="Y39" s="14">
        <f t="shared" ca="1" si="2"/>
        <v>0.22431536203109534</v>
      </c>
      <c r="Z39" s="14">
        <f t="shared" ca="1" si="3"/>
        <v>1.3887643135965648E-2</v>
      </c>
      <c r="AA39" s="14">
        <f t="shared" ca="1" si="4"/>
        <v>-0.53118147984767994</v>
      </c>
      <c r="AB39" s="14">
        <f t="shared" ca="1" si="5"/>
        <v>1.1463298022386104</v>
      </c>
      <c r="AC39" s="14">
        <f t="shared" ca="1" si="6"/>
        <v>1.7117405527798943</v>
      </c>
      <c r="AD39" s="14">
        <f t="shared" ca="1" si="7"/>
        <v>-8.5859081430196535E-2</v>
      </c>
      <c r="AE39" s="14">
        <f ca="1">U$4*AO39</f>
        <v>0.5085169538330272</v>
      </c>
      <c r="AF39" s="15">
        <f ca="1">AP39*W$4</f>
        <v>-0.30388960497429712</v>
      </c>
      <c r="AG39" s="12">
        <f t="shared" ca="1" si="8"/>
        <v>2.6838601477664197</v>
      </c>
      <c r="AH39" s="14">
        <f t="shared" ca="1" si="9"/>
        <v>0.88255355597230922</v>
      </c>
      <c r="AI39" s="14">
        <f t="shared" ca="1" si="10"/>
        <v>0.22431536203109534</v>
      </c>
      <c r="AJ39" s="14">
        <f t="shared" ca="1" si="11"/>
        <v>1.3887643135965648E-2</v>
      </c>
      <c r="AK39" s="14">
        <f t="shared" ca="1" si="12"/>
        <v>-0.53118147984767994</v>
      </c>
      <c r="AL39" s="14">
        <f t="shared" ca="1" si="13"/>
        <v>1.1463298022386104</v>
      </c>
      <c r="AM39" s="14">
        <f t="shared" ca="1" si="14"/>
        <v>1.7117405527798943</v>
      </c>
      <c r="AN39" s="14">
        <f t="shared" ca="1" si="15"/>
        <v>-8.5859081430196535E-2</v>
      </c>
      <c r="AO39" s="14">
        <f t="shared" ca="1" si="17"/>
        <v>0.5085169538330272</v>
      </c>
      <c r="AP39" s="14">
        <f ca="1">(AV39-$AP$3)/$AP$4</f>
        <v>-0.30388960497429712</v>
      </c>
      <c r="AQ39" s="22">
        <f t="shared" si="18"/>
        <v>6.894400000000001</v>
      </c>
      <c r="AR39" s="22">
        <f t="shared" si="19"/>
        <v>1.9024000000000001</v>
      </c>
      <c r="AS39" s="22">
        <f ca="1">(U39-AS$3)</f>
        <v>2.3696741605595262E-2</v>
      </c>
      <c r="AT39" s="22">
        <f ca="1">(W39-AT$3)</f>
        <v>-3.4076706558111458E-2</v>
      </c>
      <c r="AU39" s="11">
        <f ca="1">AS39*V39</f>
        <v>0.32696448110845605</v>
      </c>
      <c r="AV39" s="11">
        <f ca="1">AT39*X39</f>
        <v>-8.4628364846851198E-2</v>
      </c>
    </row>
    <row r="40" spans="1:48">
      <c r="A40">
        <v>35</v>
      </c>
      <c r="B40" s="27" t="str">
        <f t="shared" si="16"/>
        <v>Julius Randle</v>
      </c>
      <c r="C40" s="21">
        <v>28.723692825773291</v>
      </c>
      <c r="D40" s="12">
        <f t="shared" ca="1" si="0"/>
        <v>29.262575480056025</v>
      </c>
      <c r="E40" s="12">
        <f t="shared" ca="1" si="1"/>
        <v>29.262575480056025</v>
      </c>
      <c r="F40" s="29">
        <f ca="1">SUM(AI40:AN40,AP40,AO40)+$A$4</f>
        <v>5.4734314939486417</v>
      </c>
      <c r="G40" s="29">
        <f ca="1">SUM(Y40:AF40)+$A$4</f>
        <v>5.4734314939486417</v>
      </c>
      <c r="H40" s="10">
        <v>1</v>
      </c>
      <c r="I40" s="10">
        <v>0</v>
      </c>
      <c r="J40" t="e">
        <f>VLOOKUP(N40,Schedule!#REF!,2,0)</f>
        <v>#REF!</v>
      </c>
      <c r="K40" s="17">
        <v>35</v>
      </c>
      <c r="L40" s="17" t="s">
        <v>87</v>
      </c>
      <c r="M40" s="17" t="s">
        <v>45</v>
      </c>
      <c r="N40" s="17" t="s">
        <v>88</v>
      </c>
      <c r="O40" s="22">
        <v>22.584736842105265</v>
      </c>
      <c r="P40" s="22">
        <v>2.1321052631578947</v>
      </c>
      <c r="Q40" s="22">
        <v>10.019342105263158</v>
      </c>
      <c r="R40" s="22">
        <v>4.9348684210526317</v>
      </c>
      <c r="S40" s="22">
        <v>0.97197368421052632</v>
      </c>
      <c r="T40" s="22">
        <v>0.29907894736842106</v>
      </c>
      <c r="U40" s="22">
        <v>0.45215589892854763</v>
      </c>
      <c r="V40" s="22">
        <v>17.720657894736842</v>
      </c>
      <c r="W40" s="22">
        <v>0.80598802395209579</v>
      </c>
      <c r="X40" s="22">
        <v>5.4934210526315788</v>
      </c>
      <c r="Y40" s="14">
        <f t="shared" ca="1" si="2"/>
        <v>1.120735409568592</v>
      </c>
      <c r="Z40" s="14">
        <f t="shared" ca="1" si="3"/>
        <v>0.40524853294947216</v>
      </c>
      <c r="AA40" s="14">
        <f t="shared" ca="1" si="4"/>
        <v>1.8023856859301093</v>
      </c>
      <c r="AB40" s="14">
        <f t="shared" ca="1" si="5"/>
        <v>0.62394743010913212</v>
      </c>
      <c r="AC40" s="14">
        <f t="shared" ca="1" si="6"/>
        <v>-5.5093433259772215E-2</v>
      </c>
      <c r="AD40" s="14">
        <f t="shared" ca="1" si="7"/>
        <v>-0.68343260199684575</v>
      </c>
      <c r="AE40" s="14">
        <f ca="1">U$4*AO40</f>
        <v>-0.65645459598248812</v>
      </c>
      <c r="AF40" s="15">
        <f ca="1">AP40*W$4</f>
        <v>0.11609506663044306</v>
      </c>
      <c r="AG40" s="12">
        <f t="shared" ca="1" si="8"/>
        <v>2.6734314939486419</v>
      </c>
      <c r="AH40" s="14">
        <f t="shared" ca="1" si="9"/>
        <v>0.87912422470907492</v>
      </c>
      <c r="AI40" s="14">
        <f t="shared" ca="1" si="10"/>
        <v>1.120735409568592</v>
      </c>
      <c r="AJ40" s="14">
        <f t="shared" ca="1" si="11"/>
        <v>0.40524853294947216</v>
      </c>
      <c r="AK40" s="14">
        <f t="shared" ca="1" si="12"/>
        <v>1.8023856859301093</v>
      </c>
      <c r="AL40" s="14">
        <f t="shared" ca="1" si="13"/>
        <v>0.62394743010913212</v>
      </c>
      <c r="AM40" s="14">
        <f t="shared" ca="1" si="14"/>
        <v>-5.5093433259772215E-2</v>
      </c>
      <c r="AN40" s="14">
        <f t="shared" ca="1" si="15"/>
        <v>-0.68343260199684575</v>
      </c>
      <c r="AO40" s="14">
        <f t="shared" ca="1" si="17"/>
        <v>-0.65645459598248812</v>
      </c>
      <c r="AP40" s="14">
        <f ca="1">(AV40-$AP$3)/$AP$4</f>
        <v>0.11609506663044306</v>
      </c>
      <c r="AQ40" s="22">
        <f t="shared" si="18"/>
        <v>8.0125000000000011</v>
      </c>
      <c r="AR40" s="22">
        <f t="shared" si="19"/>
        <v>4.4276315789473681</v>
      </c>
      <c r="AS40" s="22">
        <f ca="1">(U40-AS$3)</f>
        <v>-2.381880625956434E-2</v>
      </c>
      <c r="AT40" s="22">
        <f ca="1">(W40-AT$3)</f>
        <v>5.8853322119806206E-3</v>
      </c>
      <c r="AU40" s="11">
        <f ca="1">AS40*V40</f>
        <v>-0.42208491718675611</v>
      </c>
      <c r="AV40" s="11">
        <f ca="1">AT40*X40</f>
        <v>3.2330607875025119E-2</v>
      </c>
    </row>
    <row r="41" spans="1:48">
      <c r="A41">
        <v>36</v>
      </c>
      <c r="B41" s="27" t="str">
        <f t="shared" si="16"/>
        <v>Pascal Siakam</v>
      </c>
      <c r="C41" s="21">
        <v>28.238612577325341</v>
      </c>
      <c r="D41" s="12">
        <f t="shared" ca="1" si="0"/>
        <v>28.773853607569166</v>
      </c>
      <c r="E41" s="12">
        <f t="shared" ca="1" si="1"/>
        <v>28.773853607569169</v>
      </c>
      <c r="F41" s="29">
        <f ca="1">SUM(AI41:AN41,AP41,AO41)+$A$4</f>
        <v>5.3820182931360794</v>
      </c>
      <c r="G41" s="29">
        <f ca="1">SUM(Y41:AF41)+$A$4</f>
        <v>5.3820182931360803</v>
      </c>
      <c r="H41" s="10">
        <v>1</v>
      </c>
      <c r="I41" s="10">
        <v>0</v>
      </c>
      <c r="J41" t="e">
        <f>VLOOKUP(N41,Schedule!#REF!,2,0)</f>
        <v>#REF!</v>
      </c>
      <c r="K41" s="17">
        <v>36</v>
      </c>
      <c r="L41" s="17" t="s">
        <v>89</v>
      </c>
      <c r="M41" s="17" t="s">
        <v>45</v>
      </c>
      <c r="N41" s="17" t="s">
        <v>57</v>
      </c>
      <c r="O41" s="22">
        <v>22.176666666666666</v>
      </c>
      <c r="P41" s="22">
        <v>1.4564912280701754</v>
      </c>
      <c r="Q41" s="22">
        <v>7.0447368421052632</v>
      </c>
      <c r="R41" s="22">
        <v>4.4692982456140351</v>
      </c>
      <c r="S41" s="22">
        <v>1.2119298245614034</v>
      </c>
      <c r="T41" s="22">
        <v>0.75754385964912285</v>
      </c>
      <c r="U41" s="22">
        <v>0.45781881707012728</v>
      </c>
      <c r="V41" s="22">
        <v>17.57456140350877</v>
      </c>
      <c r="W41" s="22">
        <v>0.82299173295897676</v>
      </c>
      <c r="X41" s="22">
        <v>5.6236842105263163</v>
      </c>
      <c r="Y41" s="14">
        <f t="shared" ca="1" si="2"/>
        <v>1.0497821224001642</v>
      </c>
      <c r="Z41" s="14">
        <f t="shared" ca="1" si="3"/>
        <v>-0.26566082721426254</v>
      </c>
      <c r="AA41" s="14">
        <f t="shared" ca="1" si="4"/>
        <v>0.55884748008539631</v>
      </c>
      <c r="AB41" s="14">
        <f t="shared" ca="1" si="5"/>
        <v>0.40227333257591508</v>
      </c>
      <c r="AC41" s="14">
        <f t="shared" ca="1" si="6"/>
        <v>0.71106771456317619</v>
      </c>
      <c r="AD41" s="14">
        <f t="shared" ca="1" si="7"/>
        <v>0.15974603930376505</v>
      </c>
      <c r="AE41" s="14">
        <f ca="1">U$4*AO41</f>
        <v>-0.49625723699761026</v>
      </c>
      <c r="AF41" s="15">
        <f ca="1">AP41*W$4</f>
        <v>0.46221966841953654</v>
      </c>
      <c r="AG41" s="12">
        <f t="shared" ca="1" si="8"/>
        <v>2.5820182931360804</v>
      </c>
      <c r="AH41" s="14">
        <f t="shared" ca="1" si="9"/>
        <v>0.8490641466878418</v>
      </c>
      <c r="AI41" s="14">
        <f t="shared" ca="1" si="10"/>
        <v>1.0497821224001642</v>
      </c>
      <c r="AJ41" s="14">
        <f t="shared" ca="1" si="11"/>
        <v>-0.26566082721426254</v>
      </c>
      <c r="AK41" s="14">
        <f t="shared" ca="1" si="12"/>
        <v>0.55884748008539631</v>
      </c>
      <c r="AL41" s="14">
        <f t="shared" ca="1" si="13"/>
        <v>0.40227333257591508</v>
      </c>
      <c r="AM41" s="14">
        <f t="shared" ca="1" si="14"/>
        <v>0.71106771456317619</v>
      </c>
      <c r="AN41" s="14">
        <f t="shared" ca="1" si="15"/>
        <v>0.15974603930376505</v>
      </c>
      <c r="AO41" s="14">
        <f t="shared" ca="1" si="17"/>
        <v>-0.49625723699761026</v>
      </c>
      <c r="AP41" s="14">
        <f ca="1">(AV41-$AP$3)/$AP$4</f>
        <v>0.46221966841953654</v>
      </c>
      <c r="AQ41" s="22">
        <f t="shared" si="18"/>
        <v>8.0459649122807004</v>
      </c>
      <c r="AR41" s="22">
        <f t="shared" si="19"/>
        <v>4.6282456140350883</v>
      </c>
      <c r="AS41" s="22">
        <f ca="1">(U41-AS$3)</f>
        <v>-1.8155888117984686E-2</v>
      </c>
      <c r="AT41" s="22">
        <f ca="1">(W41-AT$3)</f>
        <v>2.2889041218861594E-2</v>
      </c>
      <c r="AU41" s="11">
        <f ca="1">AS41*V41</f>
        <v>-0.31908177056475717</v>
      </c>
      <c r="AV41" s="11">
        <f ca="1">AT41*X41</f>
        <v>0.12872073969659797</v>
      </c>
    </row>
    <row r="42" spans="1:48">
      <c r="A42">
        <v>37</v>
      </c>
      <c r="B42" s="27" t="str">
        <f t="shared" si="16"/>
        <v>Lonzo Ball</v>
      </c>
      <c r="C42" s="21">
        <v>27.843459938340615</v>
      </c>
      <c r="D42" s="12">
        <f t="shared" ca="1" si="0"/>
        <v>28.389616197282361</v>
      </c>
      <c r="E42" s="12">
        <f t="shared" ca="1" si="1"/>
        <v>28.389616197282361</v>
      </c>
      <c r="F42" s="29">
        <f ca="1">SUM(AI42:AN42,AP42,AO42)+$A$4</f>
        <v>5.3101484351992605</v>
      </c>
      <c r="G42" s="29">
        <f ca="1">SUM(Y42:AF42)+$A$4</f>
        <v>5.3101484351992605</v>
      </c>
      <c r="H42" s="10">
        <v>1</v>
      </c>
      <c r="I42" s="10">
        <v>0</v>
      </c>
      <c r="J42" t="e">
        <f>VLOOKUP(N42,Schedule!#REF!,2,0)</f>
        <v>#REF!</v>
      </c>
      <c r="K42" s="17">
        <v>37</v>
      </c>
      <c r="L42" s="17" t="s">
        <v>90</v>
      </c>
      <c r="M42" s="17" t="s">
        <v>28</v>
      </c>
      <c r="N42" s="17" t="s">
        <v>59</v>
      </c>
      <c r="O42" s="22">
        <v>13.385588235294119</v>
      </c>
      <c r="P42" s="22">
        <v>2.9552941176470591</v>
      </c>
      <c r="Q42" s="22">
        <v>5.3655882352941182</v>
      </c>
      <c r="R42" s="22">
        <v>6.224117647058824</v>
      </c>
      <c r="S42" s="22">
        <v>1.5739705882352941</v>
      </c>
      <c r="T42" s="22">
        <v>0.64382352941176468</v>
      </c>
      <c r="U42" s="22">
        <v>0.4166987846553098</v>
      </c>
      <c r="V42" s="22">
        <v>11.446764705882353</v>
      </c>
      <c r="W42" s="22">
        <v>0.77800616649537513</v>
      </c>
      <c r="X42" s="22">
        <v>1.1447058823529412</v>
      </c>
      <c r="Y42" s="14">
        <f t="shared" ca="1" si="2"/>
        <v>-0.4787684799341676</v>
      </c>
      <c r="Z42" s="14">
        <f t="shared" ca="1" si="3"/>
        <v>1.2227050672672297</v>
      </c>
      <c r="AA42" s="14">
        <f t="shared" ca="1" si="4"/>
        <v>-0.14312312143362035</v>
      </c>
      <c r="AB42" s="14">
        <f t="shared" ca="1" si="5"/>
        <v>1.2378036729431712</v>
      </c>
      <c r="AC42" s="14">
        <f t="shared" ca="1" si="6"/>
        <v>1.8670354953812969</v>
      </c>
      <c r="AD42" s="14">
        <f t="shared" ca="1" si="7"/>
        <v>-4.9400944400594192E-2</v>
      </c>
      <c r="AE42" s="14">
        <f ca="1">U$4*AO42</f>
        <v>-1.0552756639276364</v>
      </c>
      <c r="AF42" s="15">
        <f ca="1">AP42*W$4</f>
        <v>-9.0827590696418256E-2</v>
      </c>
      <c r="AG42" s="12">
        <f t="shared" ca="1" si="8"/>
        <v>2.5101484351992607</v>
      </c>
      <c r="AH42" s="14">
        <f t="shared" ca="1" si="9"/>
        <v>0.8254306504558746</v>
      </c>
      <c r="AI42" s="14">
        <f t="shared" ca="1" si="10"/>
        <v>-0.4787684799341676</v>
      </c>
      <c r="AJ42" s="14">
        <f t="shared" ca="1" si="11"/>
        <v>1.2227050672672297</v>
      </c>
      <c r="AK42" s="14">
        <f t="shared" ca="1" si="12"/>
        <v>-0.14312312143362035</v>
      </c>
      <c r="AL42" s="14">
        <f t="shared" ca="1" si="13"/>
        <v>1.2378036729431712</v>
      </c>
      <c r="AM42" s="14">
        <f t="shared" ca="1" si="14"/>
        <v>1.8670354953812969</v>
      </c>
      <c r="AN42" s="14">
        <f t="shared" ca="1" si="15"/>
        <v>-4.9400944400594192E-2</v>
      </c>
      <c r="AO42" s="14">
        <f t="shared" ca="1" si="17"/>
        <v>-1.0552756639276364</v>
      </c>
      <c r="AP42" s="14">
        <f ca="1">(AV42-$AP$3)/$AP$4</f>
        <v>-9.0827590696418256E-2</v>
      </c>
      <c r="AQ42" s="22">
        <f t="shared" si="18"/>
        <v>4.7698529411764712</v>
      </c>
      <c r="AR42" s="22">
        <f t="shared" si="19"/>
        <v>0.89058823529411768</v>
      </c>
      <c r="AS42" s="22">
        <f ca="1">(U42-AS$3)</f>
        <v>-5.9275920532802173E-2</v>
      </c>
      <c r="AT42" s="22">
        <f ca="1">(W42-AT$3)</f>
        <v>-2.209652524474004E-2</v>
      </c>
      <c r="AU42" s="11">
        <f ca="1">AS42*V42</f>
        <v>-0.67851751506356706</v>
      </c>
      <c r="AV42" s="11">
        <f ca="1">AT42*X42</f>
        <v>-2.5294022427214187E-2</v>
      </c>
    </row>
    <row r="43" spans="1:48">
      <c r="A43">
        <v>38</v>
      </c>
      <c r="B43" s="27" t="str">
        <f t="shared" si="16"/>
        <v>Devin Booker</v>
      </c>
      <c r="C43" s="21">
        <v>27.623329942936653</v>
      </c>
      <c r="D43" s="12">
        <f t="shared" ca="1" si="0"/>
        <v>28.173213848781277</v>
      </c>
      <c r="E43" s="12">
        <f t="shared" ca="1" si="1"/>
        <v>28.17321384878127</v>
      </c>
      <c r="F43" s="29">
        <f ca="1">SUM(AI43:AN43,AP43,AO43)+$A$4</f>
        <v>5.269671361318407</v>
      </c>
      <c r="G43" s="29">
        <f ca="1">SUM(Y43:AF43)+$A$4</f>
        <v>5.2696713613184061</v>
      </c>
      <c r="H43" s="10">
        <v>1</v>
      </c>
      <c r="I43" s="10">
        <v>0</v>
      </c>
      <c r="J43" t="e">
        <f>VLOOKUP(N43,Schedule!#REF!,2,0)</f>
        <v>#REF!</v>
      </c>
      <c r="K43" s="17">
        <v>38</v>
      </c>
      <c r="L43" s="17" t="s">
        <v>91</v>
      </c>
      <c r="M43" s="17" t="s">
        <v>25</v>
      </c>
      <c r="N43" s="17" t="s">
        <v>72</v>
      </c>
      <c r="O43" s="22">
        <v>26.483289473684209</v>
      </c>
      <c r="P43" s="22">
        <v>2.12</v>
      </c>
      <c r="Q43" s="22">
        <v>4.1373684210526314</v>
      </c>
      <c r="R43" s="22">
        <v>4.2776315789473687</v>
      </c>
      <c r="S43" s="22">
        <v>0.77131578947368418</v>
      </c>
      <c r="T43" s="22">
        <v>0.21039473684210527</v>
      </c>
      <c r="U43" s="22">
        <v>0.48567693339384538</v>
      </c>
      <c r="V43" s="22">
        <v>19.424868421052633</v>
      </c>
      <c r="W43" s="22">
        <v>0.88399906860566035</v>
      </c>
      <c r="X43" s="22">
        <v>6.2159210526315789</v>
      </c>
      <c r="Y43" s="14">
        <f t="shared" ca="1" si="2"/>
        <v>1.798597064398771</v>
      </c>
      <c r="Z43" s="14">
        <f t="shared" ca="1" si="3"/>
        <v>0.39322756544718773</v>
      </c>
      <c r="AA43" s="14">
        <f t="shared" ca="1" si="4"/>
        <v>-0.6565822627528739</v>
      </c>
      <c r="AB43" s="14">
        <f t="shared" ca="1" si="5"/>
        <v>0.31101418926737456</v>
      </c>
      <c r="AC43" s="14">
        <f t="shared" ca="1" si="6"/>
        <v>-0.69577836312451191</v>
      </c>
      <c r="AD43" s="14">
        <f t="shared" ca="1" si="7"/>
        <v>-0.84653479397138265</v>
      </c>
      <c r="AE43" s="14">
        <f ca="1">U$4*AO43</f>
        <v>0.29311256170092242</v>
      </c>
      <c r="AF43" s="15">
        <f ca="1">AP43*W$4</f>
        <v>1.872615400352919</v>
      </c>
      <c r="AG43" s="12">
        <f t="shared" ca="1" si="8"/>
        <v>2.4696713613184063</v>
      </c>
      <c r="AH43" s="14">
        <f t="shared" ca="1" si="9"/>
        <v>0.81212027527904884</v>
      </c>
      <c r="AI43" s="14">
        <f t="shared" ca="1" si="10"/>
        <v>1.798597064398771</v>
      </c>
      <c r="AJ43" s="14">
        <f t="shared" ca="1" si="11"/>
        <v>0.39322756544718773</v>
      </c>
      <c r="AK43" s="14">
        <f t="shared" ca="1" si="12"/>
        <v>-0.6565822627528739</v>
      </c>
      <c r="AL43" s="14">
        <f t="shared" ca="1" si="13"/>
        <v>0.31101418926737456</v>
      </c>
      <c r="AM43" s="14">
        <f t="shared" ca="1" si="14"/>
        <v>-0.69577836312451191</v>
      </c>
      <c r="AN43" s="14">
        <f t="shared" ca="1" si="15"/>
        <v>-0.84653479397138265</v>
      </c>
      <c r="AO43" s="14">
        <f t="shared" ca="1" si="17"/>
        <v>0.29311256170092242</v>
      </c>
      <c r="AP43" s="14">
        <f ca="1">(AV43-$AP$3)/$AP$4</f>
        <v>1.872615400352919</v>
      </c>
      <c r="AQ43" s="22">
        <f t="shared" si="18"/>
        <v>9.4342105263157894</v>
      </c>
      <c r="AR43" s="22">
        <f t="shared" si="19"/>
        <v>5.4948684210526313</v>
      </c>
      <c r="AS43" s="22">
        <f ca="1">(U43-AS$3)</f>
        <v>9.7022282057334097E-3</v>
      </c>
      <c r="AT43" s="22">
        <f ca="1">(W43-AT$3)</f>
        <v>8.3896376865545186E-2</v>
      </c>
      <c r="AU43" s="11">
        <f ca="1">AS43*V43</f>
        <v>0.18846450628739705</v>
      </c>
      <c r="AV43" s="11">
        <f ca="1">AT43*X43</f>
        <v>0.52149325519805523</v>
      </c>
    </row>
    <row r="44" spans="1:48">
      <c r="A44">
        <v>39</v>
      </c>
      <c r="B44" s="27" t="str">
        <f t="shared" si="16"/>
        <v>Jusuf Nurkic</v>
      </c>
      <c r="C44" s="21">
        <v>27.566925093771985</v>
      </c>
      <c r="D44" s="12">
        <f t="shared" ca="1" si="0"/>
        <v>27.841549322282471</v>
      </c>
      <c r="E44" s="12">
        <f t="shared" ca="1" si="1"/>
        <v>27.841549322282471</v>
      </c>
      <c r="F44" s="29">
        <f ca="1">SUM(AI44:AN44,AP44,AO44)+$A$4</f>
        <v>5.2076350218990903</v>
      </c>
      <c r="G44" s="29">
        <f ca="1">SUM(Y44:AF44)+$A$4</f>
        <v>5.2076350218990903</v>
      </c>
      <c r="H44" s="10">
        <v>1</v>
      </c>
      <c r="I44" s="10">
        <v>0</v>
      </c>
      <c r="J44" t="e">
        <f>VLOOKUP(N44,Schedule!#REF!,2,0)</f>
        <v>#REF!</v>
      </c>
      <c r="K44" s="17">
        <v>39</v>
      </c>
      <c r="L44" s="17" t="s">
        <v>92</v>
      </c>
      <c r="M44" s="17" t="s">
        <v>22</v>
      </c>
      <c r="N44" s="17" t="s">
        <v>35</v>
      </c>
      <c r="O44" s="22">
        <v>14.994477611940299</v>
      </c>
      <c r="P44" s="22">
        <v>0.34194029850746271</v>
      </c>
      <c r="Q44" s="22">
        <v>11.471940298507462</v>
      </c>
      <c r="R44" s="22">
        <v>4.0273134328358209</v>
      </c>
      <c r="S44" s="22">
        <v>1.159402985074627</v>
      </c>
      <c r="T44" s="22">
        <v>1.3423880597014926</v>
      </c>
      <c r="U44" s="22">
        <v>0.50971831356355701</v>
      </c>
      <c r="V44" s="22">
        <v>11.34955223880597</v>
      </c>
      <c r="W44" s="22">
        <v>0.73400625533124819</v>
      </c>
      <c r="X44" s="22">
        <v>4.1994029850746273</v>
      </c>
      <c r="Y44" s="14">
        <f t="shared" ca="1" si="2"/>
        <v>-0.19902250280973621</v>
      </c>
      <c r="Z44" s="14">
        <f t="shared" ca="1" si="3"/>
        <v>-1.3724505210158848</v>
      </c>
      <c r="AA44" s="14">
        <f t="shared" ca="1" si="4"/>
        <v>2.4096465461904812</v>
      </c>
      <c r="AB44" s="14">
        <f t="shared" ca="1" si="5"/>
        <v>0.191829043691434</v>
      </c>
      <c r="AC44" s="14">
        <f t="shared" ca="1" si="6"/>
        <v>0.54335363325709518</v>
      </c>
      <c r="AD44" s="14">
        <f t="shared" ca="1" si="7"/>
        <v>1.2353531899569319</v>
      </c>
      <c r="AE44" s="14">
        <f ca="1">U$4*AO44</f>
        <v>0.59562800648462466</v>
      </c>
      <c r="AF44" s="15">
        <f ca="1">AP44*W$4</f>
        <v>-0.99670237385585514</v>
      </c>
      <c r="AG44" s="12">
        <f t="shared" ca="1" si="8"/>
        <v>2.407635021899091</v>
      </c>
      <c r="AH44" s="14">
        <f t="shared" ca="1" si="9"/>
        <v>0.79172040757372653</v>
      </c>
      <c r="AI44" s="14">
        <f t="shared" ca="1" si="10"/>
        <v>-0.19902250280973621</v>
      </c>
      <c r="AJ44" s="14">
        <f t="shared" ca="1" si="11"/>
        <v>-1.3724505210158848</v>
      </c>
      <c r="AK44" s="14">
        <f t="shared" ca="1" si="12"/>
        <v>2.4096465461904812</v>
      </c>
      <c r="AL44" s="14">
        <f t="shared" ca="1" si="13"/>
        <v>0.191829043691434</v>
      </c>
      <c r="AM44" s="14">
        <f t="shared" ca="1" si="14"/>
        <v>0.54335363325709518</v>
      </c>
      <c r="AN44" s="14">
        <f t="shared" ca="1" si="15"/>
        <v>1.2353531899569319</v>
      </c>
      <c r="AO44" s="14">
        <f t="shared" ca="1" si="17"/>
        <v>0.59562800648462466</v>
      </c>
      <c r="AP44" s="14">
        <f ca="1">(AV44-$AP$3)/$AP$4</f>
        <v>-0.99670237385585514</v>
      </c>
      <c r="AQ44" s="22">
        <f t="shared" si="18"/>
        <v>5.7850746268656721</v>
      </c>
      <c r="AR44" s="22">
        <f t="shared" si="19"/>
        <v>3.0823880597014925</v>
      </c>
      <c r="AS44" s="22">
        <f ca="1">(U44-AS$3)</f>
        <v>3.3743608375445044E-2</v>
      </c>
      <c r="AT44" s="22">
        <f ca="1">(W44-AT$3)</f>
        <v>-6.6096436408866976E-2</v>
      </c>
      <c r="AU44" s="11">
        <f ca="1">AS44*V44</f>
        <v>0.38297484598292419</v>
      </c>
      <c r="AV44" s="11">
        <f ca="1">AT44*X44</f>
        <v>-0.27756557235819124</v>
      </c>
    </row>
    <row r="45" spans="1:48">
      <c r="A45">
        <v>40</v>
      </c>
      <c r="B45" s="27" t="str">
        <f t="shared" si="16"/>
        <v>De'Aaron Fox</v>
      </c>
      <c r="C45" s="21">
        <v>27.472123830227968</v>
      </c>
      <c r="D45" s="12">
        <f t="shared" ca="1" si="0"/>
        <v>28.197124126906782</v>
      </c>
      <c r="E45" s="12">
        <f t="shared" ca="1" si="1"/>
        <v>28.197124126906782</v>
      </c>
      <c r="F45" s="29">
        <f ca="1">SUM(AI45:AN45,AP45,AO45)+$A$4</f>
        <v>5.2741436699643227</v>
      </c>
      <c r="G45" s="29">
        <f ca="1">SUM(Y45:AF45)+$A$4</f>
        <v>5.2741436699643227</v>
      </c>
      <c r="H45" s="10">
        <v>1</v>
      </c>
      <c r="I45" s="10">
        <v>0</v>
      </c>
      <c r="J45" t="e">
        <f>VLOOKUP(N45,Schedule!#REF!,2,0)</f>
        <v>#REF!</v>
      </c>
      <c r="K45" s="17">
        <v>40</v>
      </c>
      <c r="L45" s="17" t="s">
        <v>93</v>
      </c>
      <c r="M45" s="17" t="s">
        <v>28</v>
      </c>
      <c r="N45" s="17" t="s">
        <v>94</v>
      </c>
      <c r="O45" s="22">
        <v>26.661044776119404</v>
      </c>
      <c r="P45" s="22">
        <v>1.7317910447761193</v>
      </c>
      <c r="Q45" s="22">
        <v>3.4956716417910445</v>
      </c>
      <c r="R45" s="22">
        <v>7.437462686567164</v>
      </c>
      <c r="S45" s="22">
        <v>1.4874626865671641</v>
      </c>
      <c r="T45" s="22">
        <v>0.44626865671641791</v>
      </c>
      <c r="U45" s="22">
        <v>0.47935960517905185</v>
      </c>
      <c r="V45" s="22">
        <v>20.080895522388062</v>
      </c>
      <c r="W45" s="22">
        <v>0.74399045514111917</v>
      </c>
      <c r="X45" s="22">
        <v>7.6308955223880597</v>
      </c>
      <c r="Y45" s="14">
        <f t="shared" ca="1" si="2"/>
        <v>1.8295043048160329</v>
      </c>
      <c r="Z45" s="14">
        <f t="shared" ca="1" si="3"/>
        <v>7.7219243080579453E-3</v>
      </c>
      <c r="AA45" s="14">
        <f t="shared" ca="1" si="4"/>
        <v>-0.92484456681809979</v>
      </c>
      <c r="AB45" s="14">
        <f t="shared" ca="1" si="5"/>
        <v>1.8155193016902937</v>
      </c>
      <c r="AC45" s="14">
        <f t="shared" ca="1" si="6"/>
        <v>1.5908225460444203</v>
      </c>
      <c r="AD45" s="14">
        <f t="shared" ca="1" si="7"/>
        <v>-0.41273092817826279</v>
      </c>
      <c r="AE45" s="14">
        <f ca="1">U$4*AO45</f>
        <v>0.10571430969433535</v>
      </c>
      <c r="AF45" s="15">
        <f ca="1">AP45*W$4</f>
        <v>-1.537563221592454</v>
      </c>
      <c r="AG45" s="12">
        <f t="shared" ca="1" si="8"/>
        <v>2.4741436699643229</v>
      </c>
      <c r="AH45" s="14">
        <f t="shared" ca="1" si="9"/>
        <v>0.81359093756454248</v>
      </c>
      <c r="AI45" s="14">
        <f t="shared" ca="1" si="10"/>
        <v>1.8295043048160329</v>
      </c>
      <c r="AJ45" s="14">
        <f t="shared" ca="1" si="11"/>
        <v>7.7219243080579453E-3</v>
      </c>
      <c r="AK45" s="14">
        <f t="shared" ca="1" si="12"/>
        <v>-0.92484456681809979</v>
      </c>
      <c r="AL45" s="14">
        <f t="shared" ca="1" si="13"/>
        <v>1.8155193016902937</v>
      </c>
      <c r="AM45" s="14">
        <f t="shared" ca="1" si="14"/>
        <v>1.5908225460444203</v>
      </c>
      <c r="AN45" s="14">
        <f t="shared" ca="1" si="15"/>
        <v>-0.41273092817826279</v>
      </c>
      <c r="AO45" s="14">
        <f t="shared" ca="1" si="17"/>
        <v>0.10571430969433535</v>
      </c>
      <c r="AP45" s="14">
        <f ca="1">(AV45-$AP$3)/$AP$4</f>
        <v>-1.537563221592454</v>
      </c>
      <c r="AQ45" s="22">
        <f t="shared" si="18"/>
        <v>9.6259701492537317</v>
      </c>
      <c r="AR45" s="22">
        <f t="shared" si="19"/>
        <v>5.6773134328358212</v>
      </c>
      <c r="AS45" s="22">
        <f ca="1">(U45-AS$3)</f>
        <v>3.3848999909398825E-3</v>
      </c>
      <c r="AT45" s="22">
        <f ca="1">(W45-AT$3)</f>
        <v>-5.6112236598996001E-2</v>
      </c>
      <c r="AU45" s="11">
        <f ca="1">AS45*V45</f>
        <v>6.797182307179607E-2</v>
      </c>
      <c r="AV45" s="11">
        <f ca="1">AT45*X45</f>
        <v>-0.42818661501445798</v>
      </c>
    </row>
    <row r="46" spans="1:48">
      <c r="A46">
        <v>41</v>
      </c>
      <c r="B46" s="27" t="str">
        <f t="shared" si="16"/>
        <v>Khris Middleton</v>
      </c>
      <c r="C46" s="21">
        <v>27.076847889446491</v>
      </c>
      <c r="D46" s="12">
        <f t="shared" ca="1" si="0"/>
        <v>27.578646637004425</v>
      </c>
      <c r="E46" s="12">
        <f t="shared" ca="1" si="1"/>
        <v>27.578646637004425</v>
      </c>
      <c r="F46" s="29">
        <f ca="1">SUM(AI46:AN46,AP46,AO46)+$A$4</f>
        <v>5.1584602717672965</v>
      </c>
      <c r="G46" s="29">
        <f ca="1">SUM(Y46:AF46)+$A$4</f>
        <v>5.1584602717672965</v>
      </c>
      <c r="H46" s="10">
        <v>1</v>
      </c>
      <c r="I46" s="10">
        <v>0</v>
      </c>
      <c r="J46" t="e">
        <f>VLOOKUP(N46,Schedule!#REF!,2,0)</f>
        <v>#REF!</v>
      </c>
      <c r="K46" s="17">
        <v>41</v>
      </c>
      <c r="L46" s="17" t="s">
        <v>95</v>
      </c>
      <c r="M46" s="17" t="s">
        <v>48</v>
      </c>
      <c r="N46" s="17" t="s">
        <v>46</v>
      </c>
      <c r="O46" s="22">
        <v>20.191168831168827</v>
      </c>
      <c r="P46" s="22">
        <v>2.1588311688311688</v>
      </c>
      <c r="Q46" s="22">
        <v>5.9345454545454555</v>
      </c>
      <c r="R46" s="22">
        <v>5.1480519480519478</v>
      </c>
      <c r="S46" s="22">
        <v>1.0724675324675323</v>
      </c>
      <c r="T46" s="22">
        <v>0.142987012987013</v>
      </c>
      <c r="U46" s="22">
        <v>0.47382674433826416</v>
      </c>
      <c r="V46" s="22">
        <v>15.873246753246754</v>
      </c>
      <c r="W46" s="22">
        <v>0.89698835080063888</v>
      </c>
      <c r="X46" s="22">
        <v>3.3333766233766235</v>
      </c>
      <c r="Y46" s="14">
        <f t="shared" ca="1" si="2"/>
        <v>0.70455327066417872</v>
      </c>
      <c r="Z46" s="14">
        <f t="shared" ca="1" si="3"/>
        <v>0.43178833133113925</v>
      </c>
      <c r="AA46" s="14">
        <f t="shared" ca="1" si="4"/>
        <v>9.4730300125611594E-2</v>
      </c>
      <c r="AB46" s="14">
        <f t="shared" ca="1" si="5"/>
        <v>0.72545149641235329</v>
      </c>
      <c r="AC46" s="14">
        <f t="shared" ca="1" si="6"/>
        <v>0.26577554728453628</v>
      </c>
      <c r="AD46" s="14">
        <f t="shared" ca="1" si="7"/>
        <v>-0.9705066650804729</v>
      </c>
      <c r="AE46" s="14">
        <f ca="1">U$4*AO46</f>
        <v>-5.3026991598667042E-2</v>
      </c>
      <c r="AF46" s="15">
        <f ca="1">AP46*W$4</f>
        <v>1.1596949826286171</v>
      </c>
      <c r="AG46" s="12">
        <f t="shared" ca="1" si="8"/>
        <v>2.3584602717672967</v>
      </c>
      <c r="AH46" s="14">
        <f t="shared" ca="1" si="9"/>
        <v>0.77554991127235151</v>
      </c>
      <c r="AI46" s="14">
        <f t="shared" ca="1" si="10"/>
        <v>0.70455327066417872</v>
      </c>
      <c r="AJ46" s="14">
        <f t="shared" ca="1" si="11"/>
        <v>0.43178833133113925</v>
      </c>
      <c r="AK46" s="14">
        <f t="shared" ca="1" si="12"/>
        <v>9.4730300125611594E-2</v>
      </c>
      <c r="AL46" s="14">
        <f t="shared" ca="1" si="13"/>
        <v>0.72545149641235329</v>
      </c>
      <c r="AM46" s="14">
        <f t="shared" ca="1" si="14"/>
        <v>0.26577554728453628</v>
      </c>
      <c r="AN46" s="14">
        <f t="shared" ca="1" si="15"/>
        <v>-0.9705066650804729</v>
      </c>
      <c r="AO46" s="14">
        <f t="shared" ca="1" si="17"/>
        <v>-5.3026991598667042E-2</v>
      </c>
      <c r="AP46" s="14">
        <f ca="1">(AV46-$AP$3)/$AP$4</f>
        <v>1.1596949826286171</v>
      </c>
      <c r="AQ46" s="22">
        <f t="shared" si="18"/>
        <v>7.5211688311688309</v>
      </c>
      <c r="AR46" s="22">
        <f t="shared" si="19"/>
        <v>2.9899999999999998</v>
      </c>
      <c r="AS46" s="22">
        <f ca="1">(U46-AS$3)</f>
        <v>-2.1479608498478076E-3</v>
      </c>
      <c r="AT46" s="22">
        <f ca="1">(W46-AT$3)</f>
        <v>9.688565906052371E-2</v>
      </c>
      <c r="AU46" s="11">
        <f ca="1">AS46*V46</f>
        <v>-3.409511258594785E-2</v>
      </c>
      <c r="AV46" s="11">
        <f ca="1">AT46*X46</f>
        <v>0.32295639105278728</v>
      </c>
    </row>
    <row r="47" spans="1:48">
      <c r="A47">
        <v>42</v>
      </c>
      <c r="B47" s="27" t="str">
        <f t="shared" si="16"/>
        <v>Draymond Green</v>
      </c>
      <c r="C47" s="21">
        <v>26.932501964590816</v>
      </c>
      <c r="D47" s="12">
        <f t="shared" ca="1" si="0"/>
        <v>27.248608643290883</v>
      </c>
      <c r="E47" s="12">
        <f t="shared" ca="1" si="1"/>
        <v>27.248608643290883</v>
      </c>
      <c r="F47" s="29">
        <f ca="1">SUM(AI47:AN47,AP47,AO47)+$A$4</f>
        <v>5.0967281678989096</v>
      </c>
      <c r="G47" s="29">
        <f ca="1">SUM(Y47:AF47)+$A$4</f>
        <v>5.0967281678989096</v>
      </c>
      <c r="H47" s="10">
        <v>1</v>
      </c>
      <c r="I47" s="10">
        <v>0</v>
      </c>
      <c r="J47" t="e">
        <f>VLOOKUP(N47,Schedule!#REF!,2,0)</f>
        <v>#REF!</v>
      </c>
      <c r="K47" s="17">
        <v>42</v>
      </c>
      <c r="L47" s="17" t="s">
        <v>96</v>
      </c>
      <c r="M47" s="17" t="s">
        <v>45</v>
      </c>
      <c r="N47" s="17" t="s">
        <v>29</v>
      </c>
      <c r="O47" s="22">
        <v>7.027285714285715</v>
      </c>
      <c r="P47" s="22">
        <v>0.56414285714285717</v>
      </c>
      <c r="Q47" s="22">
        <v>6.7851428571428567</v>
      </c>
      <c r="R47" s="22">
        <v>8.6477142857142866</v>
      </c>
      <c r="S47" s="22">
        <v>1.663</v>
      </c>
      <c r="T47" s="22">
        <v>0.86471428571428577</v>
      </c>
      <c r="U47" s="22">
        <v>0.45208222747671667</v>
      </c>
      <c r="V47" s="22">
        <v>5.9208571428571437</v>
      </c>
      <c r="W47" s="22">
        <v>0.78101749447013891</v>
      </c>
      <c r="X47" s="22">
        <v>1.4208571428571428</v>
      </c>
      <c r="Y47" s="14">
        <f t="shared" ca="1" si="2"/>
        <v>-1.5843196616444046</v>
      </c>
      <c r="Z47" s="14">
        <f t="shared" ca="1" si="3"/>
        <v>-1.1517952819318393</v>
      </c>
      <c r="AA47" s="14">
        <f t="shared" ca="1" si="4"/>
        <v>0.4503238240875837</v>
      </c>
      <c r="AB47" s="14">
        <f t="shared" ca="1" si="5"/>
        <v>2.3917620362605074</v>
      </c>
      <c r="AC47" s="14">
        <f t="shared" ca="1" si="6"/>
        <v>2.1512994288147453</v>
      </c>
      <c r="AD47" s="14">
        <f t="shared" ca="1" si="7"/>
        <v>0.35684686821497535</v>
      </c>
      <c r="AE47" s="14">
        <f ca="1">U$4*AO47</f>
        <v>-0.22001415971393945</v>
      </c>
      <c r="AF47" s="15">
        <f ca="1">AP47*W$4</f>
        <v>-9.7374886188718868E-2</v>
      </c>
      <c r="AG47" s="12">
        <f t="shared" ca="1" si="8"/>
        <v>2.2967281678989098</v>
      </c>
      <c r="AH47" s="14">
        <f t="shared" ca="1" si="9"/>
        <v>0.75525008759039181</v>
      </c>
      <c r="AI47" s="14">
        <f t="shared" ca="1" si="10"/>
        <v>-1.5843196616444046</v>
      </c>
      <c r="AJ47" s="14">
        <f t="shared" ca="1" si="11"/>
        <v>-1.1517952819318393</v>
      </c>
      <c r="AK47" s="14">
        <f t="shared" ca="1" si="12"/>
        <v>0.4503238240875837</v>
      </c>
      <c r="AL47" s="14">
        <f t="shared" ca="1" si="13"/>
        <v>2.3917620362605074</v>
      </c>
      <c r="AM47" s="14">
        <f t="shared" ca="1" si="14"/>
        <v>2.1512994288147453</v>
      </c>
      <c r="AN47" s="14">
        <f t="shared" ca="1" si="15"/>
        <v>0.35684686821497535</v>
      </c>
      <c r="AO47" s="14">
        <f t="shared" ca="1" si="17"/>
        <v>-0.22001415971393945</v>
      </c>
      <c r="AP47" s="14">
        <f ca="1">(AV47-$AP$3)/$AP$4</f>
        <v>-9.7374886188718868E-2</v>
      </c>
      <c r="AQ47" s="22">
        <f t="shared" si="18"/>
        <v>2.676714285714286</v>
      </c>
      <c r="AR47" s="22">
        <f t="shared" si="19"/>
        <v>1.1097142857142859</v>
      </c>
      <c r="AS47" s="22">
        <f ca="1">(U47-AS$3)</f>
        <v>-2.3892477711395299E-2</v>
      </c>
      <c r="AT47" s="22">
        <f ca="1">(W47-AT$3)</f>
        <v>-1.9085197269976262E-2</v>
      </c>
      <c r="AU47" s="11">
        <f ca="1">AS47*V47</f>
        <v>-0.14146394731806997</v>
      </c>
      <c r="AV47" s="11">
        <f ca="1">AT47*X47</f>
        <v>-2.7117338863883414E-2</v>
      </c>
    </row>
    <row r="48" spans="1:48">
      <c r="A48">
        <v>43</v>
      </c>
      <c r="B48" s="27" t="str">
        <f t="shared" si="16"/>
        <v>Brandon Ingram</v>
      </c>
      <c r="C48" s="21">
        <v>26.826812633678617</v>
      </c>
      <c r="D48" s="12">
        <f t="shared" ca="1" si="0"/>
        <v>27.347552408868552</v>
      </c>
      <c r="E48" s="12">
        <f t="shared" ca="1" si="1"/>
        <v>27.347552408868552</v>
      </c>
      <c r="F48" s="29">
        <f ca="1">SUM(AI48:AN48,AP48,AO48)+$A$4</f>
        <v>5.1152351487014638</v>
      </c>
      <c r="G48" s="29">
        <f ca="1">SUM(Y48:AF48)+$A$4</f>
        <v>5.1152351487014638</v>
      </c>
      <c r="H48" s="10">
        <v>1</v>
      </c>
      <c r="I48" s="10">
        <v>0</v>
      </c>
      <c r="J48" t="e">
        <f>VLOOKUP(N48,Schedule!#REF!,2,0)</f>
        <v>#REF!</v>
      </c>
      <c r="K48" s="17">
        <v>43</v>
      </c>
      <c r="L48" s="17" t="s">
        <v>97</v>
      </c>
      <c r="M48" s="17" t="s">
        <v>33</v>
      </c>
      <c r="N48" s="17" t="s">
        <v>77</v>
      </c>
      <c r="O48" s="22">
        <v>24.161805555555553</v>
      </c>
      <c r="P48" s="22">
        <v>2.3802777777777777</v>
      </c>
      <c r="Q48" s="22">
        <v>5.0575000000000001</v>
      </c>
      <c r="R48" s="22">
        <v>4.9830555555555556</v>
      </c>
      <c r="S48" s="22">
        <v>0.74374999999999991</v>
      </c>
      <c r="T48" s="22">
        <v>0.44625000000000004</v>
      </c>
      <c r="U48" s="22">
        <v>0.46267329986853112</v>
      </c>
      <c r="V48" s="22">
        <v>18.593333333333334</v>
      </c>
      <c r="W48" s="22">
        <v>0.87899159663865545</v>
      </c>
      <c r="X48" s="22">
        <v>5.2062500000000007</v>
      </c>
      <c r="Y48" s="14">
        <f t="shared" ca="1" si="2"/>
        <v>1.3949485622193865</v>
      </c>
      <c r="Z48" s="14">
        <f t="shared" ca="1" si="3"/>
        <v>0.65169288482299836</v>
      </c>
      <c r="AA48" s="14">
        <f t="shared" ca="1" si="4"/>
        <v>-0.2719198717468988</v>
      </c>
      <c r="AB48" s="14">
        <f t="shared" ca="1" si="5"/>
        <v>0.64689099504772485</v>
      </c>
      <c r="AC48" s="14">
        <f t="shared" ca="1" si="6"/>
        <v>-0.78379376824363534</v>
      </c>
      <c r="AD48" s="14">
        <f t="shared" ca="1" si="7"/>
        <v>-0.41276524038924989</v>
      </c>
      <c r="AE48" s="14">
        <f ca="1">U$4*AO48</f>
        <v>-0.38464460250148269</v>
      </c>
      <c r="AF48" s="15">
        <f ca="1">AP48*W$4</f>
        <v>1.4748261894926218</v>
      </c>
      <c r="AG48" s="12">
        <f t="shared" ca="1" si="8"/>
        <v>2.3152351487014644</v>
      </c>
      <c r="AH48" s="14">
        <f t="shared" ca="1" si="9"/>
        <v>0.76133587478433296</v>
      </c>
      <c r="AI48" s="14">
        <f t="shared" ca="1" si="10"/>
        <v>1.3949485622193865</v>
      </c>
      <c r="AJ48" s="14">
        <f t="shared" ca="1" si="11"/>
        <v>0.65169288482299836</v>
      </c>
      <c r="AK48" s="14">
        <f t="shared" ca="1" si="12"/>
        <v>-0.2719198717468988</v>
      </c>
      <c r="AL48" s="14">
        <f t="shared" ca="1" si="13"/>
        <v>0.64689099504772485</v>
      </c>
      <c r="AM48" s="14">
        <f t="shared" ca="1" si="14"/>
        <v>-0.78379376824363534</v>
      </c>
      <c r="AN48" s="14">
        <f t="shared" ca="1" si="15"/>
        <v>-0.41276524038924989</v>
      </c>
      <c r="AO48" s="14">
        <f t="shared" ca="1" si="17"/>
        <v>-0.38464460250148269</v>
      </c>
      <c r="AP48" s="14">
        <f ca="1">(AV48-$AP$3)/$AP$4</f>
        <v>1.4748261894926218</v>
      </c>
      <c r="AQ48" s="22">
        <f t="shared" si="18"/>
        <v>8.6026388888888885</v>
      </c>
      <c r="AR48" s="22">
        <f t="shared" si="19"/>
        <v>4.5762500000000008</v>
      </c>
      <c r="AS48" s="22">
        <f ca="1">(U48-AS$3)</f>
        <v>-1.330140531958085E-2</v>
      </c>
      <c r="AT48" s="22">
        <f ca="1">(W48-AT$3)</f>
        <v>7.888890489854028E-2</v>
      </c>
      <c r="AU48" s="11">
        <f ca="1">AS48*V48</f>
        <v>-0.24731746290873993</v>
      </c>
      <c r="AV48" s="11">
        <f ca="1">AT48*X48</f>
        <v>0.41071536112802537</v>
      </c>
    </row>
    <row r="49" spans="1:48">
      <c r="A49">
        <v>44</v>
      </c>
      <c r="B49" s="27" t="str">
        <f t="shared" si="16"/>
        <v>Deandre Ayton</v>
      </c>
      <c r="C49" s="21">
        <v>26.777976967174659</v>
      </c>
      <c r="D49" s="12">
        <f t="shared" ca="1" si="0"/>
        <v>26.902504571937186</v>
      </c>
      <c r="E49" s="12">
        <f t="shared" ca="1" si="1"/>
        <v>26.902504571937186</v>
      </c>
      <c r="F49" s="29">
        <f ca="1">SUM(AI49:AN49,AP49,AO49)+$A$4</f>
        <v>5.0319909773661662</v>
      </c>
      <c r="G49" s="29">
        <f ca="1">SUM(Y49:AF49)+$A$4</f>
        <v>5.0319909773661662</v>
      </c>
      <c r="H49" s="10">
        <v>1</v>
      </c>
      <c r="I49" s="10">
        <v>0</v>
      </c>
      <c r="J49" t="e">
        <f>VLOOKUP(N49,Schedule!#REF!,2,0)</f>
        <v>#REF!</v>
      </c>
      <c r="K49" s="17">
        <v>44</v>
      </c>
      <c r="L49" s="17" t="s">
        <v>98</v>
      </c>
      <c r="M49" s="17" t="s">
        <v>22</v>
      </c>
      <c r="N49" s="17" t="s">
        <v>72</v>
      </c>
      <c r="O49" s="22">
        <v>15.223896103896104</v>
      </c>
      <c r="P49" s="22">
        <v>7.7662337662337669E-2</v>
      </c>
      <c r="Q49" s="22">
        <v>11.088051948051948</v>
      </c>
      <c r="R49" s="22">
        <v>1.5840259740259741</v>
      </c>
      <c r="S49" s="22">
        <v>0.79194805194805196</v>
      </c>
      <c r="T49" s="22">
        <v>1.32</v>
      </c>
      <c r="U49" s="22">
        <v>0.61942712368864461</v>
      </c>
      <c r="V49" s="22">
        <v>10.559610389610389</v>
      </c>
      <c r="W49" s="22">
        <v>0.7819756001574184</v>
      </c>
      <c r="X49" s="22">
        <v>2.64</v>
      </c>
      <c r="Y49" s="14">
        <f t="shared" ca="1" si="2"/>
        <v>-0.15913231450084539</v>
      </c>
      <c r="Z49" s="14">
        <f t="shared" ca="1" si="3"/>
        <v>-1.6348881679676068</v>
      </c>
      <c r="AA49" s="14">
        <f t="shared" ca="1" si="4"/>
        <v>2.2491614436853706</v>
      </c>
      <c r="AB49" s="14">
        <f t="shared" ca="1" si="5"/>
        <v>-0.97150480159980668</v>
      </c>
      <c r="AC49" s="14">
        <f t="shared" ca="1" si="6"/>
        <v>-0.6299011662483196</v>
      </c>
      <c r="AD49" s="14">
        <f t="shared" ca="1" si="7"/>
        <v>1.1941785367723419</v>
      </c>
      <c r="AE49" s="14">
        <f ca="1">U$4*AO49</f>
        <v>2.3559204886848293</v>
      </c>
      <c r="AF49" s="15">
        <f ca="1">AP49*W$4</f>
        <v>-0.17184304145979679</v>
      </c>
      <c r="AG49" s="12">
        <f t="shared" ca="1" si="8"/>
        <v>2.2319909773661664</v>
      </c>
      <c r="AH49" s="14">
        <f t="shared" ca="1" si="9"/>
        <v>0.73396207906435962</v>
      </c>
      <c r="AI49" s="14">
        <f t="shared" ca="1" si="10"/>
        <v>-0.15913231450084539</v>
      </c>
      <c r="AJ49" s="14">
        <f t="shared" ca="1" si="11"/>
        <v>-1.6348881679676068</v>
      </c>
      <c r="AK49" s="14">
        <f t="shared" ca="1" si="12"/>
        <v>2.2491614436853706</v>
      </c>
      <c r="AL49" s="14">
        <f t="shared" ca="1" si="13"/>
        <v>-0.97150480159980668</v>
      </c>
      <c r="AM49" s="14">
        <f t="shared" ca="1" si="14"/>
        <v>-0.6299011662483196</v>
      </c>
      <c r="AN49" s="14">
        <f t="shared" ca="1" si="15"/>
        <v>1.1941785367723419</v>
      </c>
      <c r="AO49" s="14">
        <f t="shared" ca="1" si="17"/>
        <v>2.3559204886848293</v>
      </c>
      <c r="AP49" s="14">
        <f ca="1">(AV49-$AP$3)/$AP$4</f>
        <v>-0.17184304145979679</v>
      </c>
      <c r="AQ49" s="22">
        <f t="shared" si="18"/>
        <v>6.540909090909091</v>
      </c>
      <c r="AR49" s="22">
        <f t="shared" si="19"/>
        <v>2.0644155844155847</v>
      </c>
      <c r="AS49" s="22">
        <f ca="1">(U49-AS$3)</f>
        <v>0.14345241850053264</v>
      </c>
      <c r="AT49" s="22">
        <f ca="1">(W49-AT$3)</f>
        <v>-1.8127091582696764E-2</v>
      </c>
      <c r="AU49" s="11">
        <f ca="1">AS49*V49</f>
        <v>1.5148016488129621</v>
      </c>
      <c r="AV49" s="11">
        <f ca="1">AT49*X49</f>
        <v>-4.7855521778319456E-2</v>
      </c>
    </row>
    <row r="50" spans="1:48">
      <c r="A50">
        <v>45</v>
      </c>
      <c r="B50" s="27" t="str">
        <f t="shared" si="16"/>
        <v>Christian Wood</v>
      </c>
      <c r="C50" s="21">
        <v>26.714654159132188</v>
      </c>
      <c r="D50" s="12">
        <f t="shared" ca="1" si="0"/>
        <v>27.10052089097324</v>
      </c>
      <c r="E50" s="12">
        <f t="shared" ca="1" si="1"/>
        <v>27.10052089097324</v>
      </c>
      <c r="F50" s="29">
        <f ca="1">SUM(AI50:AN50,AP50,AO50)+$A$4</f>
        <v>5.0690290281579156</v>
      </c>
      <c r="G50" s="29">
        <f ca="1">SUM(Y50:AF50)+$A$4</f>
        <v>5.0690290281579156</v>
      </c>
      <c r="H50" s="10">
        <v>1</v>
      </c>
      <c r="I50" s="10">
        <v>0</v>
      </c>
      <c r="J50" t="e">
        <f>VLOOKUP(N50,Schedule!#REF!,2,0)</f>
        <v>#REF!</v>
      </c>
      <c r="K50" s="17">
        <v>45</v>
      </c>
      <c r="L50" s="17" t="s">
        <v>99</v>
      </c>
      <c r="M50" s="17" t="s">
        <v>63</v>
      </c>
      <c r="N50" s="17" t="s">
        <v>100</v>
      </c>
      <c r="O50" s="22">
        <v>22.227878787878787</v>
      </c>
      <c r="P50" s="22">
        <v>1.9960606060606061</v>
      </c>
      <c r="Q50" s="22">
        <v>9.5446969696969699</v>
      </c>
      <c r="R50" s="22">
        <v>1.7853030303030302</v>
      </c>
      <c r="S50" s="22">
        <v>0.82393939393939397</v>
      </c>
      <c r="T50" s="22">
        <v>1.1672727272727275</v>
      </c>
      <c r="U50" s="22">
        <v>0.52151318081523634</v>
      </c>
      <c r="V50" s="22">
        <v>15.656363636363636</v>
      </c>
      <c r="W50" s="22">
        <v>0.73300694523511323</v>
      </c>
      <c r="X50" s="22">
        <v>5.3230303030303032</v>
      </c>
      <c r="Y50" s="14">
        <f t="shared" ca="1" si="2"/>
        <v>1.0586866406952402</v>
      </c>
      <c r="Z50" s="14">
        <f t="shared" ca="1" si="3"/>
        <v>0.27015123018993731</v>
      </c>
      <c r="AA50" s="14">
        <f t="shared" ca="1" si="4"/>
        <v>1.603959572857113</v>
      </c>
      <c r="AB50" s="14">
        <f t="shared" ca="1" si="5"/>
        <v>-0.87566981869454208</v>
      </c>
      <c r="AC50" s="14">
        <f t="shared" ca="1" si="6"/>
        <v>-0.52775531882535953</v>
      </c>
      <c r="AD50" s="14">
        <f t="shared" ca="1" si="7"/>
        <v>0.91329253904764718</v>
      </c>
      <c r="AE50" s="14">
        <f ca="1">U$4*AO50</f>
        <v>1.1088536961661701</v>
      </c>
      <c r="AF50" s="15">
        <f ca="1">AP50*W$4</f>
        <v>-1.2824895132782912</v>
      </c>
      <c r="AG50" s="12">
        <f t="shared" ca="1" si="8"/>
        <v>2.2690290281579157</v>
      </c>
      <c r="AH50" s="14">
        <f t="shared" ca="1" si="9"/>
        <v>0.74614157487741273</v>
      </c>
      <c r="AI50" s="14">
        <f t="shared" ca="1" si="10"/>
        <v>1.0586866406952402</v>
      </c>
      <c r="AJ50" s="14">
        <f t="shared" ca="1" si="11"/>
        <v>0.27015123018993731</v>
      </c>
      <c r="AK50" s="14">
        <f t="shared" ca="1" si="12"/>
        <v>1.603959572857113</v>
      </c>
      <c r="AL50" s="14">
        <f t="shared" ca="1" si="13"/>
        <v>-0.87566981869454208</v>
      </c>
      <c r="AM50" s="14">
        <f t="shared" ca="1" si="14"/>
        <v>-0.52775531882535953</v>
      </c>
      <c r="AN50" s="14">
        <f t="shared" ca="1" si="15"/>
        <v>0.91329253904764718</v>
      </c>
      <c r="AO50" s="14">
        <f t="shared" ca="1" si="17"/>
        <v>1.1088536961661701</v>
      </c>
      <c r="AP50" s="14">
        <f ca="1">(AV50-$AP$3)/$AP$4</f>
        <v>-1.2824895132782912</v>
      </c>
      <c r="AQ50" s="22">
        <f t="shared" si="18"/>
        <v>8.1650000000000009</v>
      </c>
      <c r="AR50" s="22">
        <f t="shared" si="19"/>
        <v>3.9018181818181819</v>
      </c>
      <c r="AS50" s="22">
        <f ca="1">(U50-AS$3)</f>
        <v>4.5538475627124375E-2</v>
      </c>
      <c r="AT50" s="22">
        <f ca="1">(W50-AT$3)</f>
        <v>-6.7095746505001941E-2</v>
      </c>
      <c r="AU50" s="11">
        <f ca="1">AS50*V50</f>
        <v>0.71296693386394183</v>
      </c>
      <c r="AV50" s="11">
        <f ca="1">AT50*X50</f>
        <v>-0.35715269185056486</v>
      </c>
    </row>
    <row r="51" spans="1:48">
      <c r="A51">
        <v>46</v>
      </c>
      <c r="B51" s="27" t="str">
        <f t="shared" si="16"/>
        <v>Robert Williams</v>
      </c>
      <c r="C51" s="21">
        <v>26.621697793103433</v>
      </c>
      <c r="D51" s="12">
        <f t="shared" ca="1" si="0"/>
        <v>26.70560014881131</v>
      </c>
      <c r="E51" s="12">
        <f t="shared" ca="1" si="1"/>
        <v>26.70560014881131</v>
      </c>
      <c r="F51" s="29">
        <f ca="1">SUM(AI51:AN51,AP51,AO51)+$A$4</f>
        <v>4.9951609016413041</v>
      </c>
      <c r="G51" s="29">
        <f ca="1">SUM(Y51:AF51)+$A$4</f>
        <v>4.9951609016413041</v>
      </c>
      <c r="H51" s="10">
        <v>1</v>
      </c>
      <c r="I51" s="10">
        <v>0</v>
      </c>
      <c r="J51" t="e">
        <f>VLOOKUP(N51,Schedule!#REF!,2,0)</f>
        <v>#REF!</v>
      </c>
      <c r="K51" s="17">
        <v>46</v>
      </c>
      <c r="L51" s="17" t="s">
        <v>101</v>
      </c>
      <c r="M51" s="17" t="s">
        <v>63</v>
      </c>
      <c r="N51" s="17" t="s">
        <v>42</v>
      </c>
      <c r="O51" s="22">
        <v>10.18</v>
      </c>
      <c r="P51" s="22">
        <v>0</v>
      </c>
      <c r="Q51" s="22">
        <v>8.995303030303031</v>
      </c>
      <c r="R51" s="22">
        <v>2.2093939393939395</v>
      </c>
      <c r="S51" s="22">
        <v>1.1046969696969697</v>
      </c>
      <c r="T51" s="22">
        <v>2.104242424242424</v>
      </c>
      <c r="U51" s="22">
        <v>0.72299128751210073</v>
      </c>
      <c r="V51" s="22">
        <v>6.2606060606060607</v>
      </c>
      <c r="W51" s="22">
        <v>0.62098322343710877</v>
      </c>
      <c r="X51" s="22">
        <v>1.8153030303030304</v>
      </c>
      <c r="Y51" s="14">
        <f t="shared" ca="1" si="2"/>
        <v>-1.0361408053144627</v>
      </c>
      <c r="Z51" s="14">
        <f t="shared" ca="1" si="3"/>
        <v>-1.7120096997355103</v>
      </c>
      <c r="AA51" s="14">
        <f t="shared" ca="1" si="4"/>
        <v>1.3742846098771146</v>
      </c>
      <c r="AB51" s="14">
        <f t="shared" ca="1" si="5"/>
        <v>-0.67374543757153393</v>
      </c>
      <c r="AC51" s="14">
        <f t="shared" ca="1" si="6"/>
        <v>0.36868161414027928</v>
      </c>
      <c r="AD51" s="14">
        <f t="shared" ca="1" si="7"/>
        <v>2.6365058425491479</v>
      </c>
      <c r="AE51" s="14">
        <f ca="1">U$4*AO51</f>
        <v>2.4051786818760306</v>
      </c>
      <c r="AF51" s="15">
        <f ca="1">AP51*W$4</f>
        <v>-1.1675939041797603</v>
      </c>
      <c r="AG51" s="12">
        <f t="shared" ca="1" si="8"/>
        <v>2.1951609016413043</v>
      </c>
      <c r="AH51" s="14">
        <f t="shared" ca="1" si="9"/>
        <v>0.72185097322870062</v>
      </c>
      <c r="AI51" s="14">
        <f t="shared" ca="1" si="10"/>
        <v>-1.0361408053144627</v>
      </c>
      <c r="AJ51" s="14">
        <f t="shared" ca="1" si="11"/>
        <v>-1.7120096997355103</v>
      </c>
      <c r="AK51" s="14">
        <f t="shared" ca="1" si="12"/>
        <v>1.3742846098771146</v>
      </c>
      <c r="AL51" s="14">
        <f t="shared" ca="1" si="13"/>
        <v>-0.67374543757153393</v>
      </c>
      <c r="AM51" s="14">
        <f t="shared" ca="1" si="14"/>
        <v>0.36868161414027928</v>
      </c>
      <c r="AN51" s="14">
        <f t="shared" ca="1" si="15"/>
        <v>2.6365058425491479</v>
      </c>
      <c r="AO51" s="14">
        <f t="shared" ca="1" si="17"/>
        <v>2.4051786818760306</v>
      </c>
      <c r="AP51" s="14">
        <f ca="1">(AV51-$AP$3)/$AP$4</f>
        <v>-1.1675939041797603</v>
      </c>
      <c r="AQ51" s="22">
        <f t="shared" si="18"/>
        <v>4.5263636363636364</v>
      </c>
      <c r="AR51" s="22">
        <f t="shared" si="19"/>
        <v>1.1272727272727274</v>
      </c>
      <c r="AS51" s="22">
        <f ca="1">(U51-AS$3)</f>
        <v>0.24701658232398876</v>
      </c>
      <c r="AT51" s="22">
        <f ca="1">(W51-AT$3)</f>
        <v>-0.1791194683030064</v>
      </c>
      <c r="AU51" s="11">
        <f ca="1">AS51*V51</f>
        <v>1.54647351236776</v>
      </c>
      <c r="AV51" s="11">
        <f ca="1">AT51*X51</f>
        <v>-0.32515611359671515</v>
      </c>
    </row>
    <row r="52" spans="1:48">
      <c r="A52">
        <v>47</v>
      </c>
      <c r="B52" s="27" t="str">
        <f t="shared" si="16"/>
        <v>Anthony Edwards</v>
      </c>
      <c r="C52" s="21">
        <v>26.403305111032395</v>
      </c>
      <c r="D52" s="12">
        <f t="shared" ca="1" si="0"/>
        <v>27.020254382968044</v>
      </c>
      <c r="E52" s="12">
        <f t="shared" ca="1" si="1"/>
        <v>27.020254382968044</v>
      </c>
      <c r="F52" s="29">
        <f ca="1">SUM(AI52:AN52,AP52,AO52)+$A$4</f>
        <v>5.0540155433358311</v>
      </c>
      <c r="G52" s="29">
        <f ca="1">SUM(Y52:AF52)+$A$4</f>
        <v>5.0540155433358311</v>
      </c>
      <c r="H52" s="10">
        <v>1</v>
      </c>
      <c r="I52" s="10">
        <v>0</v>
      </c>
      <c r="J52" t="e">
        <f>VLOOKUP(N52,Schedule!#REF!,2,0)</f>
        <v>#REF!</v>
      </c>
      <c r="K52" s="17">
        <v>47</v>
      </c>
      <c r="L52" s="17" t="s">
        <v>102</v>
      </c>
      <c r="M52" s="17" t="s">
        <v>48</v>
      </c>
      <c r="N52" s="17" t="s">
        <v>31</v>
      </c>
      <c r="O52" s="22">
        <v>22.278815789473683</v>
      </c>
      <c r="P52" s="22">
        <v>2.8480263157894736</v>
      </c>
      <c r="Q52" s="22">
        <v>5.2572368421052627</v>
      </c>
      <c r="R52" s="22">
        <v>4.055657894736842</v>
      </c>
      <c r="S52" s="22">
        <v>1.3518421052631577</v>
      </c>
      <c r="T52" s="22">
        <v>0.52578947368421058</v>
      </c>
      <c r="U52" s="22">
        <v>0.44671572026032702</v>
      </c>
      <c r="V52" s="22">
        <v>17.649868421052631</v>
      </c>
      <c r="W52" s="22">
        <v>0.79799283154121869</v>
      </c>
      <c r="X52" s="22">
        <v>4.5888157894736841</v>
      </c>
      <c r="Y52" s="14">
        <f t="shared" ca="1" si="2"/>
        <v>1.0675433225092856</v>
      </c>
      <c r="Z52" s="14">
        <f t="shared" ca="1" si="3"/>
        <v>1.1161842305574077</v>
      </c>
      <c r="AA52" s="14">
        <f t="shared" ca="1" si="4"/>
        <v>-0.18841958438138068</v>
      </c>
      <c r="AB52" s="14">
        <f t="shared" ca="1" si="5"/>
        <v>0.20532482444254055</v>
      </c>
      <c r="AC52" s="14">
        <f t="shared" ca="1" si="6"/>
        <v>1.1577966601956391</v>
      </c>
      <c r="AD52" s="14">
        <f t="shared" ca="1" si="7"/>
        <v>-0.26648144951594477</v>
      </c>
      <c r="AE52" s="14">
        <f ca="1">U$4*AO52</f>
        <v>-0.8031665026907352</v>
      </c>
      <c r="AF52" s="15">
        <f ca="1">AP52*W$4</f>
        <v>-3.4765957780980183E-2</v>
      </c>
      <c r="AG52" s="12">
        <f t="shared" ca="1" si="8"/>
        <v>2.2540155433358318</v>
      </c>
      <c r="AH52" s="14">
        <f t="shared" ca="1" si="9"/>
        <v>0.74120457977046073</v>
      </c>
      <c r="AI52" s="14">
        <f t="shared" ca="1" si="10"/>
        <v>1.0675433225092856</v>
      </c>
      <c r="AJ52" s="14">
        <f t="shared" ca="1" si="11"/>
        <v>1.1161842305574077</v>
      </c>
      <c r="AK52" s="14">
        <f t="shared" ca="1" si="12"/>
        <v>-0.18841958438138068</v>
      </c>
      <c r="AL52" s="14">
        <f t="shared" ca="1" si="13"/>
        <v>0.20532482444254055</v>
      </c>
      <c r="AM52" s="14">
        <f t="shared" ca="1" si="14"/>
        <v>1.1577966601956391</v>
      </c>
      <c r="AN52" s="14">
        <f t="shared" ca="1" si="15"/>
        <v>-0.26648144951594477</v>
      </c>
      <c r="AO52" s="14">
        <f t="shared" ca="1" si="17"/>
        <v>-0.8031665026907352</v>
      </c>
      <c r="AP52" s="14">
        <f ca="1">(AV52-$AP$3)/$AP$4</f>
        <v>-3.4765957780980183E-2</v>
      </c>
      <c r="AQ52" s="22">
        <f t="shared" si="18"/>
        <v>7.8844736842105263</v>
      </c>
      <c r="AR52" s="22">
        <f t="shared" si="19"/>
        <v>3.6618421052631582</v>
      </c>
      <c r="AS52" s="22">
        <f ca="1">(U52-AS$3)</f>
        <v>-2.9258984927784948E-2</v>
      </c>
      <c r="AT52" s="22">
        <f ca="1">(W52-AT$3)</f>
        <v>-2.1098601988964738E-3</v>
      </c>
      <c r="AU52" s="11">
        <f ca="1">AS52*V52</f>
        <v>-0.51641723410896645</v>
      </c>
      <c r="AV52" s="11">
        <f ca="1">AT52*X52</f>
        <v>-9.6817597942782264E-3</v>
      </c>
    </row>
    <row r="53" spans="1:48">
      <c r="A53">
        <v>48</v>
      </c>
      <c r="B53" s="27" t="str">
        <f t="shared" si="16"/>
        <v>Tobias Harris</v>
      </c>
      <c r="C53" s="21">
        <v>25.56644954211</v>
      </c>
      <c r="D53" s="12">
        <f t="shared" ca="1" si="0"/>
        <v>25.91997962185852</v>
      </c>
      <c r="E53" s="12">
        <f t="shared" ca="1" si="1"/>
        <v>25.91997962185852</v>
      </c>
      <c r="F53" s="29">
        <f ca="1">SUM(AI53:AN53,AP53,AO53)+$A$4</f>
        <v>4.848214159463855</v>
      </c>
      <c r="G53" s="29">
        <f ca="1">SUM(Y53:AF53)+$A$4</f>
        <v>4.848214159463855</v>
      </c>
      <c r="H53" s="10">
        <v>1</v>
      </c>
      <c r="I53" s="10">
        <v>0</v>
      </c>
      <c r="J53" t="e">
        <f>VLOOKUP(N53,Schedule!#REF!,2,0)</f>
        <v>#REF!</v>
      </c>
      <c r="K53" s="17">
        <v>48</v>
      </c>
      <c r="L53" s="17" t="s">
        <v>103</v>
      </c>
      <c r="M53" s="17" t="s">
        <v>33</v>
      </c>
      <c r="N53" s="17" t="s">
        <v>37</v>
      </c>
      <c r="O53" s="22">
        <v>19.358441558441559</v>
      </c>
      <c r="P53" s="22">
        <v>1.3675324675324676</v>
      </c>
      <c r="Q53" s="22">
        <v>6.8049350649350648</v>
      </c>
      <c r="R53" s="22">
        <v>3.4718181818181817</v>
      </c>
      <c r="S53" s="22">
        <v>0.90272727272727282</v>
      </c>
      <c r="T53" s="22">
        <v>0.83324675324675324</v>
      </c>
      <c r="U53" s="22">
        <v>0.49612343789849533</v>
      </c>
      <c r="V53" s="22">
        <v>15.276623376623377</v>
      </c>
      <c r="W53" s="22">
        <v>0.88300542466197063</v>
      </c>
      <c r="X53" s="22">
        <v>3.2080519480519483</v>
      </c>
      <c r="Y53" s="14">
        <f t="shared" ca="1" si="2"/>
        <v>0.5597626418187982</v>
      </c>
      <c r="Z53" s="14">
        <f t="shared" ca="1" si="3"/>
        <v>-0.35400011860503916</v>
      </c>
      <c r="AA53" s="14">
        <f t="shared" ca="1" si="4"/>
        <v>0.45859798633440879</v>
      </c>
      <c r="AB53" s="14">
        <f t="shared" ca="1" si="5"/>
        <v>-7.2661499194648455E-2</v>
      </c>
      <c r="AC53" s="14">
        <f t="shared" ca="1" si="6"/>
        <v>-0.27619179743187194</v>
      </c>
      <c r="AD53" s="14">
        <f t="shared" ca="1" si="7"/>
        <v>0.29897384334363714</v>
      </c>
      <c r="AE53" s="14">
        <f ca="1">U$4*AO53</f>
        <v>0.47871823145190695</v>
      </c>
      <c r="AF53" s="15">
        <f ca="1">AP53*W$4</f>
        <v>0.95501487174666366</v>
      </c>
      <c r="AG53" s="12">
        <f t="shared" ca="1" si="8"/>
        <v>2.0482141594638552</v>
      </c>
      <c r="AH53" s="14">
        <f t="shared" ca="1" si="9"/>
        <v>0.67352939061748163</v>
      </c>
      <c r="AI53" s="14">
        <f t="shared" ca="1" si="10"/>
        <v>0.5597626418187982</v>
      </c>
      <c r="AJ53" s="14">
        <f t="shared" ca="1" si="11"/>
        <v>-0.35400011860503916</v>
      </c>
      <c r="AK53" s="14">
        <f t="shared" ca="1" si="12"/>
        <v>0.45859798633440879</v>
      </c>
      <c r="AL53" s="14">
        <f t="shared" ca="1" si="13"/>
        <v>-7.2661499194648455E-2</v>
      </c>
      <c r="AM53" s="14">
        <f t="shared" ca="1" si="14"/>
        <v>-0.27619179743187194</v>
      </c>
      <c r="AN53" s="14">
        <f t="shared" ca="1" si="15"/>
        <v>0.29897384334363714</v>
      </c>
      <c r="AO53" s="14">
        <f t="shared" ca="1" si="17"/>
        <v>0.47871823145190695</v>
      </c>
      <c r="AP53" s="14">
        <f ca="1">(AV53-$AP$3)/$AP$4</f>
        <v>0.95501487174666366</v>
      </c>
      <c r="AQ53" s="22">
        <f t="shared" si="18"/>
        <v>7.57909090909091</v>
      </c>
      <c r="AR53" s="22">
        <f t="shared" si="19"/>
        <v>2.8327272727272725</v>
      </c>
      <c r="AS53" s="22">
        <f ca="1">(U53-AS$3)</f>
        <v>2.0148732710383366E-2</v>
      </c>
      <c r="AT53" s="22">
        <f ca="1">(W53-AT$3)</f>
        <v>8.290273292185546E-2</v>
      </c>
      <c r="AU53" s="11">
        <f ca="1">AS53*V53</f>
        <v>0.30780460113277863</v>
      </c>
      <c r="AV53" s="11">
        <f ca="1">AT53*X53</f>
        <v>0.26595627384878878</v>
      </c>
    </row>
    <row r="54" spans="1:48">
      <c r="A54">
        <v>49</v>
      </c>
      <c r="B54" s="27" t="str">
        <f t="shared" si="16"/>
        <v>Gordon Hayward</v>
      </c>
      <c r="C54" s="21">
        <v>24.501045625409848</v>
      </c>
      <c r="D54" s="12">
        <f t="shared" ca="1" si="0"/>
        <v>24.920880367597572</v>
      </c>
      <c r="E54" s="12">
        <f t="shared" ca="1" si="1"/>
        <v>24.920880367597572</v>
      </c>
      <c r="F54" s="29">
        <f ca="1">SUM(AI54:AN54,AP54,AO54)+$A$4</f>
        <v>4.6613371934367347</v>
      </c>
      <c r="G54" s="29">
        <f ca="1">SUM(Y54:AF54)+$A$4</f>
        <v>4.6613371934367347</v>
      </c>
      <c r="H54" s="10">
        <v>1</v>
      </c>
      <c r="I54" s="10">
        <v>0</v>
      </c>
      <c r="J54" t="e">
        <f>VLOOKUP(N54,Schedule!#REF!,2,0)</f>
        <v>#REF!</v>
      </c>
      <c r="K54" s="17">
        <v>49</v>
      </c>
      <c r="L54" s="17" t="s">
        <v>104</v>
      </c>
      <c r="M54" s="17" t="s">
        <v>105</v>
      </c>
      <c r="N54" s="17" t="s">
        <v>65</v>
      </c>
      <c r="O54" s="22">
        <v>19.298787878787881</v>
      </c>
      <c r="P54" s="22">
        <v>1.8246969696969697</v>
      </c>
      <c r="Q54" s="22">
        <v>6.0209090909090905</v>
      </c>
      <c r="R54" s="22">
        <v>4.1792424242424238</v>
      </c>
      <c r="S54" s="22">
        <v>1.1333333333333333</v>
      </c>
      <c r="T54" s="22">
        <v>0.35424242424242425</v>
      </c>
      <c r="U54" s="22">
        <v>0.48705668763890192</v>
      </c>
      <c r="V54" s="22">
        <v>14.521363636363638</v>
      </c>
      <c r="W54" s="22">
        <v>0.84901066625444432</v>
      </c>
      <c r="X54" s="22">
        <v>3.9206060606060604</v>
      </c>
      <c r="Y54" s="14">
        <f t="shared" ca="1" si="2"/>
        <v>0.54939034578277568</v>
      </c>
      <c r="Z54" s="14">
        <f t="shared" ca="1" si="3"/>
        <v>9.9980893789020253E-2</v>
      </c>
      <c r="AA54" s="14">
        <f t="shared" ca="1" si="4"/>
        <v>0.13083474824988001</v>
      </c>
      <c r="AB54" s="14">
        <f t="shared" ca="1" si="5"/>
        <v>0.26416770247141941</v>
      </c>
      <c r="AC54" s="14">
        <f t="shared" ca="1" si="6"/>
        <v>0.46011527864675816</v>
      </c>
      <c r="AD54" s="14">
        <f t="shared" ca="1" si="7"/>
        <v>-0.58197954804631435</v>
      </c>
      <c r="AE54" s="14">
        <f ca="1">U$4*AO54</f>
        <v>0.25028205889755062</v>
      </c>
      <c r="AF54" s="15">
        <f ca="1">AP54*W$4</f>
        <v>0.68854571364564499</v>
      </c>
      <c r="AG54" s="12">
        <f t="shared" ca="1" si="8"/>
        <v>1.8613371934367346</v>
      </c>
      <c r="AH54" s="14">
        <f t="shared" ca="1" si="9"/>
        <v>0.6120772575643455</v>
      </c>
      <c r="AI54" s="14">
        <f t="shared" ca="1" si="10"/>
        <v>0.54939034578277568</v>
      </c>
      <c r="AJ54" s="14">
        <f t="shared" ca="1" si="11"/>
        <v>9.9980893789020253E-2</v>
      </c>
      <c r="AK54" s="14">
        <f t="shared" ca="1" si="12"/>
        <v>0.13083474824988001</v>
      </c>
      <c r="AL54" s="14">
        <f t="shared" ca="1" si="13"/>
        <v>0.26416770247141941</v>
      </c>
      <c r="AM54" s="14">
        <f t="shared" ca="1" si="14"/>
        <v>0.46011527864675816</v>
      </c>
      <c r="AN54" s="14">
        <f t="shared" ca="1" si="15"/>
        <v>-0.58197954804631435</v>
      </c>
      <c r="AO54" s="14">
        <f t="shared" ca="1" si="17"/>
        <v>0.25028205889755062</v>
      </c>
      <c r="AP54" s="14">
        <f ca="1">(AV54-$AP$3)/$AP$4</f>
        <v>0.68854571364564499</v>
      </c>
      <c r="AQ54" s="22">
        <f t="shared" si="18"/>
        <v>7.0727272727272732</v>
      </c>
      <c r="AR54" s="22">
        <f t="shared" si="19"/>
        <v>3.3286363636363636</v>
      </c>
      <c r="AS54" s="22">
        <f ca="1">(U54-AS$3)</f>
        <v>1.1081982450789951E-2</v>
      </c>
      <c r="AT54" s="22">
        <f ca="1">(W54-AT$3)</f>
        <v>4.8907974514329156E-2</v>
      </c>
      <c r="AU54" s="11">
        <f ca="1">AS54*V54</f>
        <v>0.16092549697972119</v>
      </c>
      <c r="AV54" s="11">
        <f ca="1">AT54*X54</f>
        <v>0.19174890129284564</v>
      </c>
    </row>
    <row r="55" spans="1:48">
      <c r="A55">
        <v>50</v>
      </c>
      <c r="B55" s="27" t="str">
        <f t="shared" si="16"/>
        <v>Tyrese Haliburton</v>
      </c>
      <c r="C55" s="21">
        <v>24.352725078865976</v>
      </c>
      <c r="D55" s="12">
        <f t="shared" ca="1" si="0"/>
        <v>24.82146479681429</v>
      </c>
      <c r="E55" s="12">
        <f t="shared" ca="1" si="1"/>
        <v>24.82146479681429</v>
      </c>
      <c r="F55" s="29">
        <f ca="1">SUM(AI55:AN55,AP55,AO55)+$A$4</f>
        <v>4.6427419636188754</v>
      </c>
      <c r="G55" s="29">
        <f ca="1">SUM(Y55:AF55)+$A$4</f>
        <v>4.6427419636188754</v>
      </c>
      <c r="H55" s="10">
        <v>1</v>
      </c>
      <c r="I55" s="10">
        <v>0</v>
      </c>
      <c r="J55" t="e">
        <f>VLOOKUP(N55,Schedule!#REF!,2,0)</f>
        <v>#REF!</v>
      </c>
      <c r="K55" s="17">
        <v>50</v>
      </c>
      <c r="L55" s="17" t="s">
        <v>106</v>
      </c>
      <c r="M55" s="17" t="s">
        <v>25</v>
      </c>
      <c r="N55" s="17" t="s">
        <v>94</v>
      </c>
      <c r="O55" s="22">
        <v>15.130684931506849</v>
      </c>
      <c r="P55" s="22">
        <v>2.3087671232876712</v>
      </c>
      <c r="Q55" s="22">
        <v>3.0153424657534247</v>
      </c>
      <c r="R55" s="22">
        <v>5.8204109589041098</v>
      </c>
      <c r="S55" s="22">
        <v>1.4726027397260273</v>
      </c>
      <c r="T55" s="22">
        <v>0.49082191780821915</v>
      </c>
      <c r="U55" s="22">
        <v>0.47973523535255441</v>
      </c>
      <c r="V55" s="22">
        <v>12.272465753424658</v>
      </c>
      <c r="W55" s="22">
        <v>0.85299698627078913</v>
      </c>
      <c r="X55" s="22">
        <v>1.2272602739726028</v>
      </c>
      <c r="Y55" s="14">
        <f t="shared" ca="1" si="2"/>
        <v>-0.17533942661025698</v>
      </c>
      <c r="Z55" s="14">
        <f t="shared" ca="1" si="3"/>
        <v>0.58068019864838671</v>
      </c>
      <c r="AA55" s="14">
        <f t="shared" ca="1" si="4"/>
        <v>-1.1256469015623671</v>
      </c>
      <c r="AB55" s="14">
        <f t="shared" ca="1" si="5"/>
        <v>1.0455849259400718</v>
      </c>
      <c r="AC55" s="14">
        <f t="shared" ca="1" si="6"/>
        <v>1.5433759005376813</v>
      </c>
      <c r="AD55" s="14">
        <f t="shared" ca="1" si="7"/>
        <v>-0.3307914882197785</v>
      </c>
      <c r="AE55" s="14">
        <f ca="1">U$4*AO55</f>
        <v>7.1777076505126949E-2</v>
      </c>
      <c r="AF55" s="15">
        <f ca="1">AP55*W$4</f>
        <v>0.23310167838001133</v>
      </c>
      <c r="AG55" s="12">
        <f t="shared" ca="1" si="8"/>
        <v>1.8427419636188753</v>
      </c>
      <c r="AH55" s="14">
        <f t="shared" ca="1" si="9"/>
        <v>0.6059624507948751</v>
      </c>
      <c r="AI55" s="14">
        <f t="shared" ca="1" si="10"/>
        <v>-0.17533942661025698</v>
      </c>
      <c r="AJ55" s="14">
        <f t="shared" ca="1" si="11"/>
        <v>0.58068019864838671</v>
      </c>
      <c r="AK55" s="14">
        <f t="shared" ca="1" si="12"/>
        <v>-1.1256469015623671</v>
      </c>
      <c r="AL55" s="14">
        <f t="shared" ca="1" si="13"/>
        <v>1.0455849259400718</v>
      </c>
      <c r="AM55" s="14">
        <f t="shared" ca="1" si="14"/>
        <v>1.5433759005376813</v>
      </c>
      <c r="AN55" s="14">
        <f t="shared" ca="1" si="15"/>
        <v>-0.3307914882197785</v>
      </c>
      <c r="AO55" s="14">
        <f t="shared" ca="1" si="17"/>
        <v>7.1777076505126949E-2</v>
      </c>
      <c r="AP55" s="14">
        <f ca="1">(AV55-$AP$3)/$AP$4</f>
        <v>0.23310167838001133</v>
      </c>
      <c r="AQ55" s="22">
        <f t="shared" si="18"/>
        <v>5.887534246575342</v>
      </c>
      <c r="AR55" s="22">
        <f t="shared" si="19"/>
        <v>1.0468493150684932</v>
      </c>
      <c r="AS55" s="22">
        <f ca="1">(U55-AS$3)</f>
        <v>3.7605301644424438E-3</v>
      </c>
      <c r="AT55" s="22">
        <f ca="1">(W55-AT$3)</f>
        <v>5.2894294530673958E-2</v>
      </c>
      <c r="AU55" s="11">
        <f ca="1">AS55*V55</f>
        <v>4.6150977657840292E-2</v>
      </c>
      <c r="AV55" s="11">
        <f ca="1">AT55*X55</f>
        <v>6.4915066397302476E-2</v>
      </c>
    </row>
    <row r="56" spans="1:48">
      <c r="A56">
        <v>51</v>
      </c>
      <c r="B56" s="27" t="str">
        <f t="shared" si="16"/>
        <v>Derrick White</v>
      </c>
      <c r="C56" s="21">
        <v>23.951436043634629</v>
      </c>
      <c r="D56" s="12">
        <f t="shared" ca="1" si="0"/>
        <v>24.395853379428878</v>
      </c>
      <c r="E56" s="12">
        <f t="shared" ca="1" si="1"/>
        <v>24.395853379428878</v>
      </c>
      <c r="F56" s="29">
        <f ca="1">SUM(AI56:AN56,AP56,AO56)+$A$4</f>
        <v>4.5631332860542795</v>
      </c>
      <c r="G56" s="29">
        <f ca="1">SUM(Y56:AF56)+$A$4</f>
        <v>4.5631332860542795</v>
      </c>
      <c r="H56" s="10">
        <v>1</v>
      </c>
      <c r="I56" s="10">
        <v>0</v>
      </c>
      <c r="J56" t="e">
        <f>VLOOKUP(N56,Schedule!#REF!,2,0)</f>
        <v>#REF!</v>
      </c>
      <c r="K56" s="17">
        <v>51</v>
      </c>
      <c r="L56" s="17" t="s">
        <v>107</v>
      </c>
      <c r="M56" s="17" t="s">
        <v>25</v>
      </c>
      <c r="N56" s="17" t="s">
        <v>108</v>
      </c>
      <c r="O56" s="22">
        <v>19.669444444444441</v>
      </c>
      <c r="P56" s="22">
        <v>2.9249999999999998</v>
      </c>
      <c r="Q56" s="22">
        <v>3.5686111111111112</v>
      </c>
      <c r="R56" s="22">
        <v>5.5213888888888896</v>
      </c>
      <c r="S56" s="22">
        <v>0.80805555555555553</v>
      </c>
      <c r="T56" s="22">
        <v>1.077361111111111</v>
      </c>
      <c r="U56" s="22">
        <v>0.42582999654654241</v>
      </c>
      <c r="V56" s="22">
        <v>14.880416666666665</v>
      </c>
      <c r="W56" s="22">
        <v>0.85500947936415328</v>
      </c>
      <c r="X56" s="22">
        <v>4.7618055555555561</v>
      </c>
      <c r="Y56" s="14">
        <f t="shared" ca="1" si="2"/>
        <v>0.61383833371922858</v>
      </c>
      <c r="Z56" s="14">
        <f t="shared" ca="1" si="3"/>
        <v>1.1926219043491082</v>
      </c>
      <c r="AA56" s="14">
        <f t="shared" ca="1" si="4"/>
        <v>-0.89435211192435393</v>
      </c>
      <c r="AB56" s="14">
        <f t="shared" ca="1" si="5"/>
        <v>0.9032101540795392</v>
      </c>
      <c r="AC56" s="14">
        <f t="shared" ca="1" si="6"/>
        <v>-0.57847116977295709</v>
      </c>
      <c r="AD56" s="14">
        <f t="shared" ca="1" si="7"/>
        <v>0.74793298301279598</v>
      </c>
      <c r="AE56" s="14">
        <f ca="1">U$4*AO56</f>
        <v>-1.1604997848027165</v>
      </c>
      <c r="AF56" s="15">
        <f ca="1">AP56*W$4</f>
        <v>0.93885297739363471</v>
      </c>
      <c r="AG56" s="12">
        <f t="shared" ca="1" si="8"/>
        <v>1.7631332860542794</v>
      </c>
      <c r="AH56" s="14">
        <f t="shared" ca="1" si="9"/>
        <v>0.57978414134407963</v>
      </c>
      <c r="AI56" s="14">
        <f t="shared" ca="1" si="10"/>
        <v>0.61383833371922858</v>
      </c>
      <c r="AJ56" s="14">
        <f t="shared" ca="1" si="11"/>
        <v>1.1926219043491082</v>
      </c>
      <c r="AK56" s="14">
        <f t="shared" ca="1" si="12"/>
        <v>-0.89435211192435393</v>
      </c>
      <c r="AL56" s="14">
        <f t="shared" ca="1" si="13"/>
        <v>0.9032101540795392</v>
      </c>
      <c r="AM56" s="14">
        <f t="shared" ca="1" si="14"/>
        <v>-0.57847116977295709</v>
      </c>
      <c r="AN56" s="14">
        <f t="shared" ca="1" si="15"/>
        <v>0.74793298301279598</v>
      </c>
      <c r="AO56" s="14">
        <f t="shared" ca="1" si="17"/>
        <v>-1.1604997848027165</v>
      </c>
      <c r="AP56" s="14">
        <f ca="1">(AV56-$AP$3)/$AP$4</f>
        <v>0.93885297739363471</v>
      </c>
      <c r="AQ56" s="22">
        <f t="shared" si="18"/>
        <v>6.3365277777777784</v>
      </c>
      <c r="AR56" s="22">
        <f t="shared" si="19"/>
        <v>4.0713888888888885</v>
      </c>
      <c r="AS56" s="22">
        <f ca="1">(U56-AS$3)</f>
        <v>-5.0144708641569558E-2</v>
      </c>
      <c r="AT56" s="22">
        <f ca="1">(W56-AT$3)</f>
        <v>5.4906787624038111E-2</v>
      </c>
      <c r="AU56" s="11">
        <f ca="1">AS56*V56</f>
        <v>-0.74617415821515565</v>
      </c>
      <c r="AV56" s="11">
        <f ca="1">AT56*X56</f>
        <v>0.26145544634585371</v>
      </c>
    </row>
    <row r="57" spans="1:48">
      <c r="A57">
        <v>52</v>
      </c>
      <c r="B57" s="27" t="str">
        <f t="shared" si="16"/>
        <v>Russell Westbrook</v>
      </c>
      <c r="C57" s="21">
        <v>23.135914049566978</v>
      </c>
      <c r="D57" s="12">
        <f t="shared" ca="1" si="0"/>
        <v>23.613086557482816</v>
      </c>
      <c r="E57" s="12">
        <f t="shared" ca="1" si="1"/>
        <v>23.613086557482816</v>
      </c>
      <c r="F57" s="29">
        <f ca="1">SUM(AI57:AN57,AP57,AO57)+$A$4</f>
        <v>4.4167203164037536</v>
      </c>
      <c r="G57" s="29">
        <f ca="1">SUM(Y57:AF57)+$A$4</f>
        <v>4.4167203164037536</v>
      </c>
      <c r="H57" s="10">
        <v>1</v>
      </c>
      <c r="I57" s="10">
        <v>0</v>
      </c>
      <c r="J57" t="e">
        <f>VLOOKUP(N57,Schedule!#REF!,2,0)</f>
        <v>#REF!</v>
      </c>
      <c r="K57" s="17">
        <v>52</v>
      </c>
      <c r="L57" s="17" t="s">
        <v>109</v>
      </c>
      <c r="M57" s="17" t="s">
        <v>28</v>
      </c>
      <c r="N57" s="17" t="s">
        <v>55</v>
      </c>
      <c r="O57" s="22">
        <v>19.719154929577464</v>
      </c>
      <c r="P57" s="22">
        <v>0.9974647887323943</v>
      </c>
      <c r="Q57" s="22">
        <v>9.4456338028169036</v>
      </c>
      <c r="R57" s="22">
        <v>7.14</v>
      </c>
      <c r="S57" s="22">
        <v>1.4130985915492957</v>
      </c>
      <c r="T57" s="22">
        <v>0.2974647887323944</v>
      </c>
      <c r="U57" s="22">
        <v>0.45910577045560702</v>
      </c>
      <c r="V57" s="22">
        <v>16.585211267605633</v>
      </c>
      <c r="W57" s="22">
        <v>0.70201262490446403</v>
      </c>
      <c r="X57" s="22">
        <v>4.9756338028169012</v>
      </c>
      <c r="Y57" s="14">
        <f t="shared" ca="1" si="2"/>
        <v>0.62248175472674094</v>
      </c>
      <c r="Z57" s="14">
        <f t="shared" ca="1" si="3"/>
        <v>-0.72149081108125401</v>
      </c>
      <c r="AA57" s="14">
        <f t="shared" ca="1" si="4"/>
        <v>1.5625460668927775</v>
      </c>
      <c r="AB57" s="14">
        <f t="shared" ca="1" si="5"/>
        <v>1.673887006338765</v>
      </c>
      <c r="AC57" s="14">
        <f t="shared" ca="1" si="6"/>
        <v>1.3533838194821701</v>
      </c>
      <c r="AD57" s="14">
        <f t="shared" ca="1" si="7"/>
        <v>-0.6864012568472202</v>
      </c>
      <c r="AE57" s="14">
        <f ca="1">U$4*AO57</f>
        <v>-0.4351244886512477</v>
      </c>
      <c r="AF57" s="15">
        <f ca="1">AP57*W$4</f>
        <v>-1.7525617744569784</v>
      </c>
      <c r="AG57" s="12">
        <f t="shared" ca="1" si="8"/>
        <v>1.616720316403754</v>
      </c>
      <c r="AH57" s="14">
        <f t="shared" ca="1" si="9"/>
        <v>0.53163808309545035</v>
      </c>
      <c r="AI57" s="14">
        <f t="shared" ca="1" si="10"/>
        <v>0.62248175472674094</v>
      </c>
      <c r="AJ57" s="14">
        <f t="shared" ca="1" si="11"/>
        <v>-0.72149081108125401</v>
      </c>
      <c r="AK57" s="14">
        <f t="shared" ca="1" si="12"/>
        <v>1.5625460668927775</v>
      </c>
      <c r="AL57" s="14">
        <f t="shared" ca="1" si="13"/>
        <v>1.673887006338765</v>
      </c>
      <c r="AM57" s="14">
        <f t="shared" ca="1" si="14"/>
        <v>1.3533838194821701</v>
      </c>
      <c r="AN57" s="14">
        <f t="shared" ca="1" si="15"/>
        <v>-0.6864012568472202</v>
      </c>
      <c r="AO57" s="14">
        <f t="shared" ca="1" si="17"/>
        <v>-0.4351244886512477</v>
      </c>
      <c r="AP57" s="14">
        <f ca="1">(AV57-$AP$3)/$AP$4</f>
        <v>-1.7525617744569784</v>
      </c>
      <c r="AQ57" s="22">
        <f t="shared" si="18"/>
        <v>7.6143661971830987</v>
      </c>
      <c r="AR57" s="22">
        <f t="shared" si="19"/>
        <v>3.492957746478873</v>
      </c>
      <c r="AS57" s="22">
        <f ca="1">(U57-AS$3)</f>
        <v>-1.6868934732504948E-2</v>
      </c>
      <c r="AT57" s="22">
        <f ca="1">(W57-AT$3)</f>
        <v>-9.8090066835651135E-2</v>
      </c>
      <c r="AU57" s="11">
        <f ca="1">AS57*V57</f>
        <v>-0.27977484639804506</v>
      </c>
      <c r="AV57" s="11">
        <f ca="1">AT57*X57</f>
        <v>-0.48806025226803484</v>
      </c>
    </row>
    <row r="58" spans="1:48">
      <c r="A58">
        <v>53</v>
      </c>
      <c r="B58" s="27" t="str">
        <f t="shared" si="16"/>
        <v>Richaun Holmes</v>
      </c>
      <c r="C58" s="21">
        <v>23.010125540817317</v>
      </c>
      <c r="D58" s="12">
        <f t="shared" ca="1" si="0"/>
        <v>23.056343534706464</v>
      </c>
      <c r="E58" s="12">
        <f t="shared" ca="1" si="1"/>
        <v>23.056343534706464</v>
      </c>
      <c r="F58" s="29">
        <f ca="1">SUM(AI58:AN58,AP58,AO58)+$A$4</f>
        <v>4.3125840691695636</v>
      </c>
      <c r="G58" s="29">
        <f ca="1">SUM(Y58:AF58)+$A$4</f>
        <v>4.3125840691695636</v>
      </c>
      <c r="H58" s="10">
        <v>1</v>
      </c>
      <c r="I58" s="10">
        <v>0</v>
      </c>
      <c r="J58" t="e">
        <f>VLOOKUP(N58,Schedule!#REF!,2,0)</f>
        <v>#REF!</v>
      </c>
      <c r="K58" s="17">
        <v>53</v>
      </c>
      <c r="L58" s="17" t="s">
        <v>110</v>
      </c>
      <c r="M58" s="17" t="s">
        <v>63</v>
      </c>
      <c r="N58" s="17" t="s">
        <v>94</v>
      </c>
      <c r="O58" s="22">
        <v>15.637837837837839</v>
      </c>
      <c r="P58" s="22">
        <v>0</v>
      </c>
      <c r="Q58" s="22">
        <v>8.7337837837837835</v>
      </c>
      <c r="R58" s="22">
        <v>1.7212162162162163</v>
      </c>
      <c r="S58" s="22">
        <v>0.63756756756756761</v>
      </c>
      <c r="T58" s="22">
        <v>1.53</v>
      </c>
      <c r="U58" s="22">
        <v>0.63999735029146798</v>
      </c>
      <c r="V58" s="22">
        <v>10.199999999999999</v>
      </c>
      <c r="W58" s="22">
        <v>0.79100770058789438</v>
      </c>
      <c r="X58" s="22">
        <v>3.2640540540540539</v>
      </c>
      <c r="Y58" s="14">
        <f t="shared" ca="1" si="2"/>
        <v>-8.7158108868696432E-2</v>
      </c>
      <c r="Z58" s="14">
        <f t="shared" ca="1" si="3"/>
        <v>-1.7120096997355103</v>
      </c>
      <c r="AA58" s="14">
        <f t="shared" ca="1" si="4"/>
        <v>1.2649560953887222</v>
      </c>
      <c r="AB58" s="14">
        <f t="shared" ca="1" si="5"/>
        <v>-0.9061837721776882</v>
      </c>
      <c r="AC58" s="14">
        <f t="shared" ca="1" si="6"/>
        <v>-1.122825952175692</v>
      </c>
      <c r="AD58" s="14">
        <f t="shared" ca="1" si="7"/>
        <v>1.5803967836437973</v>
      </c>
      <c r="AE58" s="14">
        <f ca="1">U$4*AO58</f>
        <v>2.6020092909212944</v>
      </c>
      <c r="AF58" s="15">
        <f ca="1">AP58*W$4</f>
        <v>-0.10660056782666336</v>
      </c>
      <c r="AG58" s="12">
        <f t="shared" ca="1" si="8"/>
        <v>1.5125840691695638</v>
      </c>
      <c r="AH58" s="14">
        <f t="shared" ca="1" si="9"/>
        <v>0.49739419174416943</v>
      </c>
      <c r="AI58" s="14">
        <f t="shared" ca="1" si="10"/>
        <v>-8.7158108868696432E-2</v>
      </c>
      <c r="AJ58" s="14">
        <f t="shared" ca="1" si="11"/>
        <v>-1.7120096997355103</v>
      </c>
      <c r="AK58" s="14">
        <f t="shared" ca="1" si="12"/>
        <v>1.2649560953887222</v>
      </c>
      <c r="AL58" s="14">
        <f t="shared" ca="1" si="13"/>
        <v>-0.9061837721776882</v>
      </c>
      <c r="AM58" s="14">
        <f t="shared" ca="1" si="14"/>
        <v>-1.122825952175692</v>
      </c>
      <c r="AN58" s="14">
        <f t="shared" ca="1" si="15"/>
        <v>1.5803967836437973</v>
      </c>
      <c r="AO58" s="14">
        <f t="shared" ca="1" si="17"/>
        <v>2.6020092909212944</v>
      </c>
      <c r="AP58" s="14">
        <f ca="1">(AV58-$AP$3)/$AP$4</f>
        <v>-0.10660056782666336</v>
      </c>
      <c r="AQ58" s="22">
        <f t="shared" si="18"/>
        <v>6.5279729729729725</v>
      </c>
      <c r="AR58" s="22">
        <f t="shared" si="19"/>
        <v>2.5818918918918921</v>
      </c>
      <c r="AS58" s="22">
        <f ca="1">(U58-AS$3)</f>
        <v>0.16402264510335601</v>
      </c>
      <c r="AT58" s="22">
        <f ca="1">(W58-AT$3)</f>
        <v>-9.0949911522207882E-3</v>
      </c>
      <c r="AU58" s="11">
        <f ca="1">AS58*V58</f>
        <v>1.6730309800542311</v>
      </c>
      <c r="AV58" s="11">
        <f ca="1">AT58*X58</f>
        <v>-2.9686542741992016E-2</v>
      </c>
    </row>
    <row r="59" spans="1:48">
      <c r="A59">
        <v>54</v>
      </c>
      <c r="B59" s="27" t="str">
        <f t="shared" si="16"/>
        <v>D'Angelo Russell</v>
      </c>
      <c r="C59" s="21">
        <v>22.997997893552569</v>
      </c>
      <c r="D59" s="12">
        <f t="shared" ca="1" si="0"/>
        <v>23.55901201269576</v>
      </c>
      <c r="E59" s="12">
        <f t="shared" ca="1" si="1"/>
        <v>23.55901201269576</v>
      </c>
      <c r="F59" s="29">
        <f ca="1">SUM(AI59:AN59,AP59,AO59)+$A$4</f>
        <v>4.406605919034317</v>
      </c>
      <c r="G59" s="29">
        <f ca="1">SUM(Y59:AF59)+$A$4</f>
        <v>4.406605919034317</v>
      </c>
      <c r="H59" s="10">
        <v>1</v>
      </c>
      <c r="I59" s="10">
        <v>0</v>
      </c>
      <c r="J59" t="e">
        <f>VLOOKUP(N59,Schedule!#REF!,2,0)</f>
        <v>#REF!</v>
      </c>
      <c r="K59" s="17">
        <v>54</v>
      </c>
      <c r="L59" s="17" t="s">
        <v>111</v>
      </c>
      <c r="M59" s="17" t="s">
        <v>25</v>
      </c>
      <c r="N59" s="17" t="s">
        <v>31</v>
      </c>
      <c r="O59" s="22">
        <v>19.693636363636365</v>
      </c>
      <c r="P59" s="22">
        <v>2.9965151515151516</v>
      </c>
      <c r="Q59" s="22">
        <v>3.1865151515151515</v>
      </c>
      <c r="R59" s="22">
        <v>7.5769696969696971</v>
      </c>
      <c r="S59" s="22">
        <v>1.2037878787878789</v>
      </c>
      <c r="T59" s="22">
        <v>0.49575757575757573</v>
      </c>
      <c r="U59" s="22">
        <v>0.43012668250197944</v>
      </c>
      <c r="V59" s="22">
        <v>16.074545454545454</v>
      </c>
      <c r="W59" s="22">
        <v>0.77599278718085329</v>
      </c>
      <c r="X59" s="22">
        <v>3.6971212121212118</v>
      </c>
      <c r="Y59" s="14">
        <f t="shared" ca="1" si="2"/>
        <v>0.61804470873238682</v>
      </c>
      <c r="Z59" s="14">
        <f t="shared" ca="1" si="3"/>
        <v>1.2636390562334876</v>
      </c>
      <c r="AA59" s="14">
        <f t="shared" ca="1" si="4"/>
        <v>-1.0540879027338024</v>
      </c>
      <c r="AB59" s="14">
        <f t="shared" ca="1" si="5"/>
        <v>1.8819434247591851</v>
      </c>
      <c r="AC59" s="14">
        <f t="shared" ca="1" si="6"/>
        <v>0.68507111989285774</v>
      </c>
      <c r="AD59" s="14">
        <f t="shared" ca="1" si="7"/>
        <v>-0.32171414936093246</v>
      </c>
      <c r="AE59" s="14">
        <f ca="1">U$4*AO59</f>
        <v>-1.1462099426319996</v>
      </c>
      <c r="AF59" s="15">
        <f ca="1">AP59*W$4</f>
        <v>-0.32008039585686526</v>
      </c>
      <c r="AG59" s="12">
        <f t="shared" ca="1" si="8"/>
        <v>1.6066059190343172</v>
      </c>
      <c r="AH59" s="14">
        <f t="shared" ca="1" si="9"/>
        <v>0.52831209110129129</v>
      </c>
      <c r="AI59" s="14">
        <f t="shared" ca="1" si="10"/>
        <v>0.61804470873238682</v>
      </c>
      <c r="AJ59" s="14">
        <f t="shared" ca="1" si="11"/>
        <v>1.2636390562334876</v>
      </c>
      <c r="AK59" s="14">
        <f t="shared" ca="1" si="12"/>
        <v>-1.0540879027338024</v>
      </c>
      <c r="AL59" s="14">
        <f t="shared" ca="1" si="13"/>
        <v>1.8819434247591851</v>
      </c>
      <c r="AM59" s="14">
        <f t="shared" ca="1" si="14"/>
        <v>0.68507111989285774</v>
      </c>
      <c r="AN59" s="14">
        <f t="shared" ca="1" si="15"/>
        <v>-0.32171414936093246</v>
      </c>
      <c r="AO59" s="14">
        <f t="shared" ca="1" si="17"/>
        <v>-1.1462099426319996</v>
      </c>
      <c r="AP59" s="14">
        <f ca="1">(AV59-$AP$3)/$AP$4</f>
        <v>-0.32008039585686526</v>
      </c>
      <c r="AQ59" s="22">
        <f t="shared" si="18"/>
        <v>6.9140909090909091</v>
      </c>
      <c r="AR59" s="22">
        <f t="shared" si="19"/>
        <v>2.8689393939393937</v>
      </c>
      <c r="AS59" s="22">
        <f ca="1">(U59-AS$3)</f>
        <v>-4.5848022686132528E-2</v>
      </c>
      <c r="AT59" s="22">
        <f ca="1">(W59-AT$3)</f>
        <v>-2.4109904559261874E-2</v>
      </c>
      <c r="AU59" s="11">
        <f ca="1">AS59*V59</f>
        <v>-0.73698612466926849</v>
      </c>
      <c r="AV59" s="11">
        <f ca="1">AT59*X59</f>
        <v>-8.9137239568264998E-2</v>
      </c>
    </row>
    <row r="60" spans="1:48">
      <c r="A60">
        <v>55</v>
      </c>
      <c r="B60" s="27" t="str">
        <f t="shared" si="16"/>
        <v>Myles Turner</v>
      </c>
      <c r="C60" s="21">
        <v>22.401747178094581</v>
      </c>
      <c r="D60" s="12">
        <f t="shared" ca="1" si="0"/>
        <v>22.503369951526871</v>
      </c>
      <c r="E60" s="12">
        <f t="shared" ca="1" si="1"/>
        <v>22.503369951526871</v>
      </c>
      <c r="F60" s="29">
        <f ca="1">SUM(AI60:AN60,AP60,AO60)+$A$4</f>
        <v>4.2091528784474876</v>
      </c>
      <c r="G60" s="29">
        <f ca="1">SUM(Y60:AF60)+$A$4</f>
        <v>4.2091528784474876</v>
      </c>
      <c r="H60" s="10">
        <v>1</v>
      </c>
      <c r="I60" s="10">
        <v>0</v>
      </c>
      <c r="J60" t="e">
        <f>VLOOKUP(N60,Schedule!#REF!,2,0)</f>
        <v>#REF!</v>
      </c>
      <c r="K60" s="17">
        <v>55</v>
      </c>
      <c r="L60" s="17" t="s">
        <v>112</v>
      </c>
      <c r="M60" s="17" t="s">
        <v>63</v>
      </c>
      <c r="N60" s="17" t="s">
        <v>75</v>
      </c>
      <c r="O60" s="22">
        <v>12.679154929577466</v>
      </c>
      <c r="P60" s="22">
        <v>1.4528169014084509</v>
      </c>
      <c r="Q60" s="22">
        <v>6.7185915492957751</v>
      </c>
      <c r="R60" s="22">
        <v>0.97845070422535207</v>
      </c>
      <c r="S60" s="22">
        <v>0.78281690140845073</v>
      </c>
      <c r="T60" s="22">
        <v>2.8701408450704227</v>
      </c>
      <c r="U60" s="22">
        <v>0.47822016880312851</v>
      </c>
      <c r="V60" s="22">
        <v>9.3283098591549294</v>
      </c>
      <c r="W60" s="22">
        <v>0.77200018874156562</v>
      </c>
      <c r="X60" s="22">
        <v>2.984929577464789</v>
      </c>
      <c r="Y60" s="14">
        <f t="shared" ca="1" si="2"/>
        <v>-0.60159971883071683</v>
      </c>
      <c r="Z60" s="14">
        <f t="shared" ca="1" si="3"/>
        <v>-0.26930956750327989</v>
      </c>
      <c r="AA60" s="14">
        <f t="shared" ca="1" si="4"/>
        <v>0.4225019497092265</v>
      </c>
      <c r="AB60" s="14">
        <f t="shared" ca="1" si="5"/>
        <v>-1.2598401772389882</v>
      </c>
      <c r="AC60" s="14">
        <f t="shared" ca="1" si="6"/>
        <v>-0.65905621420056282</v>
      </c>
      <c r="AD60" s="14">
        <f t="shared" ca="1" si="7"/>
        <v>4.0450960586148899</v>
      </c>
      <c r="AE60" s="14">
        <f ca="1">U$4*AO60</f>
        <v>3.2577206881025243E-2</v>
      </c>
      <c r="AF60" s="15">
        <f ca="1">AP60*W$4</f>
        <v>-0.30121665898410632</v>
      </c>
      <c r="AG60" s="12">
        <f t="shared" ca="1" si="8"/>
        <v>1.4091528784474878</v>
      </c>
      <c r="AH60" s="14">
        <f t="shared" ca="1" si="9"/>
        <v>0.46338214933346977</v>
      </c>
      <c r="AI60" s="14">
        <f t="shared" ca="1" si="10"/>
        <v>-0.60159971883071683</v>
      </c>
      <c r="AJ60" s="14">
        <f t="shared" ca="1" si="11"/>
        <v>-0.26930956750327989</v>
      </c>
      <c r="AK60" s="14">
        <f t="shared" ca="1" si="12"/>
        <v>0.4225019497092265</v>
      </c>
      <c r="AL60" s="14">
        <f t="shared" ca="1" si="13"/>
        <v>-1.2598401772389882</v>
      </c>
      <c r="AM60" s="14">
        <f t="shared" ca="1" si="14"/>
        <v>-0.65905621420056282</v>
      </c>
      <c r="AN60" s="14">
        <f t="shared" ca="1" si="15"/>
        <v>4.0450960586148899</v>
      </c>
      <c r="AO60" s="14">
        <f t="shared" ca="1" si="17"/>
        <v>3.2577206881025243E-2</v>
      </c>
      <c r="AP60" s="14">
        <f ca="1">(AV60-$AP$3)/$AP$4</f>
        <v>-0.30121665898410632</v>
      </c>
      <c r="AQ60" s="22">
        <f t="shared" si="18"/>
        <v>4.4609859154929579</v>
      </c>
      <c r="AR60" s="22">
        <f t="shared" si="19"/>
        <v>2.3043661971830987</v>
      </c>
      <c r="AS60" s="22">
        <f ca="1">(U60-AS$3)</f>
        <v>2.2454636150165408E-3</v>
      </c>
      <c r="AT60" s="22">
        <f ca="1">(W60-AT$3)</f>
        <v>-2.810250299854955E-2</v>
      </c>
      <c r="AU60" s="11">
        <f ca="1">AS60*V60</f>
        <v>2.0946380378332467E-2</v>
      </c>
      <c r="AV60" s="11">
        <f ca="1">AT60*X60</f>
        <v>-8.3883992401163482E-2</v>
      </c>
    </row>
    <row r="61" spans="1:48">
      <c r="A61">
        <v>56</v>
      </c>
      <c r="B61" s="27" t="str">
        <f t="shared" si="16"/>
        <v>C.J. McCollum</v>
      </c>
      <c r="C61" s="21">
        <v>22.317911532772499</v>
      </c>
      <c r="D61" s="12">
        <f t="shared" ca="1" si="0"/>
        <v>22.82755993800685</v>
      </c>
      <c r="E61" s="12">
        <f t="shared" ca="1" si="1"/>
        <v>22.82755993800685</v>
      </c>
      <c r="F61" s="29">
        <f ca="1">SUM(AI61:AN61,AP61,AO61)+$A$4</f>
        <v>4.269791139192229</v>
      </c>
      <c r="G61" s="29">
        <f ca="1">SUM(Y61:AF61)+$A$4</f>
        <v>4.269791139192229</v>
      </c>
      <c r="H61" s="10">
        <v>1</v>
      </c>
      <c r="I61" s="10">
        <v>0</v>
      </c>
      <c r="J61" t="e">
        <f>VLOOKUP(N61,Schedule!#REF!,2,0)</f>
        <v>#REF!</v>
      </c>
      <c r="K61" s="17">
        <v>56</v>
      </c>
      <c r="L61" s="17" t="s">
        <v>113</v>
      </c>
      <c r="M61" s="17" t="s">
        <v>39</v>
      </c>
      <c r="N61" s="17" t="s">
        <v>35</v>
      </c>
      <c r="O61" s="22">
        <v>22.672297297297298</v>
      </c>
      <c r="P61" s="22">
        <v>3.2666216216216215</v>
      </c>
      <c r="Q61" s="22">
        <v>4.166216216216216</v>
      </c>
      <c r="R61" s="22">
        <v>4.9994594594594588</v>
      </c>
      <c r="S61" s="22">
        <v>0.83324324324324317</v>
      </c>
      <c r="T61" s="22">
        <v>0.53027027027027029</v>
      </c>
      <c r="U61" s="22">
        <v>0.45805226133556753</v>
      </c>
      <c r="V61" s="22">
        <v>18.710540540540539</v>
      </c>
      <c r="W61" s="22">
        <v>0.80701078582434504</v>
      </c>
      <c r="X61" s="22">
        <v>2.8064864864864867</v>
      </c>
      <c r="Y61" s="14">
        <f t="shared" ca="1" si="2"/>
        <v>1.1359600020425729</v>
      </c>
      <c r="Z61" s="14">
        <f t="shared" ca="1" si="3"/>
        <v>1.5318646253066466</v>
      </c>
      <c r="AA61" s="14">
        <f t="shared" ca="1" si="4"/>
        <v>-0.64452239858043714</v>
      </c>
      <c r="AB61" s="14">
        <f t="shared" ca="1" si="5"/>
        <v>0.65470146226782477</v>
      </c>
      <c r="AC61" s="14">
        <f t="shared" ca="1" si="6"/>
        <v>-0.49804885725540127</v>
      </c>
      <c r="AD61" s="14">
        <f t="shared" ca="1" si="7"/>
        <v>-0.2582406618871087</v>
      </c>
      <c r="AE61" s="14">
        <f ca="1">U$4*AO61</f>
        <v>-0.5215409607963708</v>
      </c>
      <c r="AF61" s="15">
        <f ca="1">AP61*W$4</f>
        <v>6.9617928094502984E-2</v>
      </c>
      <c r="AG61" s="12">
        <f t="shared" ca="1" si="8"/>
        <v>1.4697911391922289</v>
      </c>
      <c r="AH61" s="14">
        <f t="shared" ca="1" si="9"/>
        <v>0.48332227650171478</v>
      </c>
      <c r="AI61" s="14">
        <f t="shared" ca="1" si="10"/>
        <v>1.1359600020425729</v>
      </c>
      <c r="AJ61" s="14">
        <f t="shared" ca="1" si="11"/>
        <v>1.5318646253066466</v>
      </c>
      <c r="AK61" s="14">
        <f t="shared" ca="1" si="12"/>
        <v>-0.64452239858043714</v>
      </c>
      <c r="AL61" s="14">
        <f t="shared" ca="1" si="13"/>
        <v>0.65470146226782477</v>
      </c>
      <c r="AM61" s="14">
        <f t="shared" ca="1" si="14"/>
        <v>-0.49804885725540127</v>
      </c>
      <c r="AN61" s="14">
        <f t="shared" ca="1" si="15"/>
        <v>-0.2582406618871087</v>
      </c>
      <c r="AO61" s="14">
        <f t="shared" ca="1" si="17"/>
        <v>-0.5215409607963708</v>
      </c>
      <c r="AP61" s="14">
        <f ca="1">(AV61-$AP$3)/$AP$4</f>
        <v>6.9617928094502984E-2</v>
      </c>
      <c r="AQ61" s="22">
        <f t="shared" si="18"/>
        <v>8.5704054054054062</v>
      </c>
      <c r="AR61" s="22">
        <f t="shared" si="19"/>
        <v>2.2648648648648648</v>
      </c>
      <c r="AS61" s="22">
        <f ca="1">(U61-AS$3)</f>
        <v>-1.7922443852544434E-2</v>
      </c>
      <c r="AT61" s="22">
        <f ca="1">(W61-AT$3)</f>
        <v>6.9080940842298766E-3</v>
      </c>
      <c r="AU61" s="11">
        <f ca="1">AS61*V61</f>
        <v>-0.33533861228859418</v>
      </c>
      <c r="AV61" s="11">
        <f ca="1">AT61*X61</f>
        <v>1.9387472694768391E-2</v>
      </c>
    </row>
    <row r="62" spans="1:48">
      <c r="A62">
        <v>57</v>
      </c>
      <c r="B62" s="27" t="str">
        <f t="shared" si="16"/>
        <v>Cade Cunningham</v>
      </c>
      <c r="C62" s="21">
        <v>21.655593192454287</v>
      </c>
      <c r="D62" s="12">
        <f t="shared" ca="1" si="0"/>
        <v>22.048704277679388</v>
      </c>
      <c r="E62" s="12">
        <f t="shared" ca="1" si="1"/>
        <v>22.048704277679388</v>
      </c>
      <c r="F62" s="29">
        <f ca="1">SUM(AI62:AN62,AP62,AO62)+$A$4</f>
        <v>4.1241097345126594</v>
      </c>
      <c r="G62" s="29">
        <f ca="1">SUM(Y62:AF62)+$A$4</f>
        <v>4.1241097345126594</v>
      </c>
      <c r="H62" s="10">
        <v>1</v>
      </c>
      <c r="I62" s="10">
        <v>0</v>
      </c>
      <c r="J62" t="e">
        <f>VLOOKUP(N62,Schedule!#REF!,2,0)</f>
        <v>#REF!</v>
      </c>
      <c r="K62" s="17">
        <v>57</v>
      </c>
      <c r="L62" s="17" t="s">
        <v>114</v>
      </c>
      <c r="M62" s="17" t="s">
        <v>28</v>
      </c>
      <c r="N62" s="17" t="s">
        <v>115</v>
      </c>
      <c r="O62" s="22">
        <v>16.41644736842105</v>
      </c>
      <c r="P62" s="22">
        <v>2.1082894736842106</v>
      </c>
      <c r="Q62" s="22">
        <v>5.8667105263157895</v>
      </c>
      <c r="R62" s="22">
        <v>4.8667105263157895</v>
      </c>
      <c r="S62" s="22">
        <v>1.2667105263157894</v>
      </c>
      <c r="T62" s="22">
        <v>0.73328947368421049</v>
      </c>
      <c r="U62" s="22">
        <v>0.41732040151114919</v>
      </c>
      <c r="V62" s="22">
        <v>13.200131578947369</v>
      </c>
      <c r="W62" s="22">
        <v>0.83100744284954819</v>
      </c>
      <c r="X62" s="22">
        <v>3.9599999999999995</v>
      </c>
      <c r="Y62" s="14">
        <f t="shared" ca="1" si="2"/>
        <v>4.8222786233885567E-2</v>
      </c>
      <c r="Z62" s="14">
        <f t="shared" ca="1" si="3"/>
        <v>0.38159858601562985</v>
      </c>
      <c r="AA62" s="14">
        <f t="shared" ca="1" si="4"/>
        <v>6.6371806314983919E-2</v>
      </c>
      <c r="AB62" s="14">
        <f t="shared" ca="1" si="5"/>
        <v>0.59149509402183875</v>
      </c>
      <c r="AC62" s="14">
        <f t="shared" ca="1" si="6"/>
        <v>0.88597820142679584</v>
      </c>
      <c r="AD62" s="14">
        <f t="shared" ca="1" si="7"/>
        <v>0.11513896108323131</v>
      </c>
      <c r="AE62" s="14">
        <f ca="1">U$4*AO62</f>
        <v>-1.2041566920484805</v>
      </c>
      <c r="AF62" s="15">
        <f ca="1">AP62*W$4</f>
        <v>0.4394609914647748</v>
      </c>
      <c r="AG62" s="12">
        <f t="shared" ca="1" si="8"/>
        <v>1.3241097345126596</v>
      </c>
      <c r="AH62" s="14">
        <f t="shared" ca="1" si="9"/>
        <v>0.435416784165985</v>
      </c>
      <c r="AI62" s="14">
        <f t="shared" ca="1" si="10"/>
        <v>4.8222786233885567E-2</v>
      </c>
      <c r="AJ62" s="14">
        <f t="shared" ca="1" si="11"/>
        <v>0.38159858601562985</v>
      </c>
      <c r="AK62" s="14">
        <f t="shared" ca="1" si="12"/>
        <v>6.6371806314983919E-2</v>
      </c>
      <c r="AL62" s="14">
        <f t="shared" ca="1" si="13"/>
        <v>0.59149509402183875</v>
      </c>
      <c r="AM62" s="14">
        <f t="shared" ca="1" si="14"/>
        <v>0.88597820142679584</v>
      </c>
      <c r="AN62" s="14">
        <f t="shared" ca="1" si="15"/>
        <v>0.11513896108323131</v>
      </c>
      <c r="AO62" s="14">
        <f t="shared" ca="1" si="17"/>
        <v>-1.2041566920484805</v>
      </c>
      <c r="AP62" s="14">
        <f ca="1">(AV62-$AP$3)/$AP$4</f>
        <v>0.4394609914647748</v>
      </c>
      <c r="AQ62" s="22">
        <f t="shared" si="18"/>
        <v>5.5086842105263161</v>
      </c>
      <c r="AR62" s="22">
        <f t="shared" si="19"/>
        <v>3.2907894736842103</v>
      </c>
      <c r="AS62" s="22">
        <f ca="1">(U62-AS$3)</f>
        <v>-5.8654303676962782E-2</v>
      </c>
      <c r="AT62" s="22">
        <f ca="1">(W62-AT$3)</f>
        <v>3.0904751109433026E-2</v>
      </c>
      <c r="AU62" s="11">
        <f ca="1">AS62*V62</f>
        <v>-0.77424452620744522</v>
      </c>
      <c r="AV62" s="11">
        <f ca="1">AT62*X62</f>
        <v>0.12238281439335477</v>
      </c>
    </row>
    <row r="63" spans="1:48">
      <c r="A63">
        <v>58</v>
      </c>
      <c r="B63" s="27" t="str">
        <f t="shared" si="16"/>
        <v>DeMar DeRozan</v>
      </c>
      <c r="C63" s="21">
        <v>21.006796207106369</v>
      </c>
      <c r="D63" s="12">
        <f t="shared" ca="1" si="0"/>
        <v>21.31537488234305</v>
      </c>
      <c r="E63" s="12">
        <f t="shared" ca="1" si="1"/>
        <v>21.31537488234305</v>
      </c>
      <c r="F63" s="29">
        <f ca="1">SUM(AI63:AN63,AP63,AO63)+$A$4</f>
        <v>3.986943810392007</v>
      </c>
      <c r="G63" s="29">
        <f ca="1">SUM(Y63:AF63)+$A$4</f>
        <v>3.986943810392007</v>
      </c>
      <c r="H63" s="10">
        <v>1</v>
      </c>
      <c r="I63" s="10">
        <v>0</v>
      </c>
      <c r="J63" t="e">
        <f>VLOOKUP(N63,Schedule!#REF!,2,0)</f>
        <v>#REF!</v>
      </c>
      <c r="K63" s="17">
        <v>58</v>
      </c>
      <c r="L63" s="17" t="s">
        <v>116</v>
      </c>
      <c r="M63" s="17" t="s">
        <v>48</v>
      </c>
      <c r="N63" s="17" t="s">
        <v>59</v>
      </c>
      <c r="O63" s="22">
        <v>20.987066666666667</v>
      </c>
      <c r="P63" s="22">
        <v>0.13093333333333335</v>
      </c>
      <c r="Q63" s="22">
        <v>4.1494666666666662</v>
      </c>
      <c r="R63" s="22">
        <v>5.6517333333333335</v>
      </c>
      <c r="S63" s="22">
        <v>1.0016</v>
      </c>
      <c r="T63" s="22">
        <v>0.21466666666666667</v>
      </c>
      <c r="U63" s="22">
        <v>0.4983118297964293</v>
      </c>
      <c r="V63" s="22">
        <v>14.80893333333333</v>
      </c>
      <c r="W63" s="22">
        <v>0.87600091950499992</v>
      </c>
      <c r="X63" s="22">
        <v>6.9602666666666666</v>
      </c>
      <c r="Y63" s="14">
        <f t="shared" ca="1" si="2"/>
        <v>0.84294017340244387</v>
      </c>
      <c r="Z63" s="14">
        <f t="shared" ca="1" si="3"/>
        <v>-1.5819881277600758</v>
      </c>
      <c r="AA63" s="14">
        <f t="shared" ca="1" si="4"/>
        <v>-0.65152457297094502</v>
      </c>
      <c r="AB63" s="14">
        <f t="shared" ca="1" si="5"/>
        <v>0.96527166191446589</v>
      </c>
      <c r="AC63" s="14">
        <f t="shared" ca="1" si="6"/>
        <v>3.9501070876847427E-2</v>
      </c>
      <c r="AD63" s="14">
        <f t="shared" ca="1" si="7"/>
        <v>-0.83867814041138278</v>
      </c>
      <c r="AE63" s="14">
        <f ca="1">U$4*AO63</f>
        <v>0.51446508370128807</v>
      </c>
      <c r="AF63" s="15">
        <f ca="1">AP63*W$4</f>
        <v>1.8969566616393656</v>
      </c>
      <c r="AG63" s="12">
        <f t="shared" ca="1" si="8"/>
        <v>1.1869438103920074</v>
      </c>
      <c r="AH63" s="14">
        <f t="shared" ca="1" si="9"/>
        <v>0.39031150019965927</v>
      </c>
      <c r="AI63" s="14">
        <f t="shared" ca="1" si="10"/>
        <v>0.84294017340244387</v>
      </c>
      <c r="AJ63" s="14">
        <f t="shared" ca="1" si="11"/>
        <v>-1.5819881277600758</v>
      </c>
      <c r="AK63" s="14">
        <f t="shared" ca="1" si="12"/>
        <v>-0.65152457297094502</v>
      </c>
      <c r="AL63" s="14">
        <f t="shared" ca="1" si="13"/>
        <v>0.96527166191446589</v>
      </c>
      <c r="AM63" s="14">
        <f t="shared" ca="1" si="14"/>
        <v>3.9501070876847427E-2</v>
      </c>
      <c r="AN63" s="14">
        <f t="shared" ca="1" si="15"/>
        <v>-0.83867814041138278</v>
      </c>
      <c r="AO63" s="14">
        <f t="shared" ca="1" si="17"/>
        <v>0.51446508370128807</v>
      </c>
      <c r="AP63" s="14">
        <f ca="1">(AV63-$AP$3)/$AP$4</f>
        <v>1.8969566616393656</v>
      </c>
      <c r="AQ63" s="22">
        <f t="shared" si="18"/>
        <v>7.3794666666666666</v>
      </c>
      <c r="AR63" s="22">
        <f t="shared" si="19"/>
        <v>6.0972000000000008</v>
      </c>
      <c r="AS63" s="22">
        <f ca="1">(U63-AS$3)</f>
        <v>2.2337124608317327E-2</v>
      </c>
      <c r="AT63" s="22">
        <f ca="1">(W63-AT$3)</f>
        <v>7.5898227764884751E-2</v>
      </c>
      <c r="AU63" s="11">
        <f ca="1">AS63*V63</f>
        <v>0.33078898918293065</v>
      </c>
      <c r="AV63" s="11">
        <f ca="1">AT63*X63</f>
        <v>0.52827190477100183</v>
      </c>
    </row>
    <row r="64" spans="1:48">
      <c r="A64">
        <v>59</v>
      </c>
      <c r="B64" s="27" t="str">
        <f t="shared" si="16"/>
        <v>Darius Garland</v>
      </c>
      <c r="C64" s="21">
        <v>20.907999570282815</v>
      </c>
      <c r="D64" s="12">
        <f t="shared" ca="1" si="0"/>
        <v>21.399961036143196</v>
      </c>
      <c r="E64" s="12">
        <f t="shared" ca="1" si="1"/>
        <v>21.399961036143196</v>
      </c>
      <c r="F64" s="29">
        <f ca="1">SUM(AI64:AN64,AP64,AO64)+$A$4</f>
        <v>4.0027652652901669</v>
      </c>
      <c r="G64" s="29">
        <f ca="1">SUM(Y64:AF64)+$A$4</f>
        <v>4.0027652652901669</v>
      </c>
      <c r="H64" s="10">
        <v>1</v>
      </c>
      <c r="I64" s="10">
        <v>0</v>
      </c>
      <c r="J64" t="e">
        <f>VLOOKUP(N64,Schedule!#REF!,2,0)</f>
        <v>#REF!</v>
      </c>
      <c r="K64" s="17">
        <v>59</v>
      </c>
      <c r="L64" s="17" t="s">
        <v>117</v>
      </c>
      <c r="M64" s="17" t="s">
        <v>25</v>
      </c>
      <c r="N64" s="17" t="s">
        <v>118</v>
      </c>
      <c r="O64" s="22">
        <v>19.929295774647887</v>
      </c>
      <c r="P64" s="22">
        <v>2.1892957746478872</v>
      </c>
      <c r="Q64" s="22">
        <v>2.2666197183098591</v>
      </c>
      <c r="R64" s="22">
        <v>6.5166197183098591</v>
      </c>
      <c r="S64" s="22">
        <v>1.2749295774647886</v>
      </c>
      <c r="T64" s="22">
        <v>7.0845070422535211E-2</v>
      </c>
      <c r="U64" s="22">
        <v>0.46471587059993136</v>
      </c>
      <c r="V64" s="22">
        <v>16.008873239436621</v>
      </c>
      <c r="W64" s="22">
        <v>0.8510139098374393</v>
      </c>
      <c r="X64" s="22">
        <v>3.3616901408450706</v>
      </c>
      <c r="Y64" s="14">
        <f t="shared" ca="1" si="2"/>
        <v>0.65902003814839061</v>
      </c>
      <c r="Z64" s="14">
        <f t="shared" ca="1" si="3"/>
        <v>0.4620407952153171</v>
      </c>
      <c r="AA64" s="14">
        <f t="shared" ca="1" si="4"/>
        <v>-1.4386515726569982</v>
      </c>
      <c r="AB64" s="14">
        <f t="shared" ca="1" si="5"/>
        <v>1.3770740474040921</v>
      </c>
      <c r="AC64" s="14">
        <f t="shared" ca="1" si="6"/>
        <v>0.91222098751730718</v>
      </c>
      <c r="AD64" s="14">
        <f t="shared" ca="1" si="7"/>
        <v>-1.1031854011907294</v>
      </c>
      <c r="AE64" s="14">
        <f ca="1">U$4*AO64</f>
        <v>-0.28032321436338814</v>
      </c>
      <c r="AF64" s="15">
        <f ca="1">AP64*W$4</f>
        <v>0.61456958521617611</v>
      </c>
      <c r="AG64" s="12">
        <f t="shared" ca="1" si="8"/>
        <v>1.2027652652901675</v>
      </c>
      <c r="AH64" s="14">
        <f t="shared" ca="1" si="9"/>
        <v>0.39551418607457245</v>
      </c>
      <c r="AI64" s="14">
        <f t="shared" ca="1" si="10"/>
        <v>0.65902003814839061</v>
      </c>
      <c r="AJ64" s="14">
        <f t="shared" ca="1" si="11"/>
        <v>0.4620407952153171</v>
      </c>
      <c r="AK64" s="14">
        <f t="shared" ca="1" si="12"/>
        <v>-1.4386515726569982</v>
      </c>
      <c r="AL64" s="14">
        <f t="shared" ca="1" si="13"/>
        <v>1.3770740474040921</v>
      </c>
      <c r="AM64" s="14">
        <f t="shared" ca="1" si="14"/>
        <v>0.91222098751730718</v>
      </c>
      <c r="AN64" s="14">
        <f t="shared" ca="1" si="15"/>
        <v>-1.1031854011907294</v>
      </c>
      <c r="AO64" s="14">
        <f t="shared" ca="1" si="17"/>
        <v>-0.28032321436338814</v>
      </c>
      <c r="AP64" s="14">
        <f ca="1">(AV64-$AP$3)/$AP$4</f>
        <v>0.61456958521617611</v>
      </c>
      <c r="AQ64" s="22">
        <f t="shared" si="18"/>
        <v>7.4395774647887327</v>
      </c>
      <c r="AR64" s="22">
        <f t="shared" si="19"/>
        <v>2.8608450704225357</v>
      </c>
      <c r="AS64" s="22">
        <f ca="1">(U64-AS$3)</f>
        <v>-1.1258834588180611E-2</v>
      </c>
      <c r="AT64" s="22">
        <f ca="1">(W64-AT$3)</f>
        <v>5.0911218097324129E-2</v>
      </c>
      <c r="AU64" s="11">
        <f ca="1">AS64*V64</f>
        <v>-0.180241255745968</v>
      </c>
      <c r="AV64" s="11">
        <f ca="1">AT64*X64</f>
        <v>0.17114773993618765</v>
      </c>
    </row>
    <row r="65" spans="1:48">
      <c r="A65">
        <v>60</v>
      </c>
      <c r="B65" s="27" t="str">
        <f t="shared" si="16"/>
        <v>Jonathan Isaac</v>
      </c>
      <c r="C65" s="21">
        <v>20.841736733414233</v>
      </c>
      <c r="D65" s="12">
        <f t="shared" ca="1" si="0"/>
        <v>21.023865698136522</v>
      </c>
      <c r="E65" s="12">
        <f t="shared" ca="1" si="1"/>
        <v>21.023865698136522</v>
      </c>
      <c r="F65" s="29">
        <f ca="1">SUM(AI65:AN65,AP65,AO65)+$A$4</f>
        <v>3.9324183448977363</v>
      </c>
      <c r="G65" s="29">
        <f ca="1">SUM(Y65:AF65)+$A$4</f>
        <v>3.9324183448977363</v>
      </c>
      <c r="H65" s="10">
        <v>1</v>
      </c>
      <c r="I65" s="10">
        <v>0</v>
      </c>
      <c r="J65" t="e">
        <f>VLOOKUP(N65,Schedule!#REF!,2,0)</f>
        <v>#REF!</v>
      </c>
      <c r="K65" s="17">
        <v>60</v>
      </c>
      <c r="L65" s="17" t="s">
        <v>119</v>
      </c>
      <c r="M65" s="17" t="s">
        <v>33</v>
      </c>
      <c r="N65" s="17" t="s">
        <v>120</v>
      </c>
      <c r="O65" s="22">
        <v>11.749032258064515</v>
      </c>
      <c r="P65" s="22">
        <v>0.99887096774193551</v>
      </c>
      <c r="Q65" s="22">
        <v>6.544999999999999</v>
      </c>
      <c r="R65" s="22">
        <v>1.3090322580645162</v>
      </c>
      <c r="S65" s="22">
        <v>1.3685483870967741</v>
      </c>
      <c r="T65" s="22">
        <v>2.0230645161290322</v>
      </c>
      <c r="U65" s="22">
        <v>0.46181735040501698</v>
      </c>
      <c r="V65" s="22">
        <v>9.8761290322580635</v>
      </c>
      <c r="W65" s="22">
        <v>0.78499222395023338</v>
      </c>
      <c r="X65" s="22">
        <v>2.0741935483870968</v>
      </c>
      <c r="Y65" s="14">
        <f t="shared" ca="1" si="2"/>
        <v>-0.76332499302599699</v>
      </c>
      <c r="Z65" s="14">
        <f t="shared" ca="1" si="3"/>
        <v>-0.72009442407540314</v>
      </c>
      <c r="AA65" s="14">
        <f t="shared" ca="1" si="4"/>
        <v>0.3499317413408381</v>
      </c>
      <c r="AB65" s="14">
        <f t="shared" ca="1" si="5"/>
        <v>-1.1024388412548056</v>
      </c>
      <c r="AC65" s="14">
        <f t="shared" ca="1" si="6"/>
        <v>1.2111385086133573</v>
      </c>
      <c r="AD65" s="14">
        <f t="shared" ca="1" si="7"/>
        <v>2.4872087503765461</v>
      </c>
      <c r="AE65" s="14">
        <f ca="1">U$4*AO65</f>
        <v>-0.21745716956856306</v>
      </c>
      <c r="AF65" s="15">
        <f ca="1">AP65*W$4</f>
        <v>-0.1125452275082361</v>
      </c>
      <c r="AG65" s="12">
        <f t="shared" ca="1" si="8"/>
        <v>1.1324183448977367</v>
      </c>
      <c r="AH65" s="14">
        <f t="shared" ca="1" si="9"/>
        <v>0.37238148864407877</v>
      </c>
      <c r="AI65" s="14">
        <f t="shared" ca="1" si="10"/>
        <v>-0.76332499302599699</v>
      </c>
      <c r="AJ65" s="14">
        <f t="shared" ca="1" si="11"/>
        <v>-0.72009442407540314</v>
      </c>
      <c r="AK65" s="14">
        <f t="shared" ca="1" si="12"/>
        <v>0.3499317413408381</v>
      </c>
      <c r="AL65" s="14">
        <f t="shared" ca="1" si="13"/>
        <v>-1.1024388412548056</v>
      </c>
      <c r="AM65" s="14">
        <f t="shared" ca="1" si="14"/>
        <v>1.2111385086133573</v>
      </c>
      <c r="AN65" s="14">
        <f t="shared" ca="1" si="15"/>
        <v>2.4872087503765461</v>
      </c>
      <c r="AO65" s="14">
        <f t="shared" ca="1" si="17"/>
        <v>-0.21745716956856306</v>
      </c>
      <c r="AP65" s="14">
        <f ca="1">(AV65-$AP$3)/$AP$4</f>
        <v>-0.1125452275082361</v>
      </c>
      <c r="AQ65" s="22">
        <f t="shared" si="18"/>
        <v>4.5609677419354835</v>
      </c>
      <c r="AR65" s="22">
        <f t="shared" si="19"/>
        <v>1.6282258064516131</v>
      </c>
      <c r="AS65" s="22">
        <f ca="1">(U65-AS$3)</f>
        <v>-1.4157354783094989E-2</v>
      </c>
      <c r="AT65" s="22">
        <f ca="1">(W65-AT$3)</f>
        <v>-1.5110467789881787E-2</v>
      </c>
      <c r="AU65" s="11">
        <f ca="1">AS65*V65</f>
        <v>-0.13981986259330198</v>
      </c>
      <c r="AV65" s="11">
        <f ca="1">AT65*X65</f>
        <v>-3.1342034802883834E-2</v>
      </c>
    </row>
    <row r="66" spans="1:48">
      <c r="A66">
        <v>61</v>
      </c>
      <c r="B66" s="27" t="str">
        <f t="shared" si="16"/>
        <v>Kyle Lowry</v>
      </c>
      <c r="C66" s="21">
        <v>20.634723884161673</v>
      </c>
      <c r="D66" s="12">
        <f t="shared" ca="1" si="0"/>
        <v>20.985921770072391</v>
      </c>
      <c r="E66" s="12">
        <f t="shared" ca="1" si="1"/>
        <v>20.985921770072391</v>
      </c>
      <c r="F66" s="29">
        <f ca="1">SUM(AI66:AN66,AP66,AO66)+$A$4</f>
        <v>3.9253211059342048</v>
      </c>
      <c r="G66" s="29">
        <f ca="1">SUM(Y66:AF66)+$A$4</f>
        <v>3.9253211059342048</v>
      </c>
      <c r="H66" s="10">
        <v>1</v>
      </c>
      <c r="I66" s="10">
        <v>0</v>
      </c>
      <c r="J66" t="e">
        <f>VLOOKUP(N66,Schedule!#REF!,2,0)</f>
        <v>#REF!</v>
      </c>
      <c r="K66" s="17">
        <v>61</v>
      </c>
      <c r="L66" s="17" t="s">
        <v>121</v>
      </c>
      <c r="M66" s="17" t="s">
        <v>28</v>
      </c>
      <c r="N66" s="17" t="s">
        <v>53</v>
      </c>
      <c r="O66" s="22">
        <v>15.698181818181817</v>
      </c>
      <c r="P66" s="22">
        <v>2.4940909090909091</v>
      </c>
      <c r="Q66" s="22">
        <v>4.834696969696969</v>
      </c>
      <c r="R66" s="22">
        <v>6.8599999999999994</v>
      </c>
      <c r="S66" s="22">
        <v>0.98000000000000009</v>
      </c>
      <c r="T66" s="22">
        <v>0.26136363636363635</v>
      </c>
      <c r="U66" s="22">
        <v>0.43627438348751518</v>
      </c>
      <c r="V66" s="22">
        <v>11.75969696969697</v>
      </c>
      <c r="W66" s="22">
        <v>0.86298813807810204</v>
      </c>
      <c r="X66" s="22">
        <v>3.4104545454545456</v>
      </c>
      <c r="Y66" s="14">
        <f t="shared" ca="1" si="2"/>
        <v>-7.6665786655659651E-2</v>
      </c>
      <c r="Z66" s="14">
        <f t="shared" ca="1" si="3"/>
        <v>0.76471347223221353</v>
      </c>
      <c r="AA66" s="14">
        <f t="shared" ca="1" si="4"/>
        <v>-0.36506301379380696</v>
      </c>
      <c r="AB66" s="14">
        <f t="shared" ca="1" si="5"/>
        <v>1.5405693013315054</v>
      </c>
      <c r="AC66" s="14">
        <f t="shared" ca="1" si="6"/>
        <v>-2.9466036065182357E-2</v>
      </c>
      <c r="AD66" s="14">
        <f t="shared" ca="1" si="7"/>
        <v>-0.75279613198008222</v>
      </c>
      <c r="AE66" s="14">
        <f ca="1">U$4*AO66</f>
        <v>-0.72609762572161807</v>
      </c>
      <c r="AF66" s="15">
        <f ca="1">AP66*W$4</f>
        <v>0.77012692658683524</v>
      </c>
      <c r="AG66" s="12">
        <f t="shared" ca="1" si="8"/>
        <v>1.125321105934205</v>
      </c>
      <c r="AH66" s="14">
        <f t="shared" ca="1" si="9"/>
        <v>0.37004765113393018</v>
      </c>
      <c r="AI66" s="14">
        <f t="shared" ca="1" si="10"/>
        <v>-7.6665786655659651E-2</v>
      </c>
      <c r="AJ66" s="14">
        <f t="shared" ca="1" si="11"/>
        <v>0.76471347223221353</v>
      </c>
      <c r="AK66" s="14">
        <f t="shared" ca="1" si="12"/>
        <v>-0.36506301379380696</v>
      </c>
      <c r="AL66" s="14">
        <f t="shared" ca="1" si="13"/>
        <v>1.5405693013315054</v>
      </c>
      <c r="AM66" s="14">
        <f t="shared" ca="1" si="14"/>
        <v>-2.9466036065182357E-2</v>
      </c>
      <c r="AN66" s="14">
        <f t="shared" ca="1" si="15"/>
        <v>-0.75279613198008222</v>
      </c>
      <c r="AO66" s="14">
        <f t="shared" ca="1" si="17"/>
        <v>-0.72609762572161807</v>
      </c>
      <c r="AP66" s="14">
        <f ca="1">(AV66-$AP$3)/$AP$4</f>
        <v>0.77012692658683524</v>
      </c>
      <c r="AQ66" s="22">
        <f t="shared" si="18"/>
        <v>5.1304545454545458</v>
      </c>
      <c r="AR66" s="22">
        <f t="shared" si="19"/>
        <v>2.9431818181818183</v>
      </c>
      <c r="AS66" s="22">
        <f ca="1">(U66-AS$3)</f>
        <v>-3.9700321700596786E-2</v>
      </c>
      <c r="AT66" s="22">
        <f ca="1">(W66-AT$3)</f>
        <v>6.2885446337986872E-2</v>
      </c>
      <c r="AU66" s="11">
        <f ca="1">AS66*V66</f>
        <v>-0.4668637527985029</v>
      </c>
      <c r="AV66" s="11">
        <f ca="1">AT66*X66</f>
        <v>0.21446795630632523</v>
      </c>
    </row>
    <row r="67" spans="1:48">
      <c r="A67">
        <v>62</v>
      </c>
      <c r="B67" s="27" t="str">
        <f t="shared" si="16"/>
        <v>Jonas Valanciunas</v>
      </c>
      <c r="C67" s="21">
        <v>20.54300972452425</v>
      </c>
      <c r="D67" s="12">
        <f t="shared" ca="1" si="0"/>
        <v>20.550468127416234</v>
      </c>
      <c r="E67" s="12">
        <f t="shared" ca="1" si="1"/>
        <v>20.550468127416234</v>
      </c>
      <c r="F67" s="29">
        <f ca="1">SUM(AI67:AN67,AP67,AO67)+$A$4</f>
        <v>3.8438714849501157</v>
      </c>
      <c r="G67" s="29">
        <f ca="1">SUM(Y67:AF67)+$A$4</f>
        <v>3.8438714849501157</v>
      </c>
      <c r="H67" s="10">
        <v>1</v>
      </c>
      <c r="I67" s="10">
        <v>0</v>
      </c>
      <c r="J67" t="e">
        <f>VLOOKUP(N67,Schedule!#REF!,2,0)</f>
        <v>#REF!</v>
      </c>
      <c r="K67" s="17">
        <v>62</v>
      </c>
      <c r="L67" s="17" t="s">
        <v>122</v>
      </c>
      <c r="M67" s="17" t="s">
        <v>22</v>
      </c>
      <c r="N67" s="17" t="s">
        <v>77</v>
      </c>
      <c r="O67" s="22">
        <v>14.784342105263157</v>
      </c>
      <c r="P67" s="22">
        <v>0.34881578947368425</v>
      </c>
      <c r="Q67" s="22">
        <v>12.1275</v>
      </c>
      <c r="R67" s="22">
        <v>1.8375000000000001</v>
      </c>
      <c r="S67" s="22">
        <v>0.55118421052631583</v>
      </c>
      <c r="T67" s="22">
        <v>0.98000000000000009</v>
      </c>
      <c r="U67" s="22">
        <v>0.59237085621313801</v>
      </c>
      <c r="V67" s="22">
        <v>10.351578947368422</v>
      </c>
      <c r="W67" s="22">
        <v>0.77698790075796809</v>
      </c>
      <c r="X67" s="22">
        <v>2.7948684210526316</v>
      </c>
      <c r="Y67" s="14">
        <f t="shared" ca="1" si="2"/>
        <v>-0.23555985801713669</v>
      </c>
      <c r="Z67" s="14">
        <f t="shared" ca="1" si="3"/>
        <v>-1.3656229079033768</v>
      </c>
      <c r="AA67" s="14">
        <f t="shared" ca="1" si="4"/>
        <v>2.6837042657524641</v>
      </c>
      <c r="AB67" s="14">
        <f t="shared" ca="1" si="5"/>
        <v>-0.85081703223620819</v>
      </c>
      <c r="AC67" s="14">
        <f t="shared" ca="1" si="6"/>
        <v>-1.3986412402810424</v>
      </c>
      <c r="AD67" s="14">
        <f t="shared" ca="1" si="7"/>
        <v>0.56887280374236626</v>
      </c>
      <c r="AE67" s="14">
        <f ca="1">U$4*AO67</f>
        <v>1.8739158214435911</v>
      </c>
      <c r="AF67" s="15">
        <f ca="1">AP67*W$4</f>
        <v>-0.23198036755054166</v>
      </c>
      <c r="AG67" s="12">
        <f t="shared" ca="1" si="8"/>
        <v>1.0438714849501158</v>
      </c>
      <c r="AH67" s="14">
        <f t="shared" ca="1" si="9"/>
        <v>0.3432639706608891</v>
      </c>
      <c r="AI67" s="14">
        <f t="shared" ca="1" si="10"/>
        <v>-0.23555985801713669</v>
      </c>
      <c r="AJ67" s="14">
        <f t="shared" ca="1" si="11"/>
        <v>-1.3656229079033768</v>
      </c>
      <c r="AK67" s="14">
        <f t="shared" ca="1" si="12"/>
        <v>2.6837042657524641</v>
      </c>
      <c r="AL67" s="14">
        <f t="shared" ca="1" si="13"/>
        <v>-0.85081703223620819</v>
      </c>
      <c r="AM67" s="14">
        <f t="shared" ca="1" si="14"/>
        <v>-1.3986412402810424</v>
      </c>
      <c r="AN67" s="14">
        <f t="shared" ca="1" si="15"/>
        <v>0.56887280374236626</v>
      </c>
      <c r="AO67" s="14">
        <f t="shared" ca="1" si="17"/>
        <v>1.8739158214435911</v>
      </c>
      <c r="AP67" s="14">
        <f ca="1">(AV67-$AP$3)/$AP$4</f>
        <v>-0.23198036755054166</v>
      </c>
      <c r="AQ67" s="22">
        <f t="shared" si="18"/>
        <v>6.1319736842105259</v>
      </c>
      <c r="AR67" s="22">
        <f t="shared" si="19"/>
        <v>2.1715789473684208</v>
      </c>
      <c r="AS67" s="22">
        <f ca="1">(U67-AS$3)</f>
        <v>0.11639615102502604</v>
      </c>
      <c r="AT67" s="22">
        <f ca="1">(W67-AT$3)</f>
        <v>-2.3114790982147082E-2</v>
      </c>
      <c r="AU67" s="11">
        <f ca="1">AS67*V67</f>
        <v>1.2048839465053749</v>
      </c>
      <c r="AV67" s="11">
        <f ca="1">AT67*X67</f>
        <v>-6.4602799375235026E-2</v>
      </c>
    </row>
    <row r="68" spans="1:48">
      <c r="A68">
        <v>63</v>
      </c>
      <c r="B68" s="27" t="str">
        <f t="shared" si="16"/>
        <v>Dejounte Murray</v>
      </c>
      <c r="C68" s="21">
        <v>20.349609207605653</v>
      </c>
      <c r="D68" s="12">
        <f t="shared" ca="1" si="0"/>
        <v>20.756965027727126</v>
      </c>
      <c r="E68" s="12">
        <f t="shared" ca="1" si="1"/>
        <v>20.756965027727126</v>
      </c>
      <c r="F68" s="29">
        <f ca="1">SUM(AI68:AN68,AP68,AO68)+$A$4</f>
        <v>3.8824957898522845</v>
      </c>
      <c r="G68" s="29">
        <f ca="1">SUM(Y68:AF68)+$A$4</f>
        <v>3.8824957898522845</v>
      </c>
      <c r="H68" s="10">
        <v>1</v>
      </c>
      <c r="I68" s="10">
        <v>0</v>
      </c>
      <c r="J68" t="e">
        <f>VLOOKUP(N68,Schedule!#REF!,2,0)</f>
        <v>#REF!</v>
      </c>
      <c r="K68" s="17">
        <v>63</v>
      </c>
      <c r="L68" s="17" t="s">
        <v>123</v>
      </c>
      <c r="M68" s="17" t="s">
        <v>25</v>
      </c>
      <c r="N68" s="17" t="s">
        <v>108</v>
      </c>
      <c r="O68" s="22">
        <v>17.171066666666665</v>
      </c>
      <c r="P68" s="22">
        <v>0.96919999999999995</v>
      </c>
      <c r="Q68" s="22">
        <v>7.1520000000000001</v>
      </c>
      <c r="R68" s="22">
        <v>5.6938666666666666</v>
      </c>
      <c r="S68" s="22">
        <v>1.5275999999999998</v>
      </c>
      <c r="T68" s="22">
        <v>0.13893333333333333</v>
      </c>
      <c r="U68" s="22">
        <v>0.45204842514939131</v>
      </c>
      <c r="V68" s="22">
        <v>15.485066666666665</v>
      </c>
      <c r="W68" s="22">
        <v>0.78999234596249523</v>
      </c>
      <c r="X68" s="22">
        <v>2.7871999999999999</v>
      </c>
      <c r="Y68" s="14">
        <f t="shared" ca="1" si="2"/>
        <v>0.17943237466732126</v>
      </c>
      <c r="Z68" s="14">
        <f t="shared" ca="1" si="3"/>
        <v>-0.74955877642651469</v>
      </c>
      <c r="AA68" s="14">
        <f t="shared" ca="1" si="4"/>
        <v>0.60368900463109509</v>
      </c>
      <c r="AB68" s="14">
        <f t="shared" ca="1" si="5"/>
        <v>0.98533280228698672</v>
      </c>
      <c r="AC68" s="14">
        <f t="shared" ca="1" si="6"/>
        <v>1.7189778417799833</v>
      </c>
      <c r="AD68" s="14">
        <f t="shared" ca="1" si="7"/>
        <v>-0.97796192721962838</v>
      </c>
      <c r="AE68" s="14">
        <f ca="1">U$4*AO68</f>
        <v>-0.57622635905956332</v>
      </c>
      <c r="AF68" s="15">
        <f ca="1">AP68*W$4</f>
        <v>-0.10118917080739503</v>
      </c>
      <c r="AG68" s="12">
        <f t="shared" ca="1" si="8"/>
        <v>1.0824957898522849</v>
      </c>
      <c r="AH68" s="14">
        <f t="shared" ca="1" si="9"/>
        <v>0.3559650861294939</v>
      </c>
      <c r="AI68" s="14">
        <f t="shared" ca="1" si="10"/>
        <v>0.17943237466732126</v>
      </c>
      <c r="AJ68" s="14">
        <f t="shared" ca="1" si="11"/>
        <v>-0.74955877642651469</v>
      </c>
      <c r="AK68" s="14">
        <f t="shared" ca="1" si="12"/>
        <v>0.60368900463109509</v>
      </c>
      <c r="AL68" s="14">
        <f t="shared" ca="1" si="13"/>
        <v>0.98533280228698672</v>
      </c>
      <c r="AM68" s="14">
        <f t="shared" ca="1" si="14"/>
        <v>1.7189778417799833</v>
      </c>
      <c r="AN68" s="14">
        <f t="shared" ca="1" si="15"/>
        <v>-0.97796192721962838</v>
      </c>
      <c r="AO68" s="14">
        <f t="shared" ca="1" si="17"/>
        <v>-0.57622635905956332</v>
      </c>
      <c r="AP68" s="14">
        <f ca="1">(AV68-$AP$3)/$AP$4</f>
        <v>-0.10118917080739503</v>
      </c>
      <c r="AQ68" s="22">
        <f t="shared" si="18"/>
        <v>7</v>
      </c>
      <c r="AR68" s="22">
        <f t="shared" si="19"/>
        <v>2.2018666666666666</v>
      </c>
      <c r="AS68" s="22">
        <f ca="1">(U68-AS$3)</f>
        <v>-2.392628003872066E-2</v>
      </c>
      <c r="AT68" s="22">
        <f ca="1">(W68-AT$3)</f>
        <v>-1.0110345777619933E-2</v>
      </c>
      <c r="AU68" s="11">
        <f ca="1">AS68*V68</f>
        <v>-0.37050004148492527</v>
      </c>
      <c r="AV68" s="11">
        <f ca="1">AT68*X68</f>
        <v>-2.8179555751382278E-2</v>
      </c>
    </row>
    <row r="69" spans="1:48">
      <c r="A69">
        <v>64</v>
      </c>
      <c r="B69" s="27" t="str">
        <f t="shared" si="16"/>
        <v>John Collins</v>
      </c>
      <c r="C69" s="21">
        <v>20.347827591716676</v>
      </c>
      <c r="D69" s="12">
        <f t="shared" ca="1" si="0"/>
        <v>20.472373855932791</v>
      </c>
      <c r="E69" s="12">
        <f t="shared" ca="1" si="1"/>
        <v>20.472373855932791</v>
      </c>
      <c r="F69" s="29">
        <f ca="1">SUM(AI69:AN69,AP69,AO69)+$A$4</f>
        <v>3.8292643070779633</v>
      </c>
      <c r="G69" s="29">
        <f ca="1">SUM(Y69:AF69)+$A$4</f>
        <v>3.8292643070779633</v>
      </c>
      <c r="H69" s="10">
        <v>1</v>
      </c>
      <c r="I69" s="10">
        <v>0</v>
      </c>
      <c r="J69" t="e">
        <f>VLOOKUP(N69,Schedule!#REF!,2,0)</f>
        <v>#REF!</v>
      </c>
      <c r="K69" s="17">
        <v>64</v>
      </c>
      <c r="L69" s="17" t="s">
        <v>124</v>
      </c>
      <c r="M69" s="17" t="s">
        <v>45</v>
      </c>
      <c r="N69" s="17" t="s">
        <v>61</v>
      </c>
      <c r="O69" s="22">
        <v>17.579420289855072</v>
      </c>
      <c r="P69" s="22">
        <v>1.2646376811594204</v>
      </c>
      <c r="Q69" s="22">
        <v>7.75</v>
      </c>
      <c r="R69" s="22">
        <v>1.124927536231884</v>
      </c>
      <c r="S69" s="22">
        <v>0.62507246376811598</v>
      </c>
      <c r="T69" s="22">
        <v>1.0624637681159421</v>
      </c>
      <c r="U69" s="22">
        <v>0.56153136313087093</v>
      </c>
      <c r="V69" s="22">
        <v>12.250144927536232</v>
      </c>
      <c r="W69" s="22">
        <v>0.8349817803227485</v>
      </c>
      <c r="X69" s="22">
        <v>3.0624637681159421</v>
      </c>
      <c r="Y69" s="14">
        <f t="shared" ca="1" si="2"/>
        <v>0.25043494637257591</v>
      </c>
      <c r="Z69" s="14">
        <f t="shared" ca="1" si="3"/>
        <v>-0.45617839156048812</v>
      </c>
      <c r="AA69" s="14">
        <f t="shared" ca="1" si="4"/>
        <v>0.85368380437998037</v>
      </c>
      <c r="AB69" s="14">
        <f t="shared" ca="1" si="5"/>
        <v>-1.1900974805252571</v>
      </c>
      <c r="AC69" s="14">
        <f t="shared" ca="1" si="6"/>
        <v>-1.1627218392121987</v>
      </c>
      <c r="AD69" s="14">
        <f t="shared" ca="1" si="7"/>
        <v>0.72053476541928707</v>
      </c>
      <c r="AE69" s="14">
        <f ca="1">U$4*AO69</f>
        <v>1.630046142176115</v>
      </c>
      <c r="AF69" s="15">
        <f ca="1">AP69*W$4</f>
        <v>0.38356236002794913</v>
      </c>
      <c r="AG69" s="12">
        <f t="shared" ca="1" si="8"/>
        <v>1.0292643070779637</v>
      </c>
      <c r="AH69" s="14">
        <f t="shared" ca="1" si="9"/>
        <v>0.33846058446935579</v>
      </c>
      <c r="AI69" s="14">
        <f t="shared" ca="1" si="10"/>
        <v>0.25043494637257591</v>
      </c>
      <c r="AJ69" s="14">
        <f t="shared" ca="1" si="11"/>
        <v>-0.45617839156048812</v>
      </c>
      <c r="AK69" s="14">
        <f t="shared" ca="1" si="12"/>
        <v>0.85368380437998037</v>
      </c>
      <c r="AL69" s="14">
        <f t="shared" ca="1" si="13"/>
        <v>-1.1900974805252571</v>
      </c>
      <c r="AM69" s="14">
        <f t="shared" ca="1" si="14"/>
        <v>-1.1627218392121987</v>
      </c>
      <c r="AN69" s="14">
        <f t="shared" ca="1" si="15"/>
        <v>0.72053476541928707</v>
      </c>
      <c r="AO69" s="14">
        <f t="shared" ca="1" si="17"/>
        <v>1.630046142176115</v>
      </c>
      <c r="AP69" s="14">
        <f ca="1">(AV69-$AP$3)/$AP$4</f>
        <v>0.38356236002794913</v>
      </c>
      <c r="AQ69" s="22">
        <f t="shared" si="18"/>
        <v>6.8788405797101442</v>
      </c>
      <c r="AR69" s="22">
        <f t="shared" si="19"/>
        <v>2.5571014492753621</v>
      </c>
      <c r="AS69" s="22">
        <f ca="1">(U69-AS$3)</f>
        <v>8.5556657942758962E-2</v>
      </c>
      <c r="AT69" s="22">
        <f ca="1">(W69-AT$3)</f>
        <v>3.4879088582633333E-2</v>
      </c>
      <c r="AU69" s="11">
        <f ca="1">AS69*V69</f>
        <v>1.0480814593144412</v>
      </c>
      <c r="AV69" s="11">
        <f ca="1">AT69*X69</f>
        <v>0.10681594504922101</v>
      </c>
    </row>
    <row r="70" spans="1:48">
      <c r="A70">
        <v>65</v>
      </c>
      <c r="B70" s="27" t="str">
        <f t="shared" si="16"/>
        <v>Kawhi Leonard</v>
      </c>
      <c r="C70" s="21">
        <v>19.597942799083778</v>
      </c>
      <c r="D70" s="12">
        <f t="shared" ref="D70:D133" ca="1" si="20">F70*D$4</f>
        <v>19.875069471947231</v>
      </c>
      <c r="E70" s="12">
        <f t="shared" ref="E70:E133" ca="1" si="21">G70*E$4</f>
        <v>19.875069471947231</v>
      </c>
      <c r="F70" s="29">
        <f ca="1">SUM(AI70:AN70,AP70,AO70)+$A$4</f>
        <v>3.7175412419291574</v>
      </c>
      <c r="G70" s="29">
        <f ca="1">SUM(Y70:AF70)+$A$4</f>
        <v>3.7175412419291574</v>
      </c>
      <c r="H70" s="10">
        <v>1</v>
      </c>
      <c r="I70" s="10">
        <v>0</v>
      </c>
      <c r="J70" t="e">
        <f>VLOOKUP(N70,Schedule!#REF!,2,0)</f>
        <v>#REF!</v>
      </c>
      <c r="K70" s="17">
        <v>65</v>
      </c>
      <c r="L70" s="17" t="s">
        <v>125</v>
      </c>
      <c r="M70" s="17" t="s">
        <v>33</v>
      </c>
      <c r="N70" s="17" t="s">
        <v>49</v>
      </c>
      <c r="O70" s="22">
        <v>17.4725</v>
      </c>
      <c r="P70" s="22">
        <v>1.4275</v>
      </c>
      <c r="Q70" s="22">
        <v>4.8024999999999993</v>
      </c>
      <c r="R70" s="22">
        <v>3.6625000000000001</v>
      </c>
      <c r="S70" s="22">
        <v>1.0900000000000001</v>
      </c>
      <c r="T70" s="22">
        <v>0.29749999999999999</v>
      </c>
      <c r="U70" s="22">
        <v>0.50020136931131687</v>
      </c>
      <c r="V70" s="22">
        <v>12.415000000000001</v>
      </c>
      <c r="W70" s="22">
        <v>0.88414634146341475</v>
      </c>
      <c r="X70" s="22">
        <v>4.0999999999999996</v>
      </c>
      <c r="Y70" s="14">
        <f t="shared" ref="Y70:Y133" ca="1" si="22">O$4*AI70</f>
        <v>0.23184415859431071</v>
      </c>
      <c r="Z70" s="14">
        <f t="shared" ref="Z70:Z133" ca="1" si="23">P$4*AJ70</f>
        <v>-0.29445017329763234</v>
      </c>
      <c r="AA70" s="14">
        <f t="shared" ref="AA70:AA133" ca="1" si="24">Q$4*AK70</f>
        <v>-0.37852300541908268</v>
      </c>
      <c r="AB70" s="14">
        <f t="shared" ref="AB70:AB133" ca="1" si="25">R$4*AL70</f>
        <v>1.8128723614678408E-2</v>
      </c>
      <c r="AC70" s="14">
        <f t="shared" ref="AC70:AC133" ca="1" si="26">S$4*AM70</f>
        <v>0.32175534188034044</v>
      </c>
      <c r="AD70" s="14">
        <f t="shared" ref="AD70:AD133" ca="1" si="27">T$4*AN70</f>
        <v>-0.68633649858986423</v>
      </c>
      <c r="AE70" s="14">
        <f ca="1">U$4*AO70</f>
        <v>0.46778382654075423</v>
      </c>
      <c r="AF70" s="15">
        <f ca="1">AP70*W$4</f>
        <v>1.237338868605653</v>
      </c>
      <c r="AG70" s="12">
        <f t="shared" ref="AG70:AG133" ca="1" si="28">SUM(Y70:AF70)</f>
        <v>0.91754124192915765</v>
      </c>
      <c r="AH70" s="14">
        <f t="shared" ref="AH70:AH133" ca="1" si="29">(AG70-AG$3)/AG$4</f>
        <v>0.30172186374530335</v>
      </c>
      <c r="AI70" s="14">
        <f t="shared" ref="AI70:AI133" ca="1" si="30">(O70-AI$3)/AI$4</f>
        <v>0.23184415859431071</v>
      </c>
      <c r="AJ70" s="14">
        <f t="shared" ref="AJ70:AJ133" ca="1" si="31">(P70-AJ$3)/AJ$4</f>
        <v>-0.29445017329763234</v>
      </c>
      <c r="AK70" s="14">
        <f t="shared" ref="AK70:AK133" ca="1" si="32">(Q70-AK$3)/AK$4</f>
        <v>-0.37852300541908268</v>
      </c>
      <c r="AL70" s="14">
        <f t="shared" ref="AL70:AL133" ca="1" si="33">(R70-AL$3)/AL$4</f>
        <v>1.8128723614678408E-2</v>
      </c>
      <c r="AM70" s="14">
        <f t="shared" ref="AM70:AM133" ca="1" si="34">(S70-AM$3)/AM$4</f>
        <v>0.32175534188034044</v>
      </c>
      <c r="AN70" s="14">
        <f t="shared" ref="AN70:AN133" ca="1" si="35">(T70-AN$3)/AN$4</f>
        <v>-0.68633649858986423</v>
      </c>
      <c r="AO70" s="14">
        <f t="shared" ca="1" si="17"/>
        <v>0.46778382654075423</v>
      </c>
      <c r="AP70" s="14">
        <f ca="1">(AV70-$AP$3)/$AP$4</f>
        <v>1.237338868605653</v>
      </c>
      <c r="AQ70" s="22">
        <f t="shared" si="18"/>
        <v>6.2099999999999991</v>
      </c>
      <c r="AR70" s="22">
        <f t="shared" si="19"/>
        <v>3.625</v>
      </c>
      <c r="AS70" s="22">
        <f ca="1">(U70-AS$3)</f>
        <v>2.42266641232049E-2</v>
      </c>
      <c r="AT70" s="22">
        <f ca="1">(W70-AT$3)</f>
        <v>8.4043649723299585E-2</v>
      </c>
      <c r="AU70" s="11">
        <f ca="1">AS70*V70</f>
        <v>0.30077403508958883</v>
      </c>
      <c r="AV70" s="11">
        <f ca="1">AT70*X70</f>
        <v>0.34457896386552828</v>
      </c>
    </row>
    <row r="71" spans="1:48">
      <c r="A71">
        <v>66</v>
      </c>
      <c r="B71" s="27" t="str">
        <f t="shared" ref="B71:B134" si="36">L71</f>
        <v>Clint Capela</v>
      </c>
      <c r="C71" s="21">
        <v>19.539469063836979</v>
      </c>
      <c r="D71" s="12">
        <f t="shared" ca="1" si="20"/>
        <v>19.509039841755694</v>
      </c>
      <c r="E71" s="12">
        <f t="shared" ca="1" si="21"/>
        <v>19.509039841755698</v>
      </c>
      <c r="F71" s="29">
        <f ca="1">SUM(AI71:AN71,AP71,AO71)+$A$4</f>
        <v>3.6490770663485019</v>
      </c>
      <c r="G71" s="29">
        <f ca="1">SUM(Y71:AF71)+$A$4</f>
        <v>3.6490770663485024</v>
      </c>
      <c r="H71" s="10">
        <v>1</v>
      </c>
      <c r="I71" s="10">
        <v>0</v>
      </c>
      <c r="J71" t="e">
        <f>VLOOKUP(N71,Schedule!#REF!,2,0)</f>
        <v>#REF!</v>
      </c>
      <c r="K71" s="17">
        <v>66</v>
      </c>
      <c r="L71" s="17" t="s">
        <v>126</v>
      </c>
      <c r="M71" s="17" t="s">
        <v>22</v>
      </c>
      <c r="N71" s="17" t="s">
        <v>61</v>
      </c>
      <c r="O71" s="22">
        <v>14.269868421052632</v>
      </c>
      <c r="P71" s="22">
        <v>0</v>
      </c>
      <c r="Q71" s="22">
        <v>14.46671052631579</v>
      </c>
      <c r="R71" s="22">
        <v>0.7103947368421053</v>
      </c>
      <c r="S71" s="22">
        <v>0.7103947368421053</v>
      </c>
      <c r="T71" s="22">
        <v>2.0021052631578948</v>
      </c>
      <c r="U71" s="22">
        <v>0.59200202480384712</v>
      </c>
      <c r="V71" s="22">
        <v>10.397368421052633</v>
      </c>
      <c r="W71" s="22">
        <v>0.57101771608252172</v>
      </c>
      <c r="X71" s="22">
        <v>3.4313157894736839</v>
      </c>
      <c r="Y71" s="14">
        <f t="shared" ca="1" si="22"/>
        <v>-0.32501407754482903</v>
      </c>
      <c r="Z71" s="14">
        <f t="shared" ca="1" si="23"/>
        <v>-1.7120096997355103</v>
      </c>
      <c r="AA71" s="14">
        <f t="shared" ca="1" si="24"/>
        <v>3.6616147458474493</v>
      </c>
      <c r="AB71" s="14">
        <f t="shared" ca="1" si="25"/>
        <v>-1.3874709143283996</v>
      </c>
      <c r="AC71" s="14">
        <f t="shared" ca="1" si="26"/>
        <v>-0.89029450904410146</v>
      </c>
      <c r="AD71" s="14">
        <f t="shared" ca="1" si="27"/>
        <v>2.4486618649563177</v>
      </c>
      <c r="AE71" s="14">
        <f ca="1">U$4*AO71</f>
        <v>1.8762407000507537</v>
      </c>
      <c r="AF71" s="15">
        <f ca="1">AP71*W$4</f>
        <v>-2.822651043853178</v>
      </c>
      <c r="AG71" s="12">
        <f t="shared" ca="1" si="28"/>
        <v>0.84907706634850255</v>
      </c>
      <c r="AH71" s="14">
        <f t="shared" ca="1" si="29"/>
        <v>0.2792082831976338</v>
      </c>
      <c r="AI71" s="14">
        <f t="shared" ca="1" si="30"/>
        <v>-0.32501407754482903</v>
      </c>
      <c r="AJ71" s="14">
        <f t="shared" ca="1" si="31"/>
        <v>-1.7120096997355103</v>
      </c>
      <c r="AK71" s="14">
        <f t="shared" ca="1" si="32"/>
        <v>3.6616147458474493</v>
      </c>
      <c r="AL71" s="14">
        <f t="shared" ca="1" si="33"/>
        <v>-1.3874709143283996</v>
      </c>
      <c r="AM71" s="14">
        <f t="shared" ca="1" si="34"/>
        <v>-0.89029450904410146</v>
      </c>
      <c r="AN71" s="14">
        <f t="shared" ca="1" si="35"/>
        <v>2.4486618649563177</v>
      </c>
      <c r="AO71" s="14">
        <f t="shared" ref="AO71:AO134" ca="1" si="37">(AU71-$AO$3)/$AO$4</f>
        <v>1.8762407000507537</v>
      </c>
      <c r="AP71" s="14">
        <f ca="1">(AV71-$AP$3)/$AP$4</f>
        <v>-2.822651043853178</v>
      </c>
      <c r="AQ71" s="22">
        <f t="shared" ref="AQ71:AQ134" si="38">V71*U71</f>
        <v>6.1552631578947379</v>
      </c>
      <c r="AR71" s="22">
        <f t="shared" ref="AR71:AR134" si="39">W71*X71</f>
        <v>1.9593421052631579</v>
      </c>
      <c r="AS71" s="22">
        <f ca="1">(U71-AS$3)</f>
        <v>0.11602731961573515</v>
      </c>
      <c r="AT71" s="22">
        <f ca="1">(W71-AT$3)</f>
        <v>-0.22908497565759345</v>
      </c>
      <c r="AU71" s="11">
        <f ca="1">AS71*V71</f>
        <v>1.2063787889520254</v>
      </c>
      <c r="AV71" s="11">
        <f ca="1">AT71*X71</f>
        <v>-0.78606289410509489</v>
      </c>
    </row>
    <row r="72" spans="1:48">
      <c r="A72">
        <v>67</v>
      </c>
      <c r="B72" s="27" t="str">
        <f t="shared" si="36"/>
        <v>Isaiah Stewart</v>
      </c>
      <c r="C72" s="21">
        <v>18.71836563328625</v>
      </c>
      <c r="D72" s="12">
        <f t="shared" ca="1" si="20"/>
        <v>18.713814455836697</v>
      </c>
      <c r="E72" s="12">
        <f t="shared" ca="1" si="21"/>
        <v>18.713814455836697</v>
      </c>
      <c r="F72" s="29">
        <f ca="1">SUM(AI72:AN72,AP72,AO72)+$A$4</f>
        <v>3.5003337790379563</v>
      </c>
      <c r="G72" s="29">
        <f ca="1">SUM(Y72:AF72)+$A$4</f>
        <v>3.5003337790379563</v>
      </c>
      <c r="H72" s="10">
        <v>1</v>
      </c>
      <c r="I72" s="10">
        <v>0</v>
      </c>
      <c r="J72" t="e">
        <f>VLOOKUP(N72,Schedule!#REF!,2,0)</f>
        <v>#REF!</v>
      </c>
      <c r="K72" s="17">
        <v>67</v>
      </c>
      <c r="L72" s="17" t="s">
        <v>127</v>
      </c>
      <c r="M72" s="17" t="s">
        <v>63</v>
      </c>
      <c r="N72" s="17" t="s">
        <v>115</v>
      </c>
      <c r="O72" s="22">
        <v>12.051052631578948</v>
      </c>
      <c r="P72" s="22">
        <v>0.6428947368421053</v>
      </c>
      <c r="Q72" s="22">
        <v>9.1228947368421061</v>
      </c>
      <c r="R72" s="22">
        <v>1.2082894736842105</v>
      </c>
      <c r="S72" s="22">
        <v>0.78539473684210526</v>
      </c>
      <c r="T72" s="22">
        <v>1.8125</v>
      </c>
      <c r="U72" s="22">
        <v>0.55095251592499217</v>
      </c>
      <c r="V72" s="22">
        <v>8.8201315789473682</v>
      </c>
      <c r="W72" s="22">
        <v>0.76599045346062056</v>
      </c>
      <c r="X72" s="22">
        <v>2.2052631578947368</v>
      </c>
      <c r="Y72" s="14">
        <f t="shared" ca="1" si="22"/>
        <v>-0.71081113736464463</v>
      </c>
      <c r="Z72" s="14">
        <f t="shared" ca="1" si="23"/>
        <v>-1.0735917952120082</v>
      </c>
      <c r="AA72" s="14">
        <f t="shared" ca="1" si="24"/>
        <v>1.4276245147698481</v>
      </c>
      <c r="AB72" s="14">
        <f t="shared" ca="1" si="25"/>
        <v>-1.1504059727177469</v>
      </c>
      <c r="AC72" s="14">
        <f t="shared" ca="1" si="26"/>
        <v>-0.65082538771760878</v>
      </c>
      <c r="AD72" s="14">
        <f t="shared" ca="1" si="27"/>
        <v>2.0999522824113503</v>
      </c>
      <c r="AE72" s="14">
        <f ca="1">U$4*AO72</f>
        <v>1.0285198535870561</v>
      </c>
      <c r="AF72" s="15">
        <f ca="1">AP72*W$4</f>
        <v>-0.27012857871828971</v>
      </c>
      <c r="AG72" s="12">
        <f t="shared" ca="1" si="28"/>
        <v>0.70033377903795646</v>
      </c>
      <c r="AH72" s="14">
        <f t="shared" ca="1" si="29"/>
        <v>0.23029592938062035</v>
      </c>
      <c r="AI72" s="14">
        <f t="shared" ca="1" si="30"/>
        <v>-0.71081113736464463</v>
      </c>
      <c r="AJ72" s="14">
        <f t="shared" ca="1" si="31"/>
        <v>-1.0735917952120082</v>
      </c>
      <c r="AK72" s="14">
        <f t="shared" ca="1" si="32"/>
        <v>1.4276245147698481</v>
      </c>
      <c r="AL72" s="14">
        <f t="shared" ca="1" si="33"/>
        <v>-1.1504059727177469</v>
      </c>
      <c r="AM72" s="14">
        <f t="shared" ca="1" si="34"/>
        <v>-0.65082538771760878</v>
      </c>
      <c r="AN72" s="14">
        <f t="shared" ca="1" si="35"/>
        <v>2.0999522824113503</v>
      </c>
      <c r="AO72" s="14">
        <f t="shared" ca="1" si="37"/>
        <v>1.0285198535870561</v>
      </c>
      <c r="AP72" s="14">
        <f ca="1">(AV72-$AP$3)/$AP$4</f>
        <v>-0.27012857871828971</v>
      </c>
      <c r="AQ72" s="22">
        <f t="shared" si="38"/>
        <v>4.8594736842105259</v>
      </c>
      <c r="AR72" s="22">
        <f t="shared" si="39"/>
        <v>1.6892105263157895</v>
      </c>
      <c r="AS72" s="22">
        <f ca="1">(U72-AS$3)</f>
        <v>7.4977810736880202E-2</v>
      </c>
      <c r="AT72" s="22">
        <f ca="1">(W72-AT$3)</f>
        <v>-3.4112238279494611E-2</v>
      </c>
      <c r="AU72" s="11">
        <f ca="1">AS72*V72</f>
        <v>0.66131415620069611</v>
      </c>
      <c r="AV72" s="11">
        <f ca="1">AT72*X72</f>
        <v>-7.5226462311096004E-2</v>
      </c>
    </row>
    <row r="73" spans="1:48">
      <c r="A73">
        <v>68</v>
      </c>
      <c r="B73" s="27" t="str">
        <f t="shared" si="36"/>
        <v>Kemba Walker</v>
      </c>
      <c r="C73" s="21">
        <v>18.115425030303335</v>
      </c>
      <c r="D73" s="12">
        <f t="shared" ca="1" si="20"/>
        <v>18.490891542586734</v>
      </c>
      <c r="E73" s="12">
        <f t="shared" ca="1" si="21"/>
        <v>18.490891542586734</v>
      </c>
      <c r="F73" s="29">
        <f ca="1">SUM(AI73:AN73,AP73,AO73)+$A$4</f>
        <v>3.4586370632127643</v>
      </c>
      <c r="G73" s="29">
        <f ca="1">SUM(Y73:AF73)+$A$4</f>
        <v>3.4586370632127643</v>
      </c>
      <c r="H73" s="10">
        <v>1</v>
      </c>
      <c r="I73" s="10">
        <v>0</v>
      </c>
      <c r="J73" t="e">
        <f>VLOOKUP(N73,Schedule!#REF!,2,0)</f>
        <v>#REF!</v>
      </c>
      <c r="K73" s="17">
        <v>68</v>
      </c>
      <c r="L73" s="17" t="s">
        <v>128</v>
      </c>
      <c r="M73" s="17" t="s">
        <v>28</v>
      </c>
      <c r="N73" s="17" t="s">
        <v>88</v>
      </c>
      <c r="O73" s="22">
        <v>18.751406249999999</v>
      </c>
      <c r="P73" s="22">
        <v>2.8654687499999998</v>
      </c>
      <c r="Q73" s="22">
        <v>3.6960937500000002</v>
      </c>
      <c r="R73" s="22">
        <v>5.0743749999999999</v>
      </c>
      <c r="S73" s="22">
        <v>0.93968750000000001</v>
      </c>
      <c r="T73" s="22">
        <v>0.31328125000000001</v>
      </c>
      <c r="U73" s="22">
        <v>0.42469331392237042</v>
      </c>
      <c r="V73" s="22">
        <v>14.596562500000001</v>
      </c>
      <c r="W73" s="22">
        <v>0.88498592554414623</v>
      </c>
      <c r="X73" s="22">
        <v>3.9410937499999998</v>
      </c>
      <c r="Y73" s="14">
        <f t="shared" ca="1" si="22"/>
        <v>0.45421425050366315</v>
      </c>
      <c r="Z73" s="14">
        <f t="shared" ca="1" si="23"/>
        <v>1.1335052034326423</v>
      </c>
      <c r="AA73" s="14">
        <f t="shared" ca="1" si="24"/>
        <v>-0.84105780292688359</v>
      </c>
      <c r="AB73" s="14">
        <f t="shared" ca="1" si="25"/>
        <v>0.69037134774726494</v>
      </c>
      <c r="AC73" s="14">
        <f t="shared" ca="1" si="26"/>
        <v>-0.15818068877817251</v>
      </c>
      <c r="AD73" s="14">
        <f t="shared" ca="1" si="27"/>
        <v>-0.65731265712110154</v>
      </c>
      <c r="AE73" s="14">
        <f ca="1">U$4*AO73</f>
        <v>-1.1641669083543074</v>
      </c>
      <c r="AF73" s="15">
        <f ca="1">AP73*W$4</f>
        <v>1.2012643187096592</v>
      </c>
      <c r="AG73" s="12">
        <f t="shared" ca="1" si="28"/>
        <v>0.65863706321276438</v>
      </c>
      <c r="AH73" s="14">
        <f t="shared" ca="1" si="29"/>
        <v>0.21658449033469401</v>
      </c>
      <c r="AI73" s="14">
        <f t="shared" ca="1" si="30"/>
        <v>0.45421425050366315</v>
      </c>
      <c r="AJ73" s="14">
        <f t="shared" ca="1" si="31"/>
        <v>1.1335052034326423</v>
      </c>
      <c r="AK73" s="14">
        <f t="shared" ca="1" si="32"/>
        <v>-0.84105780292688359</v>
      </c>
      <c r="AL73" s="14">
        <f t="shared" ca="1" si="33"/>
        <v>0.69037134774726494</v>
      </c>
      <c r="AM73" s="14">
        <f t="shared" ca="1" si="34"/>
        <v>-0.15818068877817251</v>
      </c>
      <c r="AN73" s="14">
        <f t="shared" ca="1" si="35"/>
        <v>-0.65731265712110154</v>
      </c>
      <c r="AO73" s="14">
        <f t="shared" ca="1" si="37"/>
        <v>-1.1641669083543074</v>
      </c>
      <c r="AP73" s="14">
        <f ca="1">(AV73-$AP$3)/$AP$4</f>
        <v>1.2012643187096592</v>
      </c>
      <c r="AQ73" s="22">
        <f t="shared" si="38"/>
        <v>6.1990625000000001</v>
      </c>
      <c r="AR73" s="22">
        <f t="shared" si="39"/>
        <v>3.4878125</v>
      </c>
      <c r="AS73" s="22">
        <f ca="1">(U73-AS$3)</f>
        <v>-5.1281391265741549E-2</v>
      </c>
      <c r="AT73" s="22">
        <f ca="1">(W73-AT$3)</f>
        <v>8.4883233804031066E-2</v>
      </c>
      <c r="AU73" s="11">
        <f ca="1">AS73*V73</f>
        <v>-0.74853203269735069</v>
      </c>
      <c r="AV73" s="11">
        <f ca="1">AT73*X73</f>
        <v>0.33453278222485555</v>
      </c>
    </row>
    <row r="74" spans="1:48">
      <c r="A74">
        <v>69</v>
      </c>
      <c r="B74" s="27" t="str">
        <f t="shared" si="36"/>
        <v>Terry Rozier</v>
      </c>
      <c r="C74" s="21">
        <v>17.509536832191834</v>
      </c>
      <c r="D74" s="12">
        <f t="shared" ca="1" si="20"/>
        <v>17.911568383058547</v>
      </c>
      <c r="E74" s="12">
        <f t="shared" ca="1" si="21"/>
        <v>17.911568383058547</v>
      </c>
      <c r="F74" s="29">
        <f ca="1">SUM(AI74:AN74,AP74,AO74)+$A$4</f>
        <v>3.3502773042196936</v>
      </c>
      <c r="G74" s="29">
        <f ca="1">SUM(Y74:AF74)+$A$4</f>
        <v>3.3502773042196936</v>
      </c>
      <c r="H74" s="10">
        <v>1</v>
      </c>
      <c r="I74" s="10">
        <v>0</v>
      </c>
      <c r="J74" t="e">
        <f>VLOOKUP(N74,Schedule!#REF!,2,0)</f>
        <v>#REF!</v>
      </c>
      <c r="K74" s="17">
        <v>69</v>
      </c>
      <c r="L74" s="17" t="s">
        <v>129</v>
      </c>
      <c r="M74" s="17" t="s">
        <v>25</v>
      </c>
      <c r="N74" s="17" t="s">
        <v>65</v>
      </c>
      <c r="O74" s="22">
        <v>18.57298701298701</v>
      </c>
      <c r="P74" s="22">
        <v>2.8481818181818181</v>
      </c>
      <c r="Q74" s="22">
        <v>4.4624675324675325</v>
      </c>
      <c r="R74" s="22">
        <v>4.4624675324675325</v>
      </c>
      <c r="S74" s="22">
        <v>1.1333766233766234</v>
      </c>
      <c r="T74" s="22">
        <v>0.35415584415584417</v>
      </c>
      <c r="U74" s="22">
        <v>0.4282516951182247</v>
      </c>
      <c r="V74" s="22">
        <v>15.725064935064934</v>
      </c>
      <c r="W74" s="22">
        <v>0.84400505246793622</v>
      </c>
      <c r="X74" s="22">
        <v>2.6732467532467532</v>
      </c>
      <c r="Y74" s="14">
        <f t="shared" ca="1" si="22"/>
        <v>0.42319156832271759</v>
      </c>
      <c r="Z74" s="14">
        <f t="shared" ca="1" si="23"/>
        <v>1.1163386501004213</v>
      </c>
      <c r="AA74" s="14">
        <f t="shared" ca="1" si="24"/>
        <v>-0.52067409008279242</v>
      </c>
      <c r="AB74" s="14">
        <f t="shared" ca="1" si="25"/>
        <v>0.39902099328929136</v>
      </c>
      <c r="AC74" s="14">
        <f t="shared" ca="1" si="26"/>
        <v>0.46025350036180956</v>
      </c>
      <c r="AD74" s="14">
        <f t="shared" ca="1" si="27"/>
        <v>-0.58213878047132839</v>
      </c>
      <c r="AE74" s="14">
        <f ca="1">U$4*AO74</f>
        <v>-1.1671458653970281</v>
      </c>
      <c r="AF74" s="15">
        <f ca="1">AP74*W$4</f>
        <v>0.42143132809660272</v>
      </c>
      <c r="AG74" s="12">
        <f t="shared" ca="1" si="28"/>
        <v>0.55027730421969379</v>
      </c>
      <c r="AH74" s="14">
        <f t="shared" ca="1" si="29"/>
        <v>0.18095175041595224</v>
      </c>
      <c r="AI74" s="14">
        <f t="shared" ca="1" si="30"/>
        <v>0.42319156832271759</v>
      </c>
      <c r="AJ74" s="14">
        <f t="shared" ca="1" si="31"/>
        <v>1.1163386501004213</v>
      </c>
      <c r="AK74" s="14">
        <f t="shared" ca="1" si="32"/>
        <v>-0.52067409008279242</v>
      </c>
      <c r="AL74" s="14">
        <f t="shared" ca="1" si="33"/>
        <v>0.39902099328929136</v>
      </c>
      <c r="AM74" s="14">
        <f t="shared" ca="1" si="34"/>
        <v>0.46025350036180956</v>
      </c>
      <c r="AN74" s="14">
        <f t="shared" ca="1" si="35"/>
        <v>-0.58213878047132839</v>
      </c>
      <c r="AO74" s="14">
        <f t="shared" ca="1" si="37"/>
        <v>-1.1671458653970281</v>
      </c>
      <c r="AP74" s="14">
        <f ca="1">(AV74-$AP$3)/$AP$4</f>
        <v>0.42143132809660272</v>
      </c>
      <c r="AQ74" s="22">
        <f t="shared" si="38"/>
        <v>6.734285714285714</v>
      </c>
      <c r="AR74" s="22">
        <f t="shared" si="39"/>
        <v>2.2562337662337661</v>
      </c>
      <c r="AS74" s="22">
        <f ca="1">(U74-AS$3)</f>
        <v>-4.7723010069887273E-2</v>
      </c>
      <c r="AT74" s="22">
        <f ca="1">(W74-AT$3)</f>
        <v>4.3902360727821055E-2</v>
      </c>
      <c r="AU74" s="11">
        <f ca="1">AS74*V74</f>
        <v>-0.75044743224573507</v>
      </c>
      <c r="AV74" s="11">
        <f ca="1">AT74*X74</f>
        <v>0.1173618432755154</v>
      </c>
    </row>
    <row r="75" spans="1:48">
      <c r="A75">
        <v>70</v>
      </c>
      <c r="B75" s="27" t="str">
        <f t="shared" si="36"/>
        <v>Mikal Bridges</v>
      </c>
      <c r="C75" s="21">
        <v>17.506011887827128</v>
      </c>
      <c r="D75" s="12">
        <f t="shared" ca="1" si="20"/>
        <v>17.705057487629769</v>
      </c>
      <c r="E75" s="12">
        <f t="shared" ca="1" si="21"/>
        <v>17.705057487629769</v>
      </c>
      <c r="F75" s="29">
        <f ca="1">SUM(AI75:AN75,AP75,AO75)+$A$4</f>
        <v>3.3116503815944522</v>
      </c>
      <c r="G75" s="29">
        <f ca="1">SUM(Y75:AF75)+$A$4</f>
        <v>3.3116503815944522</v>
      </c>
      <c r="H75" s="10">
        <v>1</v>
      </c>
      <c r="I75" s="10">
        <v>0</v>
      </c>
      <c r="J75" t="e">
        <f>VLOOKUP(N75,Schedule!#REF!,2,0)</f>
        <v>#REF!</v>
      </c>
      <c r="K75" s="17">
        <v>70</v>
      </c>
      <c r="L75" s="17" t="s">
        <v>130</v>
      </c>
      <c r="M75" s="17" t="s">
        <v>105</v>
      </c>
      <c r="N75" s="17" t="s">
        <v>72</v>
      </c>
      <c r="O75" s="22">
        <v>13.77425</v>
      </c>
      <c r="P75" s="22">
        <v>1.9408750000000001</v>
      </c>
      <c r="Q75" s="22">
        <v>3.9476249999999999</v>
      </c>
      <c r="R75" s="22">
        <v>1.973875</v>
      </c>
      <c r="S75" s="22">
        <v>1.225125</v>
      </c>
      <c r="T75" s="22">
        <v>0.81675000000000009</v>
      </c>
      <c r="U75" s="22">
        <v>0.53166329752797703</v>
      </c>
      <c r="V75" s="22">
        <v>9.4608749999999997</v>
      </c>
      <c r="W75" s="22">
        <v>0.85202089964566696</v>
      </c>
      <c r="X75" s="22">
        <v>2.081375</v>
      </c>
      <c r="Y75" s="14">
        <f t="shared" ca="1" si="22"/>
        <v>-0.41118983424430716</v>
      </c>
      <c r="Z75" s="14">
        <f t="shared" ca="1" si="23"/>
        <v>0.2153499120859374</v>
      </c>
      <c r="AA75" s="14">
        <f t="shared" ca="1" si="24"/>
        <v>-0.73590478541127025</v>
      </c>
      <c r="AB75" s="14">
        <f t="shared" ca="1" si="25"/>
        <v>-0.78588416787776183</v>
      </c>
      <c r="AC75" s="14">
        <f t="shared" ca="1" si="26"/>
        <v>0.75319887547023812</v>
      </c>
      <c r="AD75" s="14">
        <f t="shared" ca="1" si="27"/>
        <v>0.26863409516253245</v>
      </c>
      <c r="AE75" s="14">
        <f ca="1">U$4*AO75</f>
        <v>0.81941216017259466</v>
      </c>
      <c r="AF75" s="15">
        <f ca="1">AP75*W$4</f>
        <v>0.38803412623648881</v>
      </c>
      <c r="AG75" s="12">
        <f t="shared" ca="1" si="28"/>
        <v>0.5116503815944522</v>
      </c>
      <c r="AH75" s="14">
        <f t="shared" ca="1" si="29"/>
        <v>0.16824977414213446</v>
      </c>
      <c r="AI75" s="14">
        <f t="shared" ca="1" si="30"/>
        <v>-0.41118983424430716</v>
      </c>
      <c r="AJ75" s="14">
        <f t="shared" ca="1" si="31"/>
        <v>0.2153499120859374</v>
      </c>
      <c r="AK75" s="14">
        <f t="shared" ca="1" si="32"/>
        <v>-0.73590478541127025</v>
      </c>
      <c r="AL75" s="14">
        <f t="shared" ca="1" si="33"/>
        <v>-0.78588416787776183</v>
      </c>
      <c r="AM75" s="14">
        <f t="shared" ca="1" si="34"/>
        <v>0.75319887547023812</v>
      </c>
      <c r="AN75" s="14">
        <f t="shared" ca="1" si="35"/>
        <v>0.26863409516253245</v>
      </c>
      <c r="AO75" s="14">
        <f t="shared" ca="1" si="37"/>
        <v>0.81941216017259466</v>
      </c>
      <c r="AP75" s="14">
        <f ca="1">(AV75-$AP$3)/$AP$4</f>
        <v>0.38803412623648881</v>
      </c>
      <c r="AQ75" s="22">
        <f t="shared" si="38"/>
        <v>5.0299999999999994</v>
      </c>
      <c r="AR75" s="22">
        <f t="shared" si="39"/>
        <v>1.7733750000000001</v>
      </c>
      <c r="AS75" s="22">
        <f ca="1">(U75-AS$3)</f>
        <v>5.5688592339865062E-2</v>
      </c>
      <c r="AT75" s="22">
        <f ca="1">(W75-AT$3)</f>
        <v>5.1918207905551794E-2</v>
      </c>
      <c r="AU75" s="11">
        <f ca="1">AS75*V75</f>
        <v>0.52686281105342081</v>
      </c>
      <c r="AV75" s="11">
        <f ca="1">AT75*X75</f>
        <v>0.10806125997941786</v>
      </c>
    </row>
    <row r="76" spans="1:48">
      <c r="A76">
        <v>71</v>
      </c>
      <c r="B76" s="27" t="str">
        <f t="shared" si="36"/>
        <v>Caris LeVert</v>
      </c>
      <c r="C76" s="21">
        <v>17.400866757267885</v>
      </c>
      <c r="D76" s="12">
        <f t="shared" ca="1" si="20"/>
        <v>17.825195369479633</v>
      </c>
      <c r="E76" s="12">
        <f t="shared" ca="1" si="21"/>
        <v>17.825195369479633</v>
      </c>
      <c r="F76" s="29">
        <f ca="1">SUM(AI76:AN76,AP76,AO76)+$A$4</f>
        <v>3.3341216253365316</v>
      </c>
      <c r="G76" s="29">
        <f ca="1">SUM(Y76:AF76)+$A$4</f>
        <v>3.3341216253365316</v>
      </c>
      <c r="H76" s="10">
        <v>1</v>
      </c>
      <c r="I76" s="10">
        <v>0</v>
      </c>
      <c r="J76" t="e">
        <f>VLOOKUP(N76,Schedule!#REF!,2,0)</f>
        <v>#REF!</v>
      </c>
      <c r="K76" s="17">
        <v>71</v>
      </c>
      <c r="L76" s="17" t="s">
        <v>131</v>
      </c>
      <c r="M76" s="17" t="s">
        <v>48</v>
      </c>
      <c r="N76" s="17" t="s">
        <v>75</v>
      </c>
      <c r="O76" s="22">
        <v>20.29758064516129</v>
      </c>
      <c r="P76" s="22">
        <v>1.772258064516129</v>
      </c>
      <c r="Q76" s="22">
        <v>4.3766129032258068</v>
      </c>
      <c r="R76" s="22">
        <v>4.915322580645161</v>
      </c>
      <c r="S76" s="22">
        <v>1.3466129032258063</v>
      </c>
      <c r="T76" s="22">
        <v>0.53870967741935483</v>
      </c>
      <c r="U76" s="22">
        <v>0.44445911409952937</v>
      </c>
      <c r="V76" s="22">
        <v>17.103064516129034</v>
      </c>
      <c r="W76" s="22">
        <v>0.77698140254253278</v>
      </c>
      <c r="X76" s="22">
        <v>4.2756451612903223</v>
      </c>
      <c r="Y76" s="14">
        <f t="shared" ca="1" si="22"/>
        <v>0.72305564709540249</v>
      </c>
      <c r="Z76" s="14">
        <f t="shared" ca="1" si="23"/>
        <v>4.7907149764450485E-2</v>
      </c>
      <c r="AA76" s="14">
        <f t="shared" ca="1" si="24"/>
        <v>-0.55656574701389605</v>
      </c>
      <c r="AB76" s="14">
        <f t="shared" ca="1" si="25"/>
        <v>0.61464097801783879</v>
      </c>
      <c r="AC76" s="14">
        <f t="shared" ca="1" si="26"/>
        <v>1.141100227967329</v>
      </c>
      <c r="AD76" s="14">
        <f t="shared" ca="1" si="27"/>
        <v>-0.24271945696447125</v>
      </c>
      <c r="AE76" s="14">
        <f ca="1">U$4*AO76</f>
        <v>-0.83830923570468918</v>
      </c>
      <c r="AF76" s="15">
        <f ca="1">AP76*W$4</f>
        <v>-0.35498793782543242</v>
      </c>
      <c r="AG76" s="12">
        <f t="shared" ca="1" si="28"/>
        <v>0.53412162533653174</v>
      </c>
      <c r="AH76" s="14">
        <f t="shared" ca="1" si="29"/>
        <v>0.1756391591993989</v>
      </c>
      <c r="AI76" s="14">
        <f t="shared" ca="1" si="30"/>
        <v>0.72305564709540249</v>
      </c>
      <c r="AJ76" s="14">
        <f t="shared" ca="1" si="31"/>
        <v>4.7907149764450485E-2</v>
      </c>
      <c r="AK76" s="14">
        <f t="shared" ca="1" si="32"/>
        <v>-0.55656574701389605</v>
      </c>
      <c r="AL76" s="14">
        <f t="shared" ca="1" si="33"/>
        <v>0.61464097801783879</v>
      </c>
      <c r="AM76" s="14">
        <f t="shared" ca="1" si="34"/>
        <v>1.141100227967329</v>
      </c>
      <c r="AN76" s="14">
        <f t="shared" ca="1" si="35"/>
        <v>-0.24271945696447125</v>
      </c>
      <c r="AO76" s="14">
        <f t="shared" ca="1" si="37"/>
        <v>-0.83830923570468918</v>
      </c>
      <c r="AP76" s="14">
        <f ca="1">(AV76-$AP$3)/$AP$4</f>
        <v>-0.35498793782543242</v>
      </c>
      <c r="AQ76" s="22">
        <f t="shared" si="38"/>
        <v>7.6016129032258064</v>
      </c>
      <c r="AR76" s="22">
        <f t="shared" si="39"/>
        <v>3.3220967741935485</v>
      </c>
      <c r="AS76" s="22">
        <f ca="1">(U76-AS$3)</f>
        <v>-3.1515591088582595E-2</v>
      </c>
      <c r="AT76" s="22">
        <f ca="1">(W76-AT$3)</f>
        <v>-2.3121289197582384E-2</v>
      </c>
      <c r="AU76" s="11">
        <f ca="1">AS76*V76</f>
        <v>-0.53901318765196937</v>
      </c>
      <c r="AV76" s="11">
        <f ca="1">AT76*X76</f>
        <v>-9.8858428280437324E-2</v>
      </c>
    </row>
    <row r="77" spans="1:48">
      <c r="A77">
        <v>72</v>
      </c>
      <c r="B77" s="27" t="str">
        <f t="shared" si="36"/>
        <v>Jamal Murray</v>
      </c>
      <c r="C77" s="21">
        <v>17.143204451300718</v>
      </c>
      <c r="D77" s="12">
        <f t="shared" ca="1" si="20"/>
        <v>17.47729108912646</v>
      </c>
      <c r="E77" s="12">
        <f t="shared" ca="1" si="21"/>
        <v>17.47729108912646</v>
      </c>
      <c r="F77" s="29">
        <f ca="1">SUM(AI77:AN77,AP77,AO77)+$A$4</f>
        <v>3.2690477139078391</v>
      </c>
      <c r="G77" s="29">
        <f ca="1">SUM(Y77:AF77)+$A$4</f>
        <v>3.2690477139078391</v>
      </c>
      <c r="H77" s="10">
        <v>1</v>
      </c>
      <c r="I77" s="10">
        <v>0</v>
      </c>
      <c r="J77" t="e">
        <f>VLOOKUP(N77,Schedule!#REF!,2,0)</f>
        <v>#REF!</v>
      </c>
      <c r="K77" s="17">
        <v>72</v>
      </c>
      <c r="L77" s="17" t="s">
        <v>132</v>
      </c>
      <c r="M77" s="17" t="s">
        <v>25</v>
      </c>
      <c r="N77" s="17" t="s">
        <v>23</v>
      </c>
      <c r="O77" s="22">
        <v>18.037499999999998</v>
      </c>
      <c r="P77" s="22">
        <v>2.2650000000000001</v>
      </c>
      <c r="Q77" s="22">
        <v>3.4649999999999999</v>
      </c>
      <c r="R77" s="22">
        <v>4.2699999999999996</v>
      </c>
      <c r="S77" s="22">
        <v>1.1125</v>
      </c>
      <c r="T77" s="22">
        <v>0.2475</v>
      </c>
      <c r="U77" s="22">
        <v>0.47135325131810196</v>
      </c>
      <c r="V77" s="22">
        <v>14.225</v>
      </c>
      <c r="W77" s="22">
        <v>0.87419056429232178</v>
      </c>
      <c r="X77" s="22">
        <v>2.7025000000000001</v>
      </c>
      <c r="Y77" s="14">
        <f t="shared" ca="1" si="22"/>
        <v>0.33008365185566879</v>
      </c>
      <c r="Z77" s="14">
        <f t="shared" ca="1" si="23"/>
        <v>0.5372178500941176</v>
      </c>
      <c r="AA77" s="14">
        <f t="shared" ca="1" si="24"/>
        <v>-0.93766689281730009</v>
      </c>
      <c r="AB77" s="14">
        <f t="shared" ca="1" si="25"/>
        <v>0.30738053001435683</v>
      </c>
      <c r="AC77" s="14">
        <f t="shared" ca="1" si="26"/>
        <v>0.39359607827828813</v>
      </c>
      <c r="AD77" s="14">
        <f t="shared" ca="1" si="27"/>
        <v>-0.77829322403544887</v>
      </c>
      <c r="AE77" s="14">
        <f ca="1">U$4*AO77</f>
        <v>-0.10224351166900028</v>
      </c>
      <c r="AF77" s="15">
        <f ca="1">AP77*W$4</f>
        <v>0.71897323218715736</v>
      </c>
      <c r="AG77" s="12">
        <f t="shared" ca="1" si="28"/>
        <v>0.4690477139078395</v>
      </c>
      <c r="AH77" s="14">
        <f t="shared" ca="1" si="29"/>
        <v>0.15424042425405718</v>
      </c>
      <c r="AI77" s="14">
        <f t="shared" ca="1" si="30"/>
        <v>0.33008365185566879</v>
      </c>
      <c r="AJ77" s="14">
        <f t="shared" ca="1" si="31"/>
        <v>0.5372178500941176</v>
      </c>
      <c r="AK77" s="14">
        <f t="shared" ca="1" si="32"/>
        <v>-0.93766689281730009</v>
      </c>
      <c r="AL77" s="14">
        <f t="shared" ca="1" si="33"/>
        <v>0.30738053001435683</v>
      </c>
      <c r="AM77" s="14">
        <f t="shared" ca="1" si="34"/>
        <v>0.39359607827828813</v>
      </c>
      <c r="AN77" s="14">
        <f t="shared" ca="1" si="35"/>
        <v>-0.77829322403544887</v>
      </c>
      <c r="AO77" s="14">
        <f t="shared" ca="1" si="37"/>
        <v>-0.10224351166900028</v>
      </c>
      <c r="AP77" s="14">
        <f ca="1">(AV77-$AP$3)/$AP$4</f>
        <v>0.71897323218715736</v>
      </c>
      <c r="AQ77" s="22">
        <f t="shared" si="38"/>
        <v>6.7050000000000001</v>
      </c>
      <c r="AR77" s="22">
        <f t="shared" si="39"/>
        <v>2.3624999999999998</v>
      </c>
      <c r="AS77" s="22">
        <f ca="1">(U77-AS$3)</f>
        <v>-4.6214538700100061E-3</v>
      </c>
      <c r="AT77" s="22">
        <f ca="1">(W77-AT$3)</f>
        <v>7.4087872552206613E-2</v>
      </c>
      <c r="AU77" s="11">
        <f ca="1">AS77*V77</f>
        <v>-6.5740181300892334E-2</v>
      </c>
      <c r="AV77" s="11">
        <f ca="1">AT77*X77</f>
        <v>0.20022247557233838</v>
      </c>
    </row>
    <row r="78" spans="1:48">
      <c r="A78">
        <v>73</v>
      </c>
      <c r="B78" s="27" t="str">
        <f t="shared" si="36"/>
        <v>Mike Conley</v>
      </c>
      <c r="C78" s="21">
        <v>17.047182178478067</v>
      </c>
      <c r="D78" s="12">
        <f t="shared" ca="1" si="20"/>
        <v>17.394084065451388</v>
      </c>
      <c r="E78" s="12">
        <f t="shared" ca="1" si="21"/>
        <v>17.394084065451388</v>
      </c>
      <c r="F78" s="29">
        <f ca="1">SUM(AI78:AN78,AP78,AO78)+$A$4</f>
        <v>3.2534842190195894</v>
      </c>
      <c r="G78" s="29">
        <f ca="1">SUM(Y78:AF78)+$A$4</f>
        <v>3.2534842190195894</v>
      </c>
      <c r="H78" s="10">
        <v>1</v>
      </c>
      <c r="I78" s="10">
        <v>0</v>
      </c>
      <c r="J78" t="e">
        <f>VLOOKUP(N78,Schedule!#REF!,2,0)</f>
        <v>#REF!</v>
      </c>
      <c r="K78" s="17">
        <v>73</v>
      </c>
      <c r="L78" s="17" t="s">
        <v>133</v>
      </c>
      <c r="M78" s="17" t="s">
        <v>28</v>
      </c>
      <c r="N78" s="17" t="s">
        <v>67</v>
      </c>
      <c r="O78" s="22">
        <v>14.529193548387097</v>
      </c>
      <c r="P78" s="22">
        <v>2.354193548387097</v>
      </c>
      <c r="Q78" s="22">
        <v>3.3277419354838709</v>
      </c>
      <c r="R78" s="22">
        <v>5.9775806451612903</v>
      </c>
      <c r="S78" s="22">
        <v>1.3558064516129034</v>
      </c>
      <c r="T78" s="22">
        <v>0.18483870967741936</v>
      </c>
      <c r="U78" s="22">
        <v>0.4364054016427677</v>
      </c>
      <c r="V78" s="22">
        <v>11.585483870967741</v>
      </c>
      <c r="W78" s="22">
        <v>0.84798461946433301</v>
      </c>
      <c r="X78" s="22">
        <v>2.4329032258064518</v>
      </c>
      <c r="Y78" s="14">
        <f t="shared" ca="1" si="22"/>
        <v>-0.27992386674965181</v>
      </c>
      <c r="Z78" s="14">
        <f t="shared" ca="1" si="23"/>
        <v>0.62579029437637823</v>
      </c>
      <c r="AA78" s="14">
        <f t="shared" ca="1" si="24"/>
        <v>-0.99504783320631218</v>
      </c>
      <c r="AB78" s="14">
        <f t="shared" ca="1" si="25"/>
        <v>1.1204188611847801</v>
      </c>
      <c r="AC78" s="14">
        <f t="shared" ca="1" si="26"/>
        <v>1.1704545073557389</v>
      </c>
      <c r="AD78" s="14">
        <f t="shared" ca="1" si="27"/>
        <v>-0.89353576544064128</v>
      </c>
      <c r="AE78" s="14">
        <f ca="1">U$4*AO78</f>
        <v>-0.71298015717321206</v>
      </c>
      <c r="AF78" s="15">
        <f ca="1">AP78*W$4</f>
        <v>0.41830817867250952</v>
      </c>
      <c r="AG78" s="12">
        <f t="shared" ca="1" si="28"/>
        <v>0.45348421901958941</v>
      </c>
      <c r="AH78" s="14">
        <f t="shared" ca="1" si="29"/>
        <v>0.1491225652745522</v>
      </c>
      <c r="AI78" s="14">
        <f t="shared" ca="1" si="30"/>
        <v>-0.27992386674965181</v>
      </c>
      <c r="AJ78" s="14">
        <f t="shared" ca="1" si="31"/>
        <v>0.62579029437637823</v>
      </c>
      <c r="AK78" s="14">
        <f t="shared" ca="1" si="32"/>
        <v>-0.99504783320631218</v>
      </c>
      <c r="AL78" s="14">
        <f t="shared" ca="1" si="33"/>
        <v>1.1204188611847801</v>
      </c>
      <c r="AM78" s="14">
        <f t="shared" ca="1" si="34"/>
        <v>1.1704545073557389</v>
      </c>
      <c r="AN78" s="14">
        <f t="shared" ca="1" si="35"/>
        <v>-0.89353576544064128</v>
      </c>
      <c r="AO78" s="14">
        <f t="shared" ca="1" si="37"/>
        <v>-0.71298015717321206</v>
      </c>
      <c r="AP78" s="14">
        <f ca="1">(AV78-$AP$3)/$AP$4</f>
        <v>0.41830817867250952</v>
      </c>
      <c r="AQ78" s="22">
        <f t="shared" si="38"/>
        <v>5.0559677419354836</v>
      </c>
      <c r="AR78" s="22">
        <f t="shared" si="39"/>
        <v>2.0630645161290322</v>
      </c>
      <c r="AS78" s="22">
        <f ca="1">(U78-AS$3)</f>
        <v>-3.956930354534427E-2</v>
      </c>
      <c r="AT78" s="22">
        <f ca="1">(W78-AT$3)</f>
        <v>4.7881927724217843E-2</v>
      </c>
      <c r="AU78" s="11">
        <f ca="1">AS78*V78</f>
        <v>-0.45842952801001269</v>
      </c>
      <c r="AV78" s="11">
        <f ca="1">AT78*X78</f>
        <v>0.11649209641808096</v>
      </c>
    </row>
    <row r="79" spans="1:48">
      <c r="A79">
        <v>74</v>
      </c>
      <c r="B79" s="27" t="str">
        <f t="shared" si="36"/>
        <v>Ben Simmons</v>
      </c>
      <c r="C79" s="21">
        <v>17.023023911390684</v>
      </c>
      <c r="D79" s="12">
        <f t="shared" ca="1" si="20"/>
        <v>17.267497372691114</v>
      </c>
      <c r="E79" s="12">
        <f t="shared" ca="1" si="21"/>
        <v>17.267497372691118</v>
      </c>
      <c r="F79" s="29">
        <f ca="1">SUM(AI79:AN79,AP79,AO79)+$A$4</f>
        <v>3.2298067545619205</v>
      </c>
      <c r="G79" s="29">
        <f ca="1">SUM(Y79:AF79)+$A$4</f>
        <v>3.2298067545619209</v>
      </c>
      <c r="H79" s="10">
        <v>1</v>
      </c>
      <c r="I79" s="10">
        <v>0</v>
      </c>
      <c r="J79" t="e">
        <f>VLOOKUP(N79,Schedule!#REF!,2,0)</f>
        <v>#REF!</v>
      </c>
      <c r="K79" s="17">
        <v>74</v>
      </c>
      <c r="L79" s="17" t="s">
        <v>134</v>
      </c>
      <c r="M79" s="17" t="s">
        <v>28</v>
      </c>
      <c r="N79" s="17" t="s">
        <v>37</v>
      </c>
      <c r="O79" s="22">
        <v>13.7</v>
      </c>
      <c r="P79" s="22">
        <v>4.1250000000000002E-2</v>
      </c>
      <c r="Q79" s="22">
        <v>7.1525000000000007</v>
      </c>
      <c r="R79" s="22">
        <v>7.1524999999999999</v>
      </c>
      <c r="S79" s="22">
        <v>1.66625</v>
      </c>
      <c r="T79" s="22">
        <v>0.48625000000000002</v>
      </c>
      <c r="U79" s="22">
        <v>0.56736663623320738</v>
      </c>
      <c r="V79" s="22">
        <v>9.5837499999999984</v>
      </c>
      <c r="W79" s="22">
        <v>0.61809603108520672</v>
      </c>
      <c r="X79" s="22">
        <v>4.5037500000000001</v>
      </c>
      <c r="Y79" s="14">
        <f t="shared" ca="1" si="22"/>
        <v>-0.42410006853573362</v>
      </c>
      <c r="Z79" s="14">
        <f t="shared" ca="1" si="23"/>
        <v>-1.6710469463445734</v>
      </c>
      <c r="AA79" s="14">
        <f t="shared" ca="1" si="24"/>
        <v>0.60389803038339374</v>
      </c>
      <c r="AB79" s="14">
        <f t="shared" ca="1" si="25"/>
        <v>1.6798386895980177</v>
      </c>
      <c r="AC79" s="14">
        <f t="shared" ca="1" si="26"/>
        <v>2.1616764240722266</v>
      </c>
      <c r="AD79" s="14">
        <f t="shared" ca="1" si="27"/>
        <v>-0.33919986003278219</v>
      </c>
      <c r="AE79" s="14">
        <f ca="1">U$4*AO79</f>
        <v>1.3622229411863744</v>
      </c>
      <c r="AF79" s="15">
        <f ca="1">AP79*W$4</f>
        <v>-2.9434824557650026</v>
      </c>
      <c r="AG79" s="12">
        <f t="shared" ca="1" si="28"/>
        <v>0.42980675456192108</v>
      </c>
      <c r="AH79" s="14">
        <f t="shared" ca="1" si="29"/>
        <v>0.14133652974996874</v>
      </c>
      <c r="AI79" s="14">
        <f t="shared" ca="1" si="30"/>
        <v>-0.42410006853573362</v>
      </c>
      <c r="AJ79" s="14">
        <f t="shared" ca="1" si="31"/>
        <v>-1.6710469463445734</v>
      </c>
      <c r="AK79" s="14">
        <f t="shared" ca="1" si="32"/>
        <v>0.60389803038339374</v>
      </c>
      <c r="AL79" s="14">
        <f t="shared" ca="1" si="33"/>
        <v>1.6798386895980177</v>
      </c>
      <c r="AM79" s="14">
        <f t="shared" ca="1" si="34"/>
        <v>2.1616764240722266</v>
      </c>
      <c r="AN79" s="14">
        <f t="shared" ca="1" si="35"/>
        <v>-0.33919986003278219</v>
      </c>
      <c r="AO79" s="14">
        <f t="shared" ca="1" si="37"/>
        <v>1.3622229411863744</v>
      </c>
      <c r="AP79" s="14">
        <f ca="1">(AV79-$AP$3)/$AP$4</f>
        <v>-2.9434824557650026</v>
      </c>
      <c r="AQ79" s="22">
        <f t="shared" si="38"/>
        <v>5.4375</v>
      </c>
      <c r="AR79" s="22">
        <f t="shared" si="39"/>
        <v>2.7837499999999999</v>
      </c>
      <c r="AS79" s="22">
        <f ca="1">(U79-AS$3)</f>
        <v>9.1391931045095409E-2</v>
      </c>
      <c r="AT79" s="22">
        <f ca="1">(W79-AT$3)</f>
        <v>-0.18200666065490845</v>
      </c>
      <c r="AU79" s="11">
        <f ca="1">AS79*V79</f>
        <v>0.87587741915343298</v>
      </c>
      <c r="AV79" s="11">
        <f ca="1">AT79*X79</f>
        <v>-0.81971249792454393</v>
      </c>
    </row>
    <row r="80" spans="1:48">
      <c r="A80">
        <v>75</v>
      </c>
      <c r="B80" s="27" t="str">
        <f t="shared" si="36"/>
        <v>Ja Morant</v>
      </c>
      <c r="C80" s="21">
        <v>16.98327476476728</v>
      </c>
      <c r="D80" s="12">
        <f t="shared" ca="1" si="20"/>
        <v>17.383746154265477</v>
      </c>
      <c r="E80" s="12">
        <f t="shared" ca="1" si="21"/>
        <v>17.383746154265477</v>
      </c>
      <c r="F80" s="29">
        <f ca="1">SUM(AI80:AN80,AP80,AO80)+$A$4</f>
        <v>3.2515505598068115</v>
      </c>
      <c r="G80" s="29">
        <f ca="1">SUM(Y80:AF80)+$A$4</f>
        <v>3.2515505598068115</v>
      </c>
      <c r="H80" s="10">
        <v>1</v>
      </c>
      <c r="I80" s="10">
        <v>0</v>
      </c>
      <c r="J80" t="e">
        <f>VLOOKUP(N80,Schedule!#REF!,2,0)</f>
        <v>#REF!</v>
      </c>
      <c r="K80" s="17">
        <v>75</v>
      </c>
      <c r="L80" s="17" t="s">
        <v>135</v>
      </c>
      <c r="M80" s="17" t="s">
        <v>28</v>
      </c>
      <c r="N80" s="17" t="s">
        <v>84</v>
      </c>
      <c r="O80" s="22">
        <v>23.525070422535215</v>
      </c>
      <c r="P80" s="22">
        <v>1.6256338028169015</v>
      </c>
      <c r="Q80" s="22">
        <v>4.4504225352112678</v>
      </c>
      <c r="R80" s="22">
        <v>7.8794366197183106</v>
      </c>
      <c r="S80" s="22">
        <v>0.87549295774647884</v>
      </c>
      <c r="T80" s="22">
        <v>0.21887323943661971</v>
      </c>
      <c r="U80" s="22">
        <v>0.4611049307986782</v>
      </c>
      <c r="V80" s="22">
        <v>17.218591549295773</v>
      </c>
      <c r="W80" s="22">
        <v>0.77699411037591792</v>
      </c>
      <c r="X80" s="22">
        <v>7.7481690140845068</v>
      </c>
      <c r="Y80" s="14">
        <f t="shared" ca="1" si="22"/>
        <v>1.2842361076890825</v>
      </c>
      <c r="Z80" s="14">
        <f t="shared" ca="1" si="23"/>
        <v>-9.7696085947395678E-2</v>
      </c>
      <c r="AA80" s="14">
        <f t="shared" ca="1" si="24"/>
        <v>-0.52570951930863807</v>
      </c>
      <c r="AB80" s="14">
        <f t="shared" ca="1" si="25"/>
        <v>2.0259584104072319</v>
      </c>
      <c r="AC80" s="14">
        <f t="shared" ca="1" si="26"/>
        <v>-0.36314883047693425</v>
      </c>
      <c r="AD80" s="14">
        <f t="shared" ca="1" si="27"/>
        <v>-0.83094168726591389</v>
      </c>
      <c r="AE80" s="14">
        <f ca="1">U$4*AO80</f>
        <v>-0.39820514154860853</v>
      </c>
      <c r="AF80" s="15">
        <f ca="1">AP80*W$4</f>
        <v>-0.64294269374201263</v>
      </c>
      <c r="AG80" s="12">
        <f t="shared" ca="1" si="28"/>
        <v>0.45155055980681147</v>
      </c>
      <c r="AH80" s="14">
        <f t="shared" ca="1" si="29"/>
        <v>0.14848670583318152</v>
      </c>
      <c r="AI80" s="14">
        <f t="shared" ca="1" si="30"/>
        <v>1.2842361076890825</v>
      </c>
      <c r="AJ80" s="14">
        <f t="shared" ca="1" si="31"/>
        <v>-9.7696085947395678E-2</v>
      </c>
      <c r="AK80" s="14">
        <f t="shared" ca="1" si="32"/>
        <v>-0.52570951930863807</v>
      </c>
      <c r="AL80" s="14">
        <f t="shared" ca="1" si="33"/>
        <v>2.0259584104072319</v>
      </c>
      <c r="AM80" s="14">
        <f t="shared" ca="1" si="34"/>
        <v>-0.36314883047693425</v>
      </c>
      <c r="AN80" s="14">
        <f t="shared" ca="1" si="35"/>
        <v>-0.83094168726591389</v>
      </c>
      <c r="AO80" s="14">
        <f t="shared" ca="1" si="37"/>
        <v>-0.39820514154860853</v>
      </c>
      <c r="AP80" s="14">
        <f ca="1">(AV80-$AP$3)/$AP$4</f>
        <v>-0.64294269374201263</v>
      </c>
      <c r="AQ80" s="22">
        <f t="shared" si="38"/>
        <v>7.9395774647887327</v>
      </c>
      <c r="AR80" s="22">
        <f t="shared" si="39"/>
        <v>6.0202816901408447</v>
      </c>
      <c r="AS80" s="22">
        <f ca="1">(U80-AS$3)</f>
        <v>-1.4869774389433765E-2</v>
      </c>
      <c r="AT80" s="22">
        <f ca="1">(W80-AT$3)</f>
        <v>-2.3108581364197245E-2</v>
      </c>
      <c r="AU80" s="11">
        <f ca="1">AS80*V80</f>
        <v>-0.25603657164183896</v>
      </c>
      <c r="AV80" s="11">
        <f ca="1">AT80*X80</f>
        <v>-0.17904919408552378</v>
      </c>
    </row>
    <row r="81" spans="1:48">
      <c r="A81">
        <v>76</v>
      </c>
      <c r="B81" s="27" t="str">
        <f t="shared" si="36"/>
        <v>Kevin Porter</v>
      </c>
      <c r="C81" s="21">
        <v>16.66541373903415</v>
      </c>
      <c r="D81" s="12">
        <f t="shared" ca="1" si="20"/>
        <v>17.064115742531587</v>
      </c>
      <c r="E81" s="12">
        <f t="shared" ca="1" si="21"/>
        <v>17.064115742531587</v>
      </c>
      <c r="F81" s="29">
        <f ca="1">SUM(AI81:AN81,AP81,AO81)+$A$4</f>
        <v>3.19176514675592</v>
      </c>
      <c r="G81" s="29">
        <f ca="1">SUM(Y81:AF81)+$A$4</f>
        <v>3.19176514675592</v>
      </c>
      <c r="H81" s="10">
        <v>1</v>
      </c>
      <c r="I81" s="10">
        <v>0</v>
      </c>
      <c r="J81" t="e">
        <f>VLOOKUP(N81,Schedule!#REF!,2,0)</f>
        <v>#REF!</v>
      </c>
      <c r="K81" s="17">
        <v>76</v>
      </c>
      <c r="L81" s="17" t="s">
        <v>136</v>
      </c>
      <c r="M81" s="17" t="s">
        <v>25</v>
      </c>
      <c r="N81" s="17" t="s">
        <v>100</v>
      </c>
      <c r="O81" s="22">
        <v>19.381014492753621</v>
      </c>
      <c r="P81" s="22">
        <v>2.3078260869565219</v>
      </c>
      <c r="Q81" s="22">
        <v>4.3044927536231885</v>
      </c>
      <c r="R81" s="22">
        <v>8.02536231884058</v>
      </c>
      <c r="S81" s="22">
        <v>1.021449275362319</v>
      </c>
      <c r="T81" s="22">
        <v>0.43768115942028984</v>
      </c>
      <c r="U81" s="22">
        <v>0.43691446310771098</v>
      </c>
      <c r="V81" s="22">
        <v>15.686086956521741</v>
      </c>
      <c r="W81" s="22">
        <v>0.73999617688288521</v>
      </c>
      <c r="X81" s="22">
        <v>4.5489855072463765</v>
      </c>
      <c r="Y81" s="14">
        <f t="shared" ca="1" si="22"/>
        <v>0.56368751549709728</v>
      </c>
      <c r="Z81" s="14">
        <f t="shared" ca="1" si="23"/>
        <v>0.57974571527469509</v>
      </c>
      <c r="AA81" s="14">
        <f t="shared" ca="1" si="24"/>
        <v>-0.5867156840670168</v>
      </c>
      <c r="AB81" s="14">
        <f t="shared" ca="1" si="25"/>
        <v>2.0954386936520919</v>
      </c>
      <c r="AC81" s="14">
        <f t="shared" ca="1" si="26"/>
        <v>0.10287825127660906</v>
      </c>
      <c r="AD81" s="14">
        <f t="shared" ca="1" si="27"/>
        <v>-0.42852449080075777</v>
      </c>
      <c r="AE81" s="14">
        <f ca="1">U$4*AO81</f>
        <v>-0.95291553844794763</v>
      </c>
      <c r="AF81" s="15">
        <f ca="1">AP81*W$4</f>
        <v>-0.98182931562885101</v>
      </c>
      <c r="AG81" s="12">
        <f t="shared" ca="1" si="28"/>
        <v>0.39176514675592011</v>
      </c>
      <c r="AH81" s="14">
        <f t="shared" ca="1" si="29"/>
        <v>0.12882702687142605</v>
      </c>
      <c r="AI81" s="14">
        <f t="shared" ca="1" si="30"/>
        <v>0.56368751549709728</v>
      </c>
      <c r="AJ81" s="14">
        <f t="shared" ca="1" si="31"/>
        <v>0.57974571527469509</v>
      </c>
      <c r="AK81" s="14">
        <f t="shared" ca="1" si="32"/>
        <v>-0.5867156840670168</v>
      </c>
      <c r="AL81" s="14">
        <f t="shared" ca="1" si="33"/>
        <v>2.0954386936520919</v>
      </c>
      <c r="AM81" s="14">
        <f t="shared" ca="1" si="34"/>
        <v>0.10287825127660906</v>
      </c>
      <c r="AN81" s="14">
        <f t="shared" ca="1" si="35"/>
        <v>-0.42852449080075777</v>
      </c>
      <c r="AO81" s="14">
        <f t="shared" ca="1" si="37"/>
        <v>-0.95291553844794763</v>
      </c>
      <c r="AP81" s="14">
        <f ca="1">(AV81-$AP$3)/$AP$4</f>
        <v>-0.98182931562885101</v>
      </c>
      <c r="AQ81" s="22">
        <f t="shared" si="38"/>
        <v>6.853478260869565</v>
      </c>
      <c r="AR81" s="22">
        <f t="shared" si="39"/>
        <v>3.3662318840579708</v>
      </c>
      <c r="AS81" s="22">
        <f ca="1">(U81-AS$3)</f>
        <v>-3.9060242080400986E-2</v>
      </c>
      <c r="AT81" s="22">
        <f ca="1">(W81-AT$3)</f>
        <v>-6.0106514857229953E-2</v>
      </c>
      <c r="AU81" s="11">
        <f ca="1">AS81*V81</f>
        <v>-0.61270235381595961</v>
      </c>
      <c r="AV81" s="11">
        <f ca="1">AT81*X81</f>
        <v>-0.27342366497662807</v>
      </c>
    </row>
    <row r="82" spans="1:48">
      <c r="A82">
        <v>77</v>
      </c>
      <c r="B82" s="27" t="str">
        <f t="shared" si="36"/>
        <v>Buddy Hield</v>
      </c>
      <c r="C82" s="21">
        <v>16.499540508935794</v>
      </c>
      <c r="D82" s="12">
        <f t="shared" ca="1" si="20"/>
        <v>16.852515047539598</v>
      </c>
      <c r="E82" s="12">
        <f t="shared" ca="1" si="21"/>
        <v>16.852515047539598</v>
      </c>
      <c r="F82" s="29">
        <f ca="1">SUM(AI82:AN82,AP82,AO82)+$A$4</f>
        <v>3.1521862002992096</v>
      </c>
      <c r="G82" s="29">
        <f ca="1">SUM(Y82:AF82)+$A$4</f>
        <v>3.1521862002992096</v>
      </c>
      <c r="H82" s="10">
        <v>1</v>
      </c>
      <c r="I82" s="10">
        <v>0</v>
      </c>
      <c r="J82" t="e">
        <f>VLOOKUP(N82,Schedule!#REF!,2,0)</f>
        <v>#REF!</v>
      </c>
      <c r="K82" s="17">
        <v>77</v>
      </c>
      <c r="L82" s="17" t="s">
        <v>137</v>
      </c>
      <c r="M82" s="17" t="s">
        <v>48</v>
      </c>
      <c r="N82" s="17" t="s">
        <v>94</v>
      </c>
      <c r="O82" s="22">
        <v>16.878961038961041</v>
      </c>
      <c r="P82" s="22">
        <v>4.0850649350649348</v>
      </c>
      <c r="Q82" s="22">
        <v>4.6283116883116886</v>
      </c>
      <c r="R82" s="22">
        <v>3.4361038961038961</v>
      </c>
      <c r="S82" s="22">
        <v>0.91168831168831177</v>
      </c>
      <c r="T82" s="22">
        <v>0.42077922077922075</v>
      </c>
      <c r="U82" s="22">
        <v>0.42478000902527074</v>
      </c>
      <c r="V82" s="22">
        <v>13.814025974025975</v>
      </c>
      <c r="W82" s="22">
        <v>0.8509504909128891</v>
      </c>
      <c r="X82" s="22">
        <v>1.2433766233766232</v>
      </c>
      <c r="Y82" s="14">
        <f t="shared" ca="1" si="22"/>
        <v>0.12864244750875217</v>
      </c>
      <c r="Z82" s="14">
        <f t="shared" ca="1" si="23"/>
        <v>2.3446086644106399</v>
      </c>
      <c r="AA82" s="14">
        <f t="shared" ca="1" si="24"/>
        <v>-0.45134269120355702</v>
      </c>
      <c r="AB82" s="14">
        <f t="shared" ca="1" si="25"/>
        <v>-8.9666308506798811E-2</v>
      </c>
      <c r="AC82" s="14">
        <f t="shared" ca="1" si="26"/>
        <v>-0.24757990241623906</v>
      </c>
      <c r="AD82" s="14">
        <f t="shared" ca="1" si="27"/>
        <v>-0.45960942942305594</v>
      </c>
      <c r="AE82" s="14">
        <f ca="1">U$4*AO82</f>
        <v>-1.0998921387680158</v>
      </c>
      <c r="AF82" s="15">
        <f ca="1">AP82*W$4</f>
        <v>0.22702555869748442</v>
      </c>
      <c r="AG82" s="12">
        <f t="shared" ca="1" si="28"/>
        <v>0.35218620029920966</v>
      </c>
      <c r="AH82" s="14">
        <f t="shared" ca="1" si="29"/>
        <v>0.11581198956924862</v>
      </c>
      <c r="AI82" s="14">
        <f t="shared" ca="1" si="30"/>
        <v>0.12864244750875217</v>
      </c>
      <c r="AJ82" s="14">
        <f t="shared" ca="1" si="31"/>
        <v>2.3446086644106399</v>
      </c>
      <c r="AK82" s="14">
        <f t="shared" ca="1" si="32"/>
        <v>-0.45134269120355702</v>
      </c>
      <c r="AL82" s="14">
        <f t="shared" ca="1" si="33"/>
        <v>-8.9666308506798811E-2</v>
      </c>
      <c r="AM82" s="14">
        <f t="shared" ca="1" si="34"/>
        <v>-0.24757990241623906</v>
      </c>
      <c r="AN82" s="14">
        <f t="shared" ca="1" si="35"/>
        <v>-0.45960942942305594</v>
      </c>
      <c r="AO82" s="14">
        <f t="shared" ca="1" si="37"/>
        <v>-1.0998921387680158</v>
      </c>
      <c r="AP82" s="14">
        <f ca="1">(AV82-$AP$3)/$AP$4</f>
        <v>0.22702555869748442</v>
      </c>
      <c r="AQ82" s="22">
        <f t="shared" si="38"/>
        <v>5.8679220779220786</v>
      </c>
      <c r="AR82" s="22">
        <f t="shared" si="39"/>
        <v>1.0580519480519479</v>
      </c>
      <c r="AS82" s="22">
        <f ca="1">(U82-AS$3)</f>
        <v>-5.1194696162841224E-2</v>
      </c>
      <c r="AT82" s="22">
        <f ca="1">(W82-AT$3)</f>
        <v>5.0847799172773933E-2</v>
      </c>
      <c r="AU82" s="11">
        <f ca="1">AS82*V82</f>
        <v>-0.70720486252585657</v>
      </c>
      <c r="AV82" s="11">
        <f ca="1">AT82*X82</f>
        <v>6.3222964841576315E-2</v>
      </c>
    </row>
    <row r="83" spans="1:48">
      <c r="A83">
        <v>78</v>
      </c>
      <c r="B83" s="27" t="str">
        <f t="shared" si="36"/>
        <v>Bogdan Bogdanovic</v>
      </c>
      <c r="C83" s="21">
        <v>15.821018469119652</v>
      </c>
      <c r="D83" s="12">
        <f t="shared" ca="1" si="20"/>
        <v>16.146979360026187</v>
      </c>
      <c r="E83" s="12">
        <f t="shared" ca="1" si="21"/>
        <v>16.146979360026187</v>
      </c>
      <c r="F83" s="29">
        <f ca="1">SUM(AI83:AN83,AP83,AO83)+$A$4</f>
        <v>3.0202189626658527</v>
      </c>
      <c r="G83" s="29">
        <f ca="1">SUM(Y83:AF83)+$A$4</f>
        <v>3.0202189626658527</v>
      </c>
      <c r="H83" s="10">
        <v>1</v>
      </c>
      <c r="I83" s="10">
        <v>0</v>
      </c>
      <c r="J83" t="e">
        <f>VLOOKUP(N83,Schedule!#REF!,2,0)</f>
        <v>#REF!</v>
      </c>
      <c r="K83" s="17">
        <v>78</v>
      </c>
      <c r="L83" s="17" t="s">
        <v>138</v>
      </c>
      <c r="M83" s="17" t="s">
        <v>48</v>
      </c>
      <c r="N83" s="17" t="s">
        <v>61</v>
      </c>
      <c r="O83" s="22">
        <v>16.256911764705883</v>
      </c>
      <c r="P83" s="22">
        <v>3.0030882352941179</v>
      </c>
      <c r="Q83" s="22">
        <v>3.6811764705882353</v>
      </c>
      <c r="R83" s="22">
        <v>3.6811764705882353</v>
      </c>
      <c r="S83" s="22">
        <v>1.1624999999999999</v>
      </c>
      <c r="T83" s="22">
        <v>0.32294117647058823</v>
      </c>
      <c r="U83" s="22">
        <v>0.45137958746316631</v>
      </c>
      <c r="V83" s="22">
        <v>13.175294117647059</v>
      </c>
      <c r="W83" s="22">
        <v>0.86001302204446084</v>
      </c>
      <c r="X83" s="22">
        <v>1.5810294117647059</v>
      </c>
      <c r="Y83" s="14">
        <f t="shared" ca="1" si="22"/>
        <v>2.0483499745172499E-2</v>
      </c>
      <c r="Z83" s="14">
        <f t="shared" ca="1" si="23"/>
        <v>1.2701663679875668</v>
      </c>
      <c r="AA83" s="14">
        <f t="shared" ca="1" si="24"/>
        <v>-0.8472939940294627</v>
      </c>
      <c r="AB83" s="14">
        <f t="shared" ca="1" si="25"/>
        <v>2.7021238602032312E-2</v>
      </c>
      <c r="AC83" s="14">
        <f t="shared" ca="1" si="26"/>
        <v>0.5532421591626161</v>
      </c>
      <c r="AD83" s="14">
        <f t="shared" ca="1" si="27"/>
        <v>-0.63954675299549324</v>
      </c>
      <c r="AE83" s="14">
        <f ca="1">U$4*AO83</f>
        <v>-0.50398090787014616</v>
      </c>
      <c r="AF83" s="15">
        <f ca="1">AP83*W$4</f>
        <v>0.34012735206356692</v>
      </c>
      <c r="AG83" s="12">
        <f t="shared" ca="1" si="28"/>
        <v>0.22021896266585261</v>
      </c>
      <c r="AH83" s="14">
        <f t="shared" ca="1" si="29"/>
        <v>7.2416228079183742E-2</v>
      </c>
      <c r="AI83" s="14">
        <f t="shared" ca="1" si="30"/>
        <v>2.0483499745172499E-2</v>
      </c>
      <c r="AJ83" s="14">
        <f t="shared" ca="1" si="31"/>
        <v>1.2701663679875668</v>
      </c>
      <c r="AK83" s="14">
        <f t="shared" ca="1" si="32"/>
        <v>-0.8472939940294627</v>
      </c>
      <c r="AL83" s="14">
        <f t="shared" ca="1" si="33"/>
        <v>2.7021238602032312E-2</v>
      </c>
      <c r="AM83" s="14">
        <f t="shared" ca="1" si="34"/>
        <v>0.5532421591626161</v>
      </c>
      <c r="AN83" s="14">
        <f t="shared" ca="1" si="35"/>
        <v>-0.63954675299549324</v>
      </c>
      <c r="AO83" s="14">
        <f t="shared" ca="1" si="37"/>
        <v>-0.50398090787014616</v>
      </c>
      <c r="AP83" s="14">
        <f ca="1">(AV83-$AP$3)/$AP$4</f>
        <v>0.34012735206356692</v>
      </c>
      <c r="AQ83" s="22">
        <f t="shared" si="38"/>
        <v>5.9470588235294111</v>
      </c>
      <c r="AR83" s="22">
        <f t="shared" si="39"/>
        <v>1.3597058823529409</v>
      </c>
      <c r="AS83" s="22">
        <f ca="1">(U83-AS$3)</f>
        <v>-2.4595117724945659E-2</v>
      </c>
      <c r="AT83" s="22">
        <f ca="1">(W83-AT$3)</f>
        <v>5.9910330304345671E-2</v>
      </c>
      <c r="AU83" s="11">
        <f ca="1">AS83*V83</f>
        <v>-0.32404790988431348</v>
      </c>
      <c r="AV83" s="11">
        <f ca="1">AT83*X83</f>
        <v>9.4719994279708869E-2</v>
      </c>
    </row>
    <row r="84" spans="1:48">
      <c r="A84">
        <v>79</v>
      </c>
      <c r="B84" s="27" t="str">
        <f t="shared" si="36"/>
        <v>Marcus Smart</v>
      </c>
      <c r="C84" s="21">
        <v>15.290967648253597</v>
      </c>
      <c r="D84" s="12">
        <f t="shared" ca="1" si="20"/>
        <v>15.590546977293734</v>
      </c>
      <c r="E84" s="12">
        <f t="shared" ca="1" si="21"/>
        <v>15.590546977293734</v>
      </c>
      <c r="F84" s="29">
        <f ca="1">SUM(AI84:AN84,AP84,AO84)+$A$4</f>
        <v>2.9161408192373486</v>
      </c>
      <c r="G84" s="29">
        <f ca="1">SUM(Y84:AF84)+$A$4</f>
        <v>2.9161408192373486</v>
      </c>
      <c r="H84" s="10">
        <v>1</v>
      </c>
      <c r="I84" s="10">
        <v>0</v>
      </c>
      <c r="J84" t="e">
        <f>VLOOKUP(N84,Schedule!#REF!,2,0)</f>
        <v>#REF!</v>
      </c>
      <c r="K84" s="17">
        <v>79</v>
      </c>
      <c r="L84" s="17" t="s">
        <v>139</v>
      </c>
      <c r="M84" s="17" t="s">
        <v>25</v>
      </c>
      <c r="N84" s="17" t="s">
        <v>42</v>
      </c>
      <c r="O84" s="22">
        <v>12.350000000000001</v>
      </c>
      <c r="P84" s="22">
        <v>2.015671641791045</v>
      </c>
      <c r="Q84" s="22">
        <v>3.7495522388059701</v>
      </c>
      <c r="R84" s="22">
        <v>6.0410447761194028</v>
      </c>
      <c r="S84" s="22">
        <v>1.5276119402985073</v>
      </c>
      <c r="T84" s="22">
        <v>0.48611940298507461</v>
      </c>
      <c r="U84" s="22">
        <v>0.39706776168522179</v>
      </c>
      <c r="V84" s="22">
        <v>10.068208955223879</v>
      </c>
      <c r="W84" s="22">
        <v>0.80100189132546129</v>
      </c>
      <c r="X84" s="22">
        <v>2.9198507462686565</v>
      </c>
      <c r="Y84" s="14">
        <f t="shared" ca="1" si="22"/>
        <v>-0.6588316011071208</v>
      </c>
      <c r="Z84" s="14">
        <f t="shared" ca="1" si="23"/>
        <v>0.28962570341095117</v>
      </c>
      <c r="AA84" s="14">
        <f t="shared" ca="1" si="24"/>
        <v>-0.81870940124807678</v>
      </c>
      <c r="AB84" s="14">
        <f t="shared" ca="1" si="25"/>
        <v>1.1506363336476935</v>
      </c>
      <c r="AC84" s="14">
        <f t="shared" ca="1" si="26"/>
        <v>1.7190159662172093</v>
      </c>
      <c r="AD84" s="14">
        <f t="shared" ca="1" si="27"/>
        <v>-0.33944004550969237</v>
      </c>
      <c r="AE84" s="14">
        <f ca="1">U$4*AO84</f>
        <v>-1.2355840725938154</v>
      </c>
      <c r="AF84" s="15">
        <f ca="1">AP84*W$4</f>
        <v>9.4279364202002943E-3</v>
      </c>
      <c r="AG84" s="12">
        <f t="shared" ca="1" si="28"/>
        <v>0.1161408192373487</v>
      </c>
      <c r="AH84" s="14">
        <f t="shared" ca="1" si="29"/>
        <v>3.8191443431494186E-2</v>
      </c>
      <c r="AI84" s="14">
        <f t="shared" ca="1" si="30"/>
        <v>-0.6588316011071208</v>
      </c>
      <c r="AJ84" s="14">
        <f t="shared" ca="1" si="31"/>
        <v>0.28962570341095117</v>
      </c>
      <c r="AK84" s="14">
        <f t="shared" ca="1" si="32"/>
        <v>-0.81870940124807678</v>
      </c>
      <c r="AL84" s="14">
        <f t="shared" ca="1" si="33"/>
        <v>1.1506363336476935</v>
      </c>
      <c r="AM84" s="14">
        <f t="shared" ca="1" si="34"/>
        <v>1.7190159662172093</v>
      </c>
      <c r="AN84" s="14">
        <f t="shared" ca="1" si="35"/>
        <v>-0.33944004550969237</v>
      </c>
      <c r="AO84" s="14">
        <f t="shared" ca="1" si="37"/>
        <v>-1.2355840725938154</v>
      </c>
      <c r="AP84" s="14">
        <f ca="1">(AV84-$AP$3)/$AP$4</f>
        <v>9.4279364202002943E-3</v>
      </c>
      <c r="AQ84" s="22">
        <f t="shared" si="38"/>
        <v>3.997761194029851</v>
      </c>
      <c r="AR84" s="22">
        <f t="shared" si="39"/>
        <v>2.3388059701492536</v>
      </c>
      <c r="AS84" s="22">
        <f ca="1">(U84-AS$3)</f>
        <v>-7.8906943502890181E-2</v>
      </c>
      <c r="AT84" s="22">
        <f ca="1">(W84-AT$3)</f>
        <v>8.991995853461221E-4</v>
      </c>
      <c r="AU84" s="11">
        <f ca="1">AS84*V84</f>
        <v>-0.79445159520514363</v>
      </c>
      <c r="AV84" s="11">
        <f ca="1">AT84*X84</f>
        <v>2.6255285803173413E-3</v>
      </c>
    </row>
    <row r="85" spans="1:48">
      <c r="A85">
        <v>80</v>
      </c>
      <c r="B85" s="27" t="str">
        <f t="shared" si="36"/>
        <v>Collin Sexton</v>
      </c>
      <c r="C85" s="21">
        <v>15.254652042284564</v>
      </c>
      <c r="D85" s="12">
        <f t="shared" ca="1" si="20"/>
        <v>15.642872500859198</v>
      </c>
      <c r="E85" s="12">
        <f t="shared" ca="1" si="21"/>
        <v>15.642872500859198</v>
      </c>
      <c r="F85" s="29">
        <f ca="1">SUM(AI85:AN85,AP85,AO85)+$A$4</f>
        <v>2.9259280701516013</v>
      </c>
      <c r="G85" s="29">
        <f ca="1">SUM(Y85:AF85)+$A$4</f>
        <v>2.9259280701516013</v>
      </c>
      <c r="H85" s="10">
        <v>1</v>
      </c>
      <c r="I85" s="10">
        <v>0</v>
      </c>
      <c r="J85" t="e">
        <f>VLOOKUP(N85,Schedule!#REF!,2,0)</f>
        <v>#REF!</v>
      </c>
      <c r="K85" s="17">
        <v>80</v>
      </c>
      <c r="L85" s="17" t="s">
        <v>140</v>
      </c>
      <c r="M85" s="17" t="s">
        <v>25</v>
      </c>
      <c r="N85" s="17" t="s">
        <v>118</v>
      </c>
      <c r="O85" s="22">
        <v>24.467972972972976</v>
      </c>
      <c r="P85" s="22">
        <v>1.6698648648648649</v>
      </c>
      <c r="Q85" s="22">
        <v>3.2812162162162162</v>
      </c>
      <c r="R85" s="22">
        <v>3.5729729729729724</v>
      </c>
      <c r="S85" s="22">
        <v>1.0937837837837838</v>
      </c>
      <c r="T85" s="22">
        <v>0.14581081081081079</v>
      </c>
      <c r="U85" s="22">
        <v>0.4714354506851115</v>
      </c>
      <c r="V85" s="22">
        <v>18.521351351351349</v>
      </c>
      <c r="W85" s="22">
        <v>0.82298984760991467</v>
      </c>
      <c r="X85" s="22">
        <v>6.482297297297297</v>
      </c>
      <c r="Y85" s="14">
        <f t="shared" ca="1" si="22"/>
        <v>1.4481834860073979</v>
      </c>
      <c r="Z85" s="14">
        <f t="shared" ca="1" si="23"/>
        <v>-5.3773029295518054E-2</v>
      </c>
      <c r="AA85" s="14">
        <f t="shared" ca="1" si="24"/>
        <v>-1.0144979801486034</v>
      </c>
      <c r="AB85" s="14">
        <f t="shared" ca="1" si="25"/>
        <v>-2.4498197025915176E-2</v>
      </c>
      <c r="AC85" s="14">
        <f t="shared" ca="1" si="26"/>
        <v>0.33383666692023545</v>
      </c>
      <c r="AD85" s="14">
        <f t="shared" ca="1" si="27"/>
        <v>-0.96531332105653656</v>
      </c>
      <c r="AE85" s="14">
        <f ca="1">U$4*AO85</f>
        <v>-0.13075613156026789</v>
      </c>
      <c r="AF85" s="15">
        <f ca="1">AP85*W$4</f>
        <v>0.53274657631080913</v>
      </c>
      <c r="AG85" s="12">
        <f t="shared" ca="1" si="28"/>
        <v>0.12592807015160135</v>
      </c>
      <c r="AH85" s="14">
        <f t="shared" ca="1" si="29"/>
        <v>4.1409857440419154E-2</v>
      </c>
      <c r="AI85" s="14">
        <f t="shared" ca="1" si="30"/>
        <v>1.4481834860073979</v>
      </c>
      <c r="AJ85" s="14">
        <f t="shared" ca="1" si="31"/>
        <v>-5.3773029295518054E-2</v>
      </c>
      <c r="AK85" s="14">
        <f t="shared" ca="1" si="32"/>
        <v>-1.0144979801486034</v>
      </c>
      <c r="AL85" s="14">
        <f t="shared" ca="1" si="33"/>
        <v>-2.4498197025915176E-2</v>
      </c>
      <c r="AM85" s="14">
        <f t="shared" ca="1" si="34"/>
        <v>0.33383666692023545</v>
      </c>
      <c r="AN85" s="14">
        <f t="shared" ca="1" si="35"/>
        <v>-0.96531332105653656</v>
      </c>
      <c r="AO85" s="14">
        <f t="shared" ca="1" si="37"/>
        <v>-0.13075613156026789</v>
      </c>
      <c r="AP85" s="14">
        <f ca="1">(AV85-$AP$3)/$AP$4</f>
        <v>0.53274657631080913</v>
      </c>
      <c r="AQ85" s="22">
        <f t="shared" si="38"/>
        <v>8.7316216216216223</v>
      </c>
      <c r="AR85" s="22">
        <f t="shared" si="39"/>
        <v>5.3348648648648638</v>
      </c>
      <c r="AS85" s="22">
        <f ca="1">(U85-AS$3)</f>
        <v>-4.5392545030004672E-3</v>
      </c>
      <c r="AT85" s="22">
        <f ca="1">(W85-AT$3)</f>
        <v>2.2887155869799503E-2</v>
      </c>
      <c r="AU85" s="11">
        <f ca="1">AS85*V85</f>
        <v>-8.4073127523275393E-2</v>
      </c>
      <c r="AV85" s="11">
        <f ca="1">AT85*X85</f>
        <v>0.14836134863762329</v>
      </c>
    </row>
    <row r="86" spans="1:48">
      <c r="A86">
        <v>81</v>
      </c>
      <c r="B86" s="27" t="str">
        <f t="shared" si="36"/>
        <v>Malcolm Brogdon</v>
      </c>
      <c r="C86" s="21">
        <v>14.946350625645348</v>
      </c>
      <c r="D86" s="12">
        <f t="shared" ca="1" si="20"/>
        <v>15.221076090969976</v>
      </c>
      <c r="E86" s="12">
        <f t="shared" ca="1" si="21"/>
        <v>15.221076090969976</v>
      </c>
      <c r="F86" s="29">
        <f ca="1">SUM(AI86:AN86,AP86,AO86)+$A$4</f>
        <v>2.8470329723672103</v>
      </c>
      <c r="G86" s="29">
        <f ca="1">SUM(Y86:AF86)+$A$4</f>
        <v>2.8470329723672103</v>
      </c>
      <c r="H86" s="10">
        <v>1</v>
      </c>
      <c r="I86" s="10">
        <v>0</v>
      </c>
      <c r="J86" t="e">
        <f>VLOOKUP(N86,Schedule!#REF!,2,0)</f>
        <v>#REF!</v>
      </c>
      <c r="K86" s="17">
        <v>81</v>
      </c>
      <c r="L86" s="17" t="s">
        <v>141</v>
      </c>
      <c r="M86" s="17" t="s">
        <v>25</v>
      </c>
      <c r="N86" s="17" t="s">
        <v>75</v>
      </c>
      <c r="O86" s="22">
        <v>19.796764705882349</v>
      </c>
      <c r="P86" s="22">
        <v>2.4588235294117644</v>
      </c>
      <c r="Q86" s="22">
        <v>5.4161764705882351</v>
      </c>
      <c r="R86" s="22">
        <v>5.2772058823529413</v>
      </c>
      <c r="S86" s="22">
        <v>0.625</v>
      </c>
      <c r="T86" s="22">
        <v>0.27779411764705886</v>
      </c>
      <c r="U86" s="22">
        <v>0.44261868437584134</v>
      </c>
      <c r="V86" s="22">
        <v>16.386764705882353</v>
      </c>
      <c r="W86" s="22">
        <v>0.86400143581460043</v>
      </c>
      <c r="X86" s="22">
        <v>3.2774999999999999</v>
      </c>
      <c r="Y86" s="14">
        <f t="shared" ca="1" si="22"/>
        <v>0.63597617082642122</v>
      </c>
      <c r="Z86" s="14">
        <f t="shared" ca="1" si="23"/>
        <v>0.7296916788615142</v>
      </c>
      <c r="AA86" s="14">
        <f t="shared" ca="1" si="24"/>
        <v>-0.12197463355401791</v>
      </c>
      <c r="AB86" s="14">
        <f t="shared" ca="1" si="25"/>
        <v>0.78694616110402049</v>
      </c>
      <c r="AC86" s="14">
        <f t="shared" ca="1" si="26"/>
        <v>-1.1629532103439153</v>
      </c>
      <c r="AD86" s="14">
        <f t="shared" ca="1" si="27"/>
        <v>-0.72257826685371229</v>
      </c>
      <c r="AE86" s="14">
        <f ca="1">U$4*AO86</f>
        <v>-0.85010449762903884</v>
      </c>
      <c r="AF86" s="15">
        <f ca="1">AP86*W$4</f>
        <v>0.75202956995593917</v>
      </c>
      <c r="AG86" s="12">
        <f t="shared" ca="1" si="28"/>
        <v>4.7032972367210379E-2</v>
      </c>
      <c r="AH86" s="14">
        <f t="shared" ca="1" si="29"/>
        <v>1.5466199699405927E-2</v>
      </c>
      <c r="AI86" s="14">
        <f t="shared" ca="1" si="30"/>
        <v>0.63597617082642122</v>
      </c>
      <c r="AJ86" s="14">
        <f t="shared" ca="1" si="31"/>
        <v>0.7296916788615142</v>
      </c>
      <c r="AK86" s="14">
        <f t="shared" ca="1" si="32"/>
        <v>-0.12197463355401791</v>
      </c>
      <c r="AL86" s="14">
        <f t="shared" ca="1" si="33"/>
        <v>0.78694616110402049</v>
      </c>
      <c r="AM86" s="14">
        <f t="shared" ca="1" si="34"/>
        <v>-1.1629532103439153</v>
      </c>
      <c r="AN86" s="14">
        <f t="shared" ca="1" si="35"/>
        <v>-0.72257826685371229</v>
      </c>
      <c r="AO86" s="14">
        <f t="shared" ca="1" si="37"/>
        <v>-0.85010449762903884</v>
      </c>
      <c r="AP86" s="14">
        <f ca="1">(AV86-$AP$3)/$AP$4</f>
        <v>0.75202956995593917</v>
      </c>
      <c r="AQ86" s="22">
        <f t="shared" si="38"/>
        <v>7.2530882352941175</v>
      </c>
      <c r="AR86" s="22">
        <f t="shared" si="39"/>
        <v>2.8317647058823527</v>
      </c>
      <c r="AS86" s="22">
        <f ca="1">(U86-AS$3)</f>
        <v>-3.3356020812270626E-2</v>
      </c>
      <c r="AT86" s="22">
        <f ca="1">(W86-AT$3)</f>
        <v>6.3898744074485259E-2</v>
      </c>
      <c r="AU86" s="11">
        <f ca="1">AS86*V86</f>
        <v>-0.54659726457519353</v>
      </c>
      <c r="AV86" s="11">
        <f ca="1">AT86*X86</f>
        <v>0.20942813370412541</v>
      </c>
    </row>
    <row r="87" spans="1:48">
      <c r="A87">
        <v>82</v>
      </c>
      <c r="B87" s="27" t="str">
        <f t="shared" si="36"/>
        <v>Norman Powell</v>
      </c>
      <c r="C87" s="21">
        <v>14.782772916364651</v>
      </c>
      <c r="D87" s="12">
        <f t="shared" ca="1" si="20"/>
        <v>15.041983213425084</v>
      </c>
      <c r="E87" s="12">
        <f t="shared" ca="1" si="21"/>
        <v>15.041983213425084</v>
      </c>
      <c r="F87" s="29">
        <f ca="1">SUM(AI87:AN87,AP87,AO87)+$A$4</f>
        <v>2.8135344651369021</v>
      </c>
      <c r="G87" s="29">
        <f ca="1">SUM(Y87:AF87)+$A$4</f>
        <v>2.8135344651369021</v>
      </c>
      <c r="H87" s="10">
        <v>1</v>
      </c>
      <c r="I87" s="10">
        <v>0</v>
      </c>
      <c r="J87" t="e">
        <f>VLOOKUP(N87,Schedule!#REF!,2,0)</f>
        <v>#REF!</v>
      </c>
      <c r="K87" s="17">
        <v>82</v>
      </c>
      <c r="L87" s="17" t="s">
        <v>142</v>
      </c>
      <c r="M87" s="17" t="s">
        <v>48</v>
      </c>
      <c r="N87" s="17" t="s">
        <v>35</v>
      </c>
      <c r="O87" s="22">
        <v>17.912000000000003</v>
      </c>
      <c r="P87" s="22">
        <v>2.2466666666666666</v>
      </c>
      <c r="Q87" s="22">
        <v>3.8380000000000005</v>
      </c>
      <c r="R87" s="22">
        <v>1.8853333333333333</v>
      </c>
      <c r="S87" s="22">
        <v>1.1446666666666665</v>
      </c>
      <c r="T87" s="22">
        <v>0.33666666666666667</v>
      </c>
      <c r="U87" s="22">
        <v>0.47209168701647825</v>
      </c>
      <c r="V87" s="22">
        <v>12.994933333333334</v>
      </c>
      <c r="W87" s="22">
        <v>0.87099863201094396</v>
      </c>
      <c r="X87" s="22">
        <v>3.8986666666666663</v>
      </c>
      <c r="Y87" s="14">
        <f t="shared" ca="1" si="22"/>
        <v>0.3082623130869962</v>
      </c>
      <c r="Z87" s="14">
        <f t="shared" ca="1" si="23"/>
        <v>0.51901218192036758</v>
      </c>
      <c r="AA87" s="14">
        <f t="shared" ca="1" si="24"/>
        <v>-0.78173368160269407</v>
      </c>
      <c r="AB87" s="14">
        <f t="shared" ca="1" si="25"/>
        <v>-0.82804192429746815</v>
      </c>
      <c r="AC87" s="14">
        <f t="shared" ca="1" si="26"/>
        <v>0.49630172364720548</v>
      </c>
      <c r="AD87" s="14">
        <f t="shared" ca="1" si="27"/>
        <v>-0.61430373032415631</v>
      </c>
      <c r="AE87" s="14">
        <f ca="1">U$4*AO87</f>
        <v>-7.8478074473323708E-2</v>
      </c>
      <c r="AF87" s="15">
        <f ca="1">AP87*W$4</f>
        <v>0.99251565717997536</v>
      </c>
      <c r="AG87" s="12">
        <f t="shared" ca="1" si="28"/>
        <v>1.3534465136902485E-2</v>
      </c>
      <c r="AH87" s="14">
        <f t="shared" ca="1" si="29"/>
        <v>4.4506381395100292E-3</v>
      </c>
      <c r="AI87" s="14">
        <f t="shared" ca="1" si="30"/>
        <v>0.3082623130869962</v>
      </c>
      <c r="AJ87" s="14">
        <f t="shared" ca="1" si="31"/>
        <v>0.51901218192036758</v>
      </c>
      <c r="AK87" s="14">
        <f t="shared" ca="1" si="32"/>
        <v>-0.78173368160269407</v>
      </c>
      <c r="AL87" s="14">
        <f t="shared" ca="1" si="33"/>
        <v>-0.82804192429746815</v>
      </c>
      <c r="AM87" s="14">
        <f t="shared" ca="1" si="34"/>
        <v>0.49630172364720548</v>
      </c>
      <c r="AN87" s="14">
        <f t="shared" ca="1" si="35"/>
        <v>-0.61430373032415631</v>
      </c>
      <c r="AO87" s="14">
        <f t="shared" ca="1" si="37"/>
        <v>-7.8478074473323708E-2</v>
      </c>
      <c r="AP87" s="14">
        <f ca="1">(AV87-$AP$3)/$AP$4</f>
        <v>0.99251565717997536</v>
      </c>
      <c r="AQ87" s="22">
        <f t="shared" si="38"/>
        <v>6.1348000000000003</v>
      </c>
      <c r="AR87" s="22">
        <f t="shared" si="39"/>
        <v>3.3957333333333333</v>
      </c>
      <c r="AS87" s="22">
        <f ca="1">(U87-AS$3)</f>
        <v>-3.8830181716337231E-3</v>
      </c>
      <c r="AT87" s="22">
        <f ca="1">(W87-AT$3)</f>
        <v>7.0895940270828794E-2</v>
      </c>
      <c r="AU87" s="11">
        <f ca="1">AS87*V87</f>
        <v>-5.0459562272502125E-2</v>
      </c>
      <c r="AV87" s="11">
        <f ca="1">AT87*X87</f>
        <v>0.27639963913587118</v>
      </c>
    </row>
    <row r="88" spans="1:48">
      <c r="A88">
        <v>83</v>
      </c>
      <c r="B88" s="27" t="str">
        <f t="shared" si="36"/>
        <v>Kyle Anderson</v>
      </c>
      <c r="C88" s="21">
        <v>13.953713378648109</v>
      </c>
      <c r="D88" s="12">
        <f t="shared" ca="1" si="20"/>
        <v>14.078821044400581</v>
      </c>
      <c r="E88" s="12">
        <f t="shared" ca="1" si="21"/>
        <v>14.078821044400581</v>
      </c>
      <c r="F88" s="29">
        <f ca="1">SUM(AI88:AN88,AP88,AO88)+$A$4</f>
        <v>2.633379367260722</v>
      </c>
      <c r="G88" s="29">
        <f ca="1">SUM(Y88:AF88)+$A$4</f>
        <v>2.633379367260722</v>
      </c>
      <c r="H88" s="10">
        <v>1</v>
      </c>
      <c r="I88" s="10">
        <v>0</v>
      </c>
      <c r="J88" t="e">
        <f>VLOOKUP(N88,Schedule!#REF!,2,0)</f>
        <v>#REF!</v>
      </c>
      <c r="K88" s="17">
        <v>83</v>
      </c>
      <c r="L88" s="17" t="s">
        <v>143</v>
      </c>
      <c r="M88" s="17" t="s">
        <v>33</v>
      </c>
      <c r="N88" s="17" t="s">
        <v>84</v>
      </c>
      <c r="O88" s="22">
        <v>12.001923076923077</v>
      </c>
      <c r="P88" s="22">
        <v>1.3078205128205129</v>
      </c>
      <c r="Q88" s="22">
        <v>5.6478205128205134</v>
      </c>
      <c r="R88" s="22">
        <v>3.5448717948717947</v>
      </c>
      <c r="S88" s="22">
        <v>1.2617948717948717</v>
      </c>
      <c r="T88" s="22">
        <v>0.96128205128205135</v>
      </c>
      <c r="U88" s="22">
        <v>0.46499204998744731</v>
      </c>
      <c r="V88" s="22">
        <v>9.192051282051283</v>
      </c>
      <c r="W88" s="22">
        <v>0.77802054762679562</v>
      </c>
      <c r="X88" s="22">
        <v>2.7578205128205129</v>
      </c>
      <c r="Y88" s="14">
        <f t="shared" ca="1" si="22"/>
        <v>-0.71935354896384629</v>
      </c>
      <c r="Z88" s="14">
        <f t="shared" ca="1" si="23"/>
        <v>-0.41329626588641116</v>
      </c>
      <c r="AA88" s="14">
        <f t="shared" ca="1" si="24"/>
        <v>-2.5135493167929696E-2</v>
      </c>
      <c r="AB88" s="14">
        <f t="shared" ca="1" si="25"/>
        <v>-3.7878141927519704E-2</v>
      </c>
      <c r="AC88" s="14">
        <f t="shared" ca="1" si="26"/>
        <v>0.87028290184187906</v>
      </c>
      <c r="AD88" s="14">
        <f t="shared" ca="1" si="27"/>
        <v>0.53444797831914737</v>
      </c>
      <c r="AE88" s="14">
        <f ca="1">U$4*AO88</f>
        <v>-0.15700903621309939</v>
      </c>
      <c r="AF88" s="15">
        <f ca="1">AP88*W$4</f>
        <v>-0.21867902674149775</v>
      </c>
      <c r="AG88" s="12">
        <f t="shared" ca="1" si="28"/>
        <v>-0.16662063273927777</v>
      </c>
      <c r="AH88" s="14">
        <f t="shared" ca="1" si="29"/>
        <v>-5.4791093360353406E-2</v>
      </c>
      <c r="AI88" s="14">
        <f t="shared" ca="1" si="30"/>
        <v>-0.71935354896384629</v>
      </c>
      <c r="AJ88" s="14">
        <f t="shared" ca="1" si="31"/>
        <v>-0.41329626588641116</v>
      </c>
      <c r="AK88" s="14">
        <f t="shared" ca="1" si="32"/>
        <v>-2.5135493167929696E-2</v>
      </c>
      <c r="AL88" s="14">
        <f t="shared" ca="1" si="33"/>
        <v>-3.7878141927519704E-2</v>
      </c>
      <c r="AM88" s="14">
        <f t="shared" ca="1" si="34"/>
        <v>0.87028290184187906</v>
      </c>
      <c r="AN88" s="14">
        <f t="shared" ca="1" si="35"/>
        <v>0.53444797831914737</v>
      </c>
      <c r="AO88" s="14">
        <f t="shared" ca="1" si="37"/>
        <v>-0.15700903621309939</v>
      </c>
      <c r="AP88" s="14">
        <f ca="1">(AV88-$AP$3)/$AP$4</f>
        <v>-0.21867902674149775</v>
      </c>
      <c r="AQ88" s="22">
        <f t="shared" si="38"/>
        <v>4.2742307692307691</v>
      </c>
      <c r="AR88" s="22">
        <f t="shared" si="39"/>
        <v>2.1456410256410257</v>
      </c>
      <c r="AS88" s="22">
        <f ca="1">(U88-AS$3)</f>
        <v>-1.0982655200664659E-2</v>
      </c>
      <c r="AT88" s="22">
        <f ca="1">(W88-AT$3)</f>
        <v>-2.2082144113319546E-2</v>
      </c>
      <c r="AU88" s="11">
        <f ca="1">AS88*V88</f>
        <v>-0.10095312981759677</v>
      </c>
      <c r="AV88" s="11">
        <f ca="1">AT88*X88</f>
        <v>-6.0898590002771383E-2</v>
      </c>
    </row>
    <row r="89" spans="1:48">
      <c r="A89">
        <v>84</v>
      </c>
      <c r="B89" s="27" t="str">
        <f t="shared" si="36"/>
        <v>Robert Covington</v>
      </c>
      <c r="C89" s="21">
        <v>13.603175775338892</v>
      </c>
      <c r="D89" s="12">
        <f t="shared" ca="1" si="20"/>
        <v>13.689869965817692</v>
      </c>
      <c r="E89" s="12">
        <f t="shared" ca="1" si="21"/>
        <v>13.689869965817692</v>
      </c>
      <c r="F89" s="29">
        <f ca="1">SUM(AI89:AN89,AP89,AO89)+$A$4</f>
        <v>2.5606278391332054</v>
      </c>
      <c r="G89" s="29">
        <f ca="1">SUM(Y89:AF89)+$A$4</f>
        <v>2.5606278391332054</v>
      </c>
      <c r="H89" s="10">
        <v>1</v>
      </c>
      <c r="I89" s="10">
        <v>0</v>
      </c>
      <c r="J89" t="e">
        <f>VLOOKUP(N89,Schedule!#REF!,2,0)</f>
        <v>#REF!</v>
      </c>
      <c r="K89" s="17">
        <v>84</v>
      </c>
      <c r="L89" s="17" t="s">
        <v>144</v>
      </c>
      <c r="M89" s="17" t="s">
        <v>33</v>
      </c>
      <c r="N89" s="17" t="s">
        <v>35</v>
      </c>
      <c r="O89" s="22">
        <v>8.6431578947368415</v>
      </c>
      <c r="P89" s="22">
        <v>1.8790789473684211</v>
      </c>
      <c r="Q89" s="22">
        <v>6.733289473684211</v>
      </c>
      <c r="R89" s="22">
        <v>1.4139473684210526</v>
      </c>
      <c r="S89" s="22">
        <v>1.4139473684210526</v>
      </c>
      <c r="T89" s="22">
        <v>1.1446052631578947</v>
      </c>
      <c r="U89" s="22">
        <v>0.41983028137561412</v>
      </c>
      <c r="V89" s="22">
        <v>7.0705263157894738</v>
      </c>
      <c r="W89" s="22">
        <v>0.78002481389578171</v>
      </c>
      <c r="X89" s="22">
        <v>1.0605263157894735</v>
      </c>
      <c r="Y89" s="14">
        <f t="shared" ca="1" si="22"/>
        <v>-1.3033595480468025</v>
      </c>
      <c r="Z89" s="14">
        <f t="shared" ca="1" si="23"/>
        <v>0.15398417961367725</v>
      </c>
      <c r="AA89" s="14">
        <f t="shared" ca="1" si="24"/>
        <v>0.42864643911426215</v>
      </c>
      <c r="AB89" s="14">
        <f t="shared" ca="1" si="25"/>
        <v>-1.0524851207786743</v>
      </c>
      <c r="AC89" s="14">
        <f t="shared" ca="1" si="26"/>
        <v>1.3560938975045951</v>
      </c>
      <c r="AD89" s="14">
        <f t="shared" ca="1" si="27"/>
        <v>0.8716040235645407</v>
      </c>
      <c r="AE89" s="14">
        <f ca="1">U$4*AO89</f>
        <v>-0.61739517649238818</v>
      </c>
      <c r="AF89" s="15">
        <f ca="1">AP89*W$4</f>
        <v>-7.6460855346004455E-2</v>
      </c>
      <c r="AG89" s="12">
        <f t="shared" ca="1" si="28"/>
        <v>-0.23937216086679436</v>
      </c>
      <c r="AH89" s="14">
        <f t="shared" ca="1" si="29"/>
        <v>-7.871451571333779E-2</v>
      </c>
      <c r="AI89" s="14">
        <f t="shared" ca="1" si="30"/>
        <v>-1.3033595480468025</v>
      </c>
      <c r="AJ89" s="14">
        <f t="shared" ca="1" si="31"/>
        <v>0.15398417961367725</v>
      </c>
      <c r="AK89" s="14">
        <f t="shared" ca="1" si="32"/>
        <v>0.42864643911426215</v>
      </c>
      <c r="AL89" s="14">
        <f t="shared" ca="1" si="33"/>
        <v>-1.0524851207786743</v>
      </c>
      <c r="AM89" s="14">
        <f t="shared" ca="1" si="34"/>
        <v>1.3560938975045951</v>
      </c>
      <c r="AN89" s="14">
        <f t="shared" ca="1" si="35"/>
        <v>0.8716040235645407</v>
      </c>
      <c r="AO89" s="14">
        <f t="shared" ca="1" si="37"/>
        <v>-0.61739517649238818</v>
      </c>
      <c r="AP89" s="14">
        <f ca="1">(AV89-$AP$3)/$AP$4</f>
        <v>-7.6460855346004455E-2</v>
      </c>
      <c r="AQ89" s="22">
        <f t="shared" si="38"/>
        <v>2.9684210526315788</v>
      </c>
      <c r="AR89" s="22">
        <f t="shared" si="39"/>
        <v>0.82723684210526316</v>
      </c>
      <c r="AS89" s="22">
        <f ca="1">(U89-AS$3)</f>
        <v>-5.6144423812497846E-2</v>
      </c>
      <c r="AT89" s="22">
        <f ca="1">(W89-AT$3)</f>
        <v>-2.0077877844333458E-2</v>
      </c>
      <c r="AU89" s="11">
        <f ca="1">AS89*V89</f>
        <v>-0.39697062605110317</v>
      </c>
      <c r="AV89" s="11">
        <f ca="1">AT89*X89</f>
        <v>-2.1293117819122059E-2</v>
      </c>
    </row>
    <row r="90" spans="1:48">
      <c r="A90">
        <v>85</v>
      </c>
      <c r="B90" s="27" t="str">
        <f t="shared" si="36"/>
        <v>Kelly Olynyk</v>
      </c>
      <c r="C90" s="21">
        <v>12.703536886664159</v>
      </c>
      <c r="D90" s="12">
        <f t="shared" ca="1" si="20"/>
        <v>12.808853623533693</v>
      </c>
      <c r="E90" s="12">
        <f t="shared" ca="1" si="21"/>
        <v>12.808853623533693</v>
      </c>
      <c r="F90" s="29">
        <f ca="1">SUM(AI90:AN90,AP90,AO90)+$A$4</f>
        <v>2.3958377440909131</v>
      </c>
      <c r="G90" s="29">
        <f ca="1">SUM(Y90:AF90)+$A$4</f>
        <v>2.3958377440909131</v>
      </c>
      <c r="H90" s="10">
        <v>1</v>
      </c>
      <c r="I90" s="10">
        <v>0</v>
      </c>
      <c r="J90" t="e">
        <f>VLOOKUP(N90,Schedule!#REF!,2,0)</f>
        <v>#REF!</v>
      </c>
      <c r="K90" s="17">
        <v>85</v>
      </c>
      <c r="L90" s="17" t="s">
        <v>145</v>
      </c>
      <c r="M90" s="17" t="s">
        <v>63</v>
      </c>
      <c r="N90" s="17" t="s">
        <v>115</v>
      </c>
      <c r="O90" s="22">
        <v>13.678026315789474</v>
      </c>
      <c r="P90" s="22">
        <v>1.9453947368421052</v>
      </c>
      <c r="Q90" s="22">
        <v>6.1875</v>
      </c>
      <c r="R90" s="22">
        <v>2.4750000000000001</v>
      </c>
      <c r="S90" s="22">
        <v>1.0125</v>
      </c>
      <c r="T90" s="22">
        <v>0.50618421052631579</v>
      </c>
      <c r="U90" s="22">
        <v>0.48009090667446369</v>
      </c>
      <c r="V90" s="22">
        <v>9.900263157894738</v>
      </c>
      <c r="W90" s="22">
        <v>0.83298055623923206</v>
      </c>
      <c r="X90" s="22">
        <v>2.6730263157894738</v>
      </c>
      <c r="Y90" s="14">
        <f t="shared" ca="1" si="22"/>
        <v>-0.4279207474771976</v>
      </c>
      <c r="Z90" s="14">
        <f t="shared" ca="1" si="23"/>
        <v>0.21983817549575757</v>
      </c>
      <c r="AA90" s="14">
        <f t="shared" ca="1" si="24"/>
        <v>0.20047832844748312</v>
      </c>
      <c r="AB90" s="14">
        <f t="shared" ca="1" si="25"/>
        <v>-0.54728118601432318</v>
      </c>
      <c r="AC90" s="14">
        <f t="shared" ca="1" si="26"/>
        <v>7.4303916509630766E-2</v>
      </c>
      <c r="AD90" s="14">
        <f t="shared" ca="1" si="27"/>
        <v>-0.30253816554592411</v>
      </c>
      <c r="AE90" s="14">
        <f ca="1">U$4*AO90</f>
        <v>6.3379414634788064E-2</v>
      </c>
      <c r="AF90" s="15">
        <f ca="1">AP90*W$4</f>
        <v>0.31557800804069869</v>
      </c>
      <c r="AG90" s="12">
        <f t="shared" ca="1" si="28"/>
        <v>-0.40416225590908683</v>
      </c>
      <c r="AH90" s="14">
        <f t="shared" ca="1" si="29"/>
        <v>-0.13290365984203822</v>
      </c>
      <c r="AI90" s="14">
        <f t="shared" ca="1" si="30"/>
        <v>-0.4279207474771976</v>
      </c>
      <c r="AJ90" s="14">
        <f t="shared" ca="1" si="31"/>
        <v>0.21983817549575757</v>
      </c>
      <c r="AK90" s="14">
        <f t="shared" ca="1" si="32"/>
        <v>0.20047832844748312</v>
      </c>
      <c r="AL90" s="14">
        <f t="shared" ca="1" si="33"/>
        <v>-0.54728118601432318</v>
      </c>
      <c r="AM90" s="14">
        <f t="shared" ca="1" si="34"/>
        <v>7.4303916509630766E-2</v>
      </c>
      <c r="AN90" s="14">
        <f t="shared" ca="1" si="35"/>
        <v>-0.30253816554592411</v>
      </c>
      <c r="AO90" s="14">
        <f t="shared" ca="1" si="37"/>
        <v>6.3379414634788064E-2</v>
      </c>
      <c r="AP90" s="14">
        <f ca="1">(AV90-$AP$3)/$AP$4</f>
        <v>0.31557800804069869</v>
      </c>
      <c r="AQ90" s="22">
        <f t="shared" si="38"/>
        <v>4.7530263157894739</v>
      </c>
      <c r="AR90" s="22">
        <f t="shared" si="39"/>
        <v>2.226578947368421</v>
      </c>
      <c r="AS90" s="22">
        <f ca="1">(U90-AS$3)</f>
        <v>4.1162014863517227E-3</v>
      </c>
      <c r="AT90" s="22">
        <f ca="1">(W90-AT$3)</f>
        <v>3.2877864499116893E-2</v>
      </c>
      <c r="AU90" s="11">
        <f ca="1">AS90*V90</f>
        <v>4.0751477925799522E-2</v>
      </c>
      <c r="AV90" s="11">
        <f ca="1">AT90*X90</f>
        <v>8.7883397013099968E-2</v>
      </c>
    </row>
    <row r="91" spans="1:48">
      <c r="A91">
        <v>86</v>
      </c>
      <c r="B91" s="27" t="str">
        <f t="shared" si="36"/>
        <v>PJ Washington</v>
      </c>
      <c r="C91" s="21">
        <v>12.192240661771709</v>
      </c>
      <c r="D91" s="12">
        <f t="shared" ca="1" si="20"/>
        <v>12.290748071016688</v>
      </c>
      <c r="E91" s="12">
        <f t="shared" ca="1" si="21"/>
        <v>12.290748071016688</v>
      </c>
      <c r="F91" s="29">
        <f ca="1">SUM(AI91:AN91,AP91,AO91)+$A$4</f>
        <v>2.2989284597297677</v>
      </c>
      <c r="G91" s="29">
        <f ca="1">SUM(Y91:AF91)+$A$4</f>
        <v>2.2989284597297677</v>
      </c>
      <c r="H91" s="10">
        <v>1</v>
      </c>
      <c r="I91" s="10">
        <v>0</v>
      </c>
      <c r="J91" t="e">
        <f>VLOOKUP(N91,Schedule!#REF!,2,0)</f>
        <v>#REF!</v>
      </c>
      <c r="K91" s="17">
        <v>86</v>
      </c>
      <c r="L91" s="17" t="s">
        <v>146</v>
      </c>
      <c r="M91" s="17" t="s">
        <v>45</v>
      </c>
      <c r="N91" s="17" t="s">
        <v>65</v>
      </c>
      <c r="O91" s="22">
        <v>12.753648648648648</v>
      </c>
      <c r="P91" s="22">
        <v>1.7231081081081081</v>
      </c>
      <c r="Q91" s="22">
        <v>6.25</v>
      </c>
      <c r="R91" s="22">
        <v>2.125</v>
      </c>
      <c r="S91" s="22">
        <v>1.125</v>
      </c>
      <c r="T91" s="22">
        <v>1.125</v>
      </c>
      <c r="U91" s="22">
        <v>0.45301992332348689</v>
      </c>
      <c r="V91" s="22">
        <v>10.750675675675675</v>
      </c>
      <c r="W91" s="22">
        <v>0.74999999999999989</v>
      </c>
      <c r="X91" s="22">
        <v>1.72</v>
      </c>
      <c r="Y91" s="14">
        <f t="shared" ca="1" si="22"/>
        <v>-0.58864710783477547</v>
      </c>
      <c r="Z91" s="14">
        <f t="shared" ca="1" si="23"/>
        <v>-9.0054826020551397E-4</v>
      </c>
      <c r="AA91" s="14">
        <f t="shared" ca="1" si="24"/>
        <v>0.22660654748478301</v>
      </c>
      <c r="AB91" s="14">
        <f t="shared" ca="1" si="25"/>
        <v>-0.71392831727339734</v>
      </c>
      <c r="AC91" s="14">
        <f t="shared" ca="1" si="26"/>
        <v>0.43350759849937015</v>
      </c>
      <c r="AD91" s="14">
        <f t="shared" ca="1" si="27"/>
        <v>0.83554730753456163</v>
      </c>
      <c r="AE91" s="14">
        <f ca="1">U$4*AO91</f>
        <v>-0.3838077945823728</v>
      </c>
      <c r="AF91" s="15">
        <f ca="1">AP91*W$4</f>
        <v>-0.3094492258381959</v>
      </c>
      <c r="AG91" s="12">
        <f t="shared" ca="1" si="28"/>
        <v>-0.50107154027023226</v>
      </c>
      <c r="AH91" s="14">
        <f t="shared" ca="1" si="29"/>
        <v>-0.16477105561183603</v>
      </c>
      <c r="AI91" s="14">
        <f t="shared" ca="1" si="30"/>
        <v>-0.58864710783477547</v>
      </c>
      <c r="AJ91" s="14">
        <f t="shared" ca="1" si="31"/>
        <v>-9.0054826020551397E-4</v>
      </c>
      <c r="AK91" s="14">
        <f t="shared" ca="1" si="32"/>
        <v>0.22660654748478301</v>
      </c>
      <c r="AL91" s="14">
        <f t="shared" ca="1" si="33"/>
        <v>-0.71392831727339734</v>
      </c>
      <c r="AM91" s="14">
        <f t="shared" ca="1" si="34"/>
        <v>0.43350759849937015</v>
      </c>
      <c r="AN91" s="14">
        <f t="shared" ca="1" si="35"/>
        <v>0.83554730753456163</v>
      </c>
      <c r="AO91" s="14">
        <f t="shared" ca="1" si="37"/>
        <v>-0.3838077945823728</v>
      </c>
      <c r="AP91" s="14">
        <f ca="1">(AV91-$AP$3)/$AP$4</f>
        <v>-0.3094492258381959</v>
      </c>
      <c r="AQ91" s="22">
        <f t="shared" si="38"/>
        <v>4.8702702702702698</v>
      </c>
      <c r="AR91" s="22">
        <f t="shared" si="39"/>
        <v>1.2899999999999998</v>
      </c>
      <c r="AS91" s="22">
        <f ca="1">(U91-AS$3)</f>
        <v>-2.2954781864625073E-2</v>
      </c>
      <c r="AT91" s="22">
        <f ca="1">(W91-AT$3)</f>
        <v>-5.0102691740115279E-2</v>
      </c>
      <c r="AU91" s="11">
        <f ca="1">AS91*V91</f>
        <v>-0.24677941503246589</v>
      </c>
      <c r="AV91" s="11">
        <f ca="1">AT91*X91</f>
        <v>-8.6176629792998283E-2</v>
      </c>
    </row>
    <row r="92" spans="1:48">
      <c r="A92">
        <v>87</v>
      </c>
      <c r="B92" s="27" t="str">
        <f t="shared" si="36"/>
        <v>Jalen Green</v>
      </c>
      <c r="C92" s="21">
        <v>12.07758643618433</v>
      </c>
      <c r="D92" s="12">
        <f t="shared" ca="1" si="20"/>
        <v>12.399743943753043</v>
      </c>
      <c r="E92" s="12">
        <f t="shared" ca="1" si="21"/>
        <v>12.399743943753043</v>
      </c>
      <c r="F92" s="29">
        <f ca="1">SUM(AI92:AN92,AP92,AO92)+$A$4</f>
        <v>2.3193156414032394</v>
      </c>
      <c r="G92" s="29">
        <f ca="1">SUM(Y92:AF92)+$A$4</f>
        <v>2.3193156414032394</v>
      </c>
      <c r="H92" s="10">
        <v>1</v>
      </c>
      <c r="I92" s="10">
        <v>0</v>
      </c>
      <c r="J92" t="e">
        <f>VLOOKUP(N92,Schedule!#REF!,2,0)</f>
        <v>#REF!</v>
      </c>
      <c r="K92" s="17">
        <v>87</v>
      </c>
      <c r="L92" s="17" t="s">
        <v>147</v>
      </c>
      <c r="M92" s="17" t="s">
        <v>39</v>
      </c>
      <c r="N92" s="17" t="s">
        <v>100</v>
      </c>
      <c r="O92" s="22">
        <v>17.467432432432435</v>
      </c>
      <c r="P92" s="22">
        <v>2.3828378378378381</v>
      </c>
      <c r="Q92" s="22">
        <v>4.6028378378378374</v>
      </c>
      <c r="R92" s="22">
        <v>3.6822972972972976</v>
      </c>
      <c r="S92" s="22">
        <v>1.3454054054054054</v>
      </c>
      <c r="T92" s="22">
        <v>0.14162162162162162</v>
      </c>
      <c r="U92" s="22">
        <v>0.42298635245506999</v>
      </c>
      <c r="V92" s="22">
        <v>15.436891891891891</v>
      </c>
      <c r="W92" s="22">
        <v>0.82000218842324102</v>
      </c>
      <c r="X92" s="22">
        <v>2.4700000000000002</v>
      </c>
      <c r="Y92" s="14">
        <f t="shared" ca="1" si="22"/>
        <v>0.23096303422279696</v>
      </c>
      <c r="Z92" s="14">
        <f t="shared" ca="1" si="23"/>
        <v>0.65423511776617993</v>
      </c>
      <c r="AA92" s="14">
        <f t="shared" ca="1" si="24"/>
        <v>-0.46199207272202436</v>
      </c>
      <c r="AB92" s="14">
        <f t="shared" ca="1" si="25"/>
        <v>2.7554903046900271E-2</v>
      </c>
      <c r="AC92" s="14">
        <f t="shared" ca="1" si="26"/>
        <v>1.1372447820732619</v>
      </c>
      <c r="AD92" s="14">
        <f t="shared" ca="1" si="27"/>
        <v>-0.97301780345873423</v>
      </c>
      <c r="AE92" s="14">
        <f ca="1">U$4*AO92</f>
        <v>-1.2721699747380264</v>
      </c>
      <c r="AF92" s="15">
        <f ca="1">AP92*W$4</f>
        <v>0.17649765521288588</v>
      </c>
      <c r="AG92" s="12">
        <f t="shared" ca="1" si="28"/>
        <v>-0.48068435859676018</v>
      </c>
      <c r="AH92" s="14">
        <f t="shared" ca="1" si="29"/>
        <v>-0.15806698807793329</v>
      </c>
      <c r="AI92" s="14">
        <f t="shared" ca="1" si="30"/>
        <v>0.23096303422279696</v>
      </c>
      <c r="AJ92" s="14">
        <f t="shared" ca="1" si="31"/>
        <v>0.65423511776617993</v>
      </c>
      <c r="AK92" s="14">
        <f t="shared" ca="1" si="32"/>
        <v>-0.46199207272202436</v>
      </c>
      <c r="AL92" s="14">
        <f t="shared" ca="1" si="33"/>
        <v>2.7554903046900271E-2</v>
      </c>
      <c r="AM92" s="14">
        <f t="shared" ca="1" si="34"/>
        <v>1.1372447820732619</v>
      </c>
      <c r="AN92" s="14">
        <f t="shared" ca="1" si="35"/>
        <v>-0.97301780345873423</v>
      </c>
      <c r="AO92" s="14">
        <f t="shared" ca="1" si="37"/>
        <v>-1.2721699747380264</v>
      </c>
      <c r="AP92" s="14">
        <f ca="1">(AV92-$AP$3)/$AP$4</f>
        <v>0.17649765521288588</v>
      </c>
      <c r="AQ92" s="22">
        <f t="shared" si="38"/>
        <v>6.5295945945945952</v>
      </c>
      <c r="AR92" s="22">
        <f t="shared" si="39"/>
        <v>2.0254054054054054</v>
      </c>
      <c r="AS92" s="22">
        <f ca="1">(U92-AS$3)</f>
        <v>-5.2988352733041977E-2</v>
      </c>
      <c r="AT92" s="22">
        <f ca="1">(W92-AT$3)</f>
        <v>1.989949668312585E-2</v>
      </c>
      <c r="AU92" s="11">
        <f ca="1">AS92*V92</f>
        <v>-0.81797547266940318</v>
      </c>
      <c r="AV92" s="11">
        <f ca="1">AT92*X92</f>
        <v>4.9151756807320854E-2</v>
      </c>
    </row>
    <row r="93" spans="1:48">
      <c r="A93">
        <v>88</v>
      </c>
      <c r="B93" s="27" t="str">
        <f t="shared" si="36"/>
        <v>Miles Bridges</v>
      </c>
      <c r="C93" s="21">
        <v>11.569318064093741</v>
      </c>
      <c r="D93" s="12">
        <f t="shared" ca="1" si="20"/>
        <v>11.608861699341105</v>
      </c>
      <c r="E93" s="12">
        <f t="shared" ca="1" si="21"/>
        <v>11.608861699341105</v>
      </c>
      <c r="F93" s="29">
        <f ca="1">SUM(AI93:AN93,AP93,AO93)+$A$4</f>
        <v>2.1713847189347293</v>
      </c>
      <c r="G93" s="29">
        <f ca="1">SUM(Y93:AF93)+$A$4</f>
        <v>2.1713847189347293</v>
      </c>
      <c r="H93" s="10">
        <v>1</v>
      </c>
      <c r="I93" s="10">
        <v>0</v>
      </c>
      <c r="J93" t="e">
        <f>VLOOKUP(N93,Schedule!#REF!,2,0)</f>
        <v>#REF!</v>
      </c>
      <c r="K93" s="17">
        <v>88</v>
      </c>
      <c r="L93" s="17" t="s">
        <v>148</v>
      </c>
      <c r="M93" s="17" t="s">
        <v>33</v>
      </c>
      <c r="N93" s="17" t="s">
        <v>65</v>
      </c>
      <c r="O93" s="22">
        <v>14.516666666666666</v>
      </c>
      <c r="P93" s="22">
        <v>2.0703846153846155</v>
      </c>
      <c r="Q93" s="22">
        <v>6.264615384615384</v>
      </c>
      <c r="R93" s="22">
        <v>2.3896153846153845</v>
      </c>
      <c r="S93" s="22">
        <v>0.64589743589743598</v>
      </c>
      <c r="T93" s="22">
        <v>0.77500000000000002</v>
      </c>
      <c r="U93" s="22">
        <v>0.4856725829051845</v>
      </c>
      <c r="V93" s="22">
        <v>10.97948717948718</v>
      </c>
      <c r="W93" s="22">
        <v>0.85397332677770255</v>
      </c>
      <c r="X93" s="22">
        <v>2.0860256410256413</v>
      </c>
      <c r="Y93" s="14">
        <f t="shared" ca="1" si="22"/>
        <v>-0.28210198093082023</v>
      </c>
      <c r="Z93" s="14">
        <f t="shared" ca="1" si="23"/>
        <v>0.3439576802496972</v>
      </c>
      <c r="AA93" s="14">
        <f t="shared" ca="1" si="24"/>
        <v>0.2327165310135052</v>
      </c>
      <c r="AB93" s="14">
        <f t="shared" ca="1" si="25"/>
        <v>-0.58793576089291055</v>
      </c>
      <c r="AC93" s="14">
        <f t="shared" ca="1" si="26"/>
        <v>-1.0962293355127726</v>
      </c>
      <c r="AD93" s="14">
        <f t="shared" ca="1" si="27"/>
        <v>0.19185022941546914</v>
      </c>
      <c r="AE93" s="14">
        <f ca="1">U$4*AO93</f>
        <v>0.16560125340814752</v>
      </c>
      <c r="AF93" s="15">
        <f ca="1">AP93*W$4</f>
        <v>0.40352610218441404</v>
      </c>
      <c r="AG93" s="12">
        <f t="shared" ca="1" si="28"/>
        <v>-0.62861528106527031</v>
      </c>
      <c r="AH93" s="14">
        <f t="shared" ca="1" si="29"/>
        <v>-0.20671220596363438</v>
      </c>
      <c r="AI93" s="14">
        <f t="shared" ca="1" si="30"/>
        <v>-0.28210198093082023</v>
      </c>
      <c r="AJ93" s="14">
        <f t="shared" ca="1" si="31"/>
        <v>0.3439576802496972</v>
      </c>
      <c r="AK93" s="14">
        <f t="shared" ca="1" si="32"/>
        <v>0.2327165310135052</v>
      </c>
      <c r="AL93" s="14">
        <f t="shared" ca="1" si="33"/>
        <v>-0.58793576089291055</v>
      </c>
      <c r="AM93" s="14">
        <f t="shared" ca="1" si="34"/>
        <v>-1.0962293355127726</v>
      </c>
      <c r="AN93" s="14">
        <f t="shared" ca="1" si="35"/>
        <v>0.19185022941546914</v>
      </c>
      <c r="AO93" s="14">
        <f t="shared" ca="1" si="37"/>
        <v>0.16560125340814752</v>
      </c>
      <c r="AP93" s="14">
        <f ca="1">(AV93-$AP$3)/$AP$4</f>
        <v>0.40352610218441404</v>
      </c>
      <c r="AQ93" s="22">
        <f t="shared" si="38"/>
        <v>5.3324358974358974</v>
      </c>
      <c r="AR93" s="22">
        <f t="shared" si="39"/>
        <v>1.7814102564102563</v>
      </c>
      <c r="AS93" s="22">
        <f ca="1">(U93-AS$3)</f>
        <v>9.6978777170725339E-3</v>
      </c>
      <c r="AT93" s="22">
        <f ca="1">(W93-AT$3)</f>
        <v>5.3870635037587378E-2</v>
      </c>
      <c r="AU93" s="11">
        <f ca="1">AS93*V93</f>
        <v>0.10647772406283228</v>
      </c>
      <c r="AV93" s="11">
        <f ca="1">AT93*X93</f>
        <v>0.11237552598674158</v>
      </c>
    </row>
    <row r="94" spans="1:48">
      <c r="A94">
        <v>89</v>
      </c>
      <c r="B94" s="27" t="str">
        <f t="shared" si="36"/>
        <v>T.J. Warren</v>
      </c>
      <c r="C94" s="21">
        <v>11.468448416028684</v>
      </c>
      <c r="D94" s="12">
        <f t="shared" ca="1" si="20"/>
        <v>11.60722583142565</v>
      </c>
      <c r="E94" s="12">
        <f t="shared" ca="1" si="21"/>
        <v>11.60722583142565</v>
      </c>
      <c r="F94" s="29">
        <f ca="1">SUM(AI94:AN94,AP94,AO94)+$A$4</f>
        <v>2.1710787372902054</v>
      </c>
      <c r="G94" s="29">
        <f ca="1">SUM(Y94:AF94)+$A$4</f>
        <v>2.1710787372902054</v>
      </c>
      <c r="H94" s="10">
        <v>1</v>
      </c>
      <c r="I94" s="10">
        <v>0</v>
      </c>
      <c r="J94" t="e">
        <f>VLOOKUP(N94,Schedule!#REF!,2,0)</f>
        <v>#REF!</v>
      </c>
      <c r="K94" s="17">
        <v>89</v>
      </c>
      <c r="L94" s="17" t="s">
        <v>149</v>
      </c>
      <c r="M94" s="17" t="s">
        <v>105</v>
      </c>
      <c r="N94" s="17" t="s">
        <v>75</v>
      </c>
      <c r="O94" s="22">
        <v>17.622666666666667</v>
      </c>
      <c r="P94" s="22">
        <v>1.1942222222222223</v>
      </c>
      <c r="Q94" s="22">
        <v>3.9768888888888885</v>
      </c>
      <c r="R94" s="22">
        <v>1.3886666666666667</v>
      </c>
      <c r="S94" s="22">
        <v>1.1362222222222222</v>
      </c>
      <c r="T94" s="22">
        <v>0.44177777777777777</v>
      </c>
      <c r="U94" s="22">
        <v>0.53659144123947589</v>
      </c>
      <c r="V94" s="22">
        <v>13.382000000000001</v>
      </c>
      <c r="W94" s="22">
        <v>0.8129697605313756</v>
      </c>
      <c r="X94" s="22">
        <v>2.5426666666666669</v>
      </c>
      <c r="Y94" s="14">
        <f t="shared" ca="1" si="22"/>
        <v>0.25795441919268364</v>
      </c>
      <c r="Z94" s="14">
        <f t="shared" ca="1" si="23"/>
        <v>-0.52610350863573885</v>
      </c>
      <c r="AA94" s="14">
        <f t="shared" ca="1" si="24"/>
        <v>-0.72367097263091695</v>
      </c>
      <c r="AB94" s="14">
        <f t="shared" ca="1" si="25"/>
        <v>-1.0645221391317732</v>
      </c>
      <c r="AC94" s="14">
        <f t="shared" ca="1" si="26"/>
        <v>0.46933927443118617</v>
      </c>
      <c r="AD94" s="14">
        <f t="shared" ca="1" si="27"/>
        <v>-0.42099025860966061</v>
      </c>
      <c r="AE94" s="14">
        <f ca="1">U$4*AO94</f>
        <v>1.2615905675479955</v>
      </c>
      <c r="AF94" s="15">
        <f ca="1">AP94*W$4</f>
        <v>0.11748135512642971</v>
      </c>
      <c r="AG94" s="12">
        <f t="shared" ca="1" si="28"/>
        <v>-0.62892126270979465</v>
      </c>
      <c r="AH94" s="14">
        <f t="shared" ca="1" si="29"/>
        <v>-0.20681282416785113</v>
      </c>
      <c r="AI94" s="14">
        <f t="shared" ca="1" si="30"/>
        <v>0.25795441919268364</v>
      </c>
      <c r="AJ94" s="14">
        <f t="shared" ca="1" si="31"/>
        <v>-0.52610350863573885</v>
      </c>
      <c r="AK94" s="14">
        <f t="shared" ca="1" si="32"/>
        <v>-0.72367097263091695</v>
      </c>
      <c r="AL94" s="14">
        <f t="shared" ca="1" si="33"/>
        <v>-1.0645221391317732</v>
      </c>
      <c r="AM94" s="14">
        <f t="shared" ca="1" si="34"/>
        <v>0.46933927443118617</v>
      </c>
      <c r="AN94" s="14">
        <f t="shared" ca="1" si="35"/>
        <v>-0.42099025860966061</v>
      </c>
      <c r="AO94" s="14">
        <f t="shared" ca="1" si="37"/>
        <v>1.2615905675479955</v>
      </c>
      <c r="AP94" s="14">
        <f ca="1">(AV94-$AP$3)/$AP$4</f>
        <v>0.11748135512642971</v>
      </c>
      <c r="AQ94" s="22">
        <f t="shared" si="38"/>
        <v>7.1806666666666672</v>
      </c>
      <c r="AR94" s="22">
        <f t="shared" si="39"/>
        <v>2.0671111111111111</v>
      </c>
      <c r="AS94" s="22">
        <f ca="1">(U94-AS$3)</f>
        <v>6.0616736051363918E-2</v>
      </c>
      <c r="AT94" s="22">
        <f ca="1">(W94-AT$3)</f>
        <v>1.2867068791260428E-2</v>
      </c>
      <c r="AU94" s="11">
        <f ca="1">AS94*V94</f>
        <v>0.81117316183935206</v>
      </c>
      <c r="AV94" s="11">
        <f ca="1">AT94*X94</f>
        <v>3.2716666913244846E-2</v>
      </c>
    </row>
    <row r="95" spans="1:48">
      <c r="A95">
        <v>90</v>
      </c>
      <c r="B95" s="27" t="str">
        <f t="shared" si="36"/>
        <v>Thaddeus Young</v>
      </c>
      <c r="C95" s="21">
        <v>11.323688432255267</v>
      </c>
      <c r="D95" s="12">
        <f t="shared" ca="1" si="20"/>
        <v>11.349707542523333</v>
      </c>
      <c r="E95" s="12">
        <f t="shared" ca="1" si="21"/>
        <v>11.349707542523333</v>
      </c>
      <c r="F95" s="29">
        <f ca="1">SUM(AI95:AN95,AP95,AO95)+$A$4</f>
        <v>2.1229111139821901</v>
      </c>
      <c r="G95" s="29">
        <f ca="1">SUM(Y95:AF95)+$A$4</f>
        <v>2.1229111139821901</v>
      </c>
      <c r="H95" s="10">
        <v>1</v>
      </c>
      <c r="I95" s="10">
        <v>0</v>
      </c>
      <c r="J95" t="e">
        <f>VLOOKUP(N95,Schedule!#REF!,2,0)</f>
        <v>#REF!</v>
      </c>
      <c r="K95" s="17">
        <v>90</v>
      </c>
      <c r="L95" s="17" t="s">
        <v>150</v>
      </c>
      <c r="M95" s="17" t="s">
        <v>151</v>
      </c>
      <c r="N95" s="17" t="s">
        <v>108</v>
      </c>
      <c r="O95" s="22">
        <v>12.441216216216215</v>
      </c>
      <c r="P95" s="22">
        <v>0.23513513513513512</v>
      </c>
      <c r="Q95" s="22">
        <v>6.8932432432432433</v>
      </c>
      <c r="R95" s="22">
        <v>3.7748648648648646</v>
      </c>
      <c r="S95" s="22">
        <v>1.2036486486486486</v>
      </c>
      <c r="T95" s="22">
        <v>0.71121621621621622</v>
      </c>
      <c r="U95" s="22">
        <v>0.55164551808373485</v>
      </c>
      <c r="V95" s="22">
        <v>9.9574324324324319</v>
      </c>
      <c r="W95" s="22">
        <v>0.64497464104578894</v>
      </c>
      <c r="X95" s="22">
        <v>1.8917567567567568</v>
      </c>
      <c r="Y95" s="14">
        <f t="shared" ca="1" si="22"/>
        <v>-0.6429713624198653</v>
      </c>
      <c r="Z95" s="14">
        <f t="shared" ca="1" si="23"/>
        <v>-1.4785119408485969</v>
      </c>
      <c r="AA95" s="14">
        <f t="shared" ca="1" si="24"/>
        <v>0.49551535314434514</v>
      </c>
      <c r="AB95" s="14">
        <f t="shared" ca="1" si="25"/>
        <v>7.1629530426230423E-2</v>
      </c>
      <c r="AC95" s="14">
        <f t="shared" ca="1" si="26"/>
        <v>0.684626568971476</v>
      </c>
      <c r="AD95" s="14">
        <f t="shared" ca="1" si="27"/>
        <v>7.4543271549750309E-2</v>
      </c>
      <c r="AE95" s="14">
        <f ca="1">U$4*AO95</f>
        <v>1.1718732138946979</v>
      </c>
      <c r="AF95" s="15">
        <f ca="1">AP95*W$4</f>
        <v>-1.0537935207358469</v>
      </c>
      <c r="AG95" s="12">
        <f t="shared" ca="1" si="28"/>
        <v>-0.67708888601780959</v>
      </c>
      <c r="AH95" s="14">
        <f t="shared" ca="1" si="29"/>
        <v>-0.22265213951690224</v>
      </c>
      <c r="AI95" s="14">
        <f t="shared" ca="1" si="30"/>
        <v>-0.6429713624198653</v>
      </c>
      <c r="AJ95" s="14">
        <f t="shared" ca="1" si="31"/>
        <v>-1.4785119408485969</v>
      </c>
      <c r="AK95" s="14">
        <f t="shared" ca="1" si="32"/>
        <v>0.49551535314434514</v>
      </c>
      <c r="AL95" s="14">
        <f t="shared" ca="1" si="33"/>
        <v>7.1629530426230423E-2</v>
      </c>
      <c r="AM95" s="14">
        <f t="shared" ca="1" si="34"/>
        <v>0.684626568971476</v>
      </c>
      <c r="AN95" s="14">
        <f t="shared" ca="1" si="35"/>
        <v>7.4543271549750309E-2</v>
      </c>
      <c r="AO95" s="14">
        <f t="shared" ca="1" si="37"/>
        <v>1.1718732138946979</v>
      </c>
      <c r="AP95" s="14">
        <f ca="1">(AV95-$AP$3)/$AP$4</f>
        <v>-1.0537935207358469</v>
      </c>
      <c r="AQ95" s="22">
        <f t="shared" si="38"/>
        <v>5.4929729729729733</v>
      </c>
      <c r="AR95" s="22">
        <f t="shared" si="39"/>
        <v>1.2201351351351351</v>
      </c>
      <c r="AS95" s="22">
        <f ca="1">(U95-AS$3)</f>
        <v>7.5670812895622885E-2</v>
      </c>
      <c r="AT95" s="22">
        <f ca="1">(W95-AT$3)</f>
        <v>-0.15512805069432622</v>
      </c>
      <c r="AU95" s="11">
        <f ca="1">AS95*V95</f>
        <v>0.75348700651540157</v>
      </c>
      <c r="AV95" s="11">
        <f ca="1">AT95*X95</f>
        <v>-0.29346453806349632</v>
      </c>
    </row>
    <row r="96" spans="1:48">
      <c r="A96">
        <v>91</v>
      </c>
      <c r="B96" s="27" t="str">
        <f t="shared" si="36"/>
        <v>Daniel Gafford</v>
      </c>
      <c r="C96" s="21">
        <v>11.232081988397315</v>
      </c>
      <c r="D96" s="12">
        <f t="shared" ca="1" si="20"/>
        <v>11.030433948254901</v>
      </c>
      <c r="E96" s="12">
        <f t="shared" ca="1" si="21"/>
        <v>11.030433948254901</v>
      </c>
      <c r="F96" s="29">
        <f ca="1">SUM(AI96:AN96,AP96,AO96)+$A$4</f>
        <v>2.0631924420134138</v>
      </c>
      <c r="G96" s="29">
        <f ca="1">SUM(Y96:AF96)+$A$4</f>
        <v>2.0631924420134138</v>
      </c>
      <c r="H96" s="10">
        <v>1</v>
      </c>
      <c r="I96" s="10">
        <v>0</v>
      </c>
      <c r="J96" t="e">
        <f>VLOOKUP(N96,Schedule!#REF!,2,0)</f>
        <v>#REF!</v>
      </c>
      <c r="K96" s="17">
        <v>91</v>
      </c>
      <c r="L96" s="17" t="s">
        <v>152</v>
      </c>
      <c r="M96" s="17" t="s">
        <v>63</v>
      </c>
      <c r="N96" s="17" t="s">
        <v>40</v>
      </c>
      <c r="O96" s="22">
        <v>11.093582089552239</v>
      </c>
      <c r="P96" s="22">
        <v>0</v>
      </c>
      <c r="Q96" s="22">
        <v>6.9934328358208964</v>
      </c>
      <c r="R96" s="22">
        <v>0.75462686567164183</v>
      </c>
      <c r="S96" s="22">
        <v>0.70432835820895523</v>
      </c>
      <c r="T96" s="22">
        <v>2.2640298507462688</v>
      </c>
      <c r="U96" s="22">
        <v>0.69299406663623919</v>
      </c>
      <c r="V96" s="22">
        <v>6.540298507462686</v>
      </c>
      <c r="W96" s="22">
        <v>0.65998252087784037</v>
      </c>
      <c r="X96" s="22">
        <v>3.0740298507462689</v>
      </c>
      <c r="Y96" s="14">
        <f t="shared" ca="1" si="22"/>
        <v>-0.87729152826974577</v>
      </c>
      <c r="Z96" s="14">
        <f t="shared" ca="1" si="23"/>
        <v>-1.7120096997355103</v>
      </c>
      <c r="AA96" s="14">
        <f t="shared" ca="1" si="24"/>
        <v>0.53739976306637316</v>
      </c>
      <c r="AB96" s="14">
        <f t="shared" ca="1" si="25"/>
        <v>-1.3664104646743309</v>
      </c>
      <c r="AC96" s="14">
        <f t="shared" ca="1" si="26"/>
        <v>-0.90966398052295827</v>
      </c>
      <c r="AD96" s="14">
        <f t="shared" ca="1" si="27"/>
        <v>2.9303764127225596</v>
      </c>
      <c r="AE96" s="14">
        <f ca="1">U$4*AO96</f>
        <v>2.2075010140942162</v>
      </c>
      <c r="AF96" s="15">
        <f ca="1">AP96*W$4</f>
        <v>-1.5467090746671897</v>
      </c>
      <c r="AG96" s="12">
        <f t="shared" ca="1" si="28"/>
        <v>-0.73680755798658604</v>
      </c>
      <c r="AH96" s="14">
        <f t="shared" ca="1" si="29"/>
        <v>-0.2422898715156615</v>
      </c>
      <c r="AI96" s="14">
        <f t="shared" ca="1" si="30"/>
        <v>-0.87729152826974577</v>
      </c>
      <c r="AJ96" s="14">
        <f t="shared" ca="1" si="31"/>
        <v>-1.7120096997355103</v>
      </c>
      <c r="AK96" s="14">
        <f t="shared" ca="1" si="32"/>
        <v>0.53739976306637316</v>
      </c>
      <c r="AL96" s="14">
        <f t="shared" ca="1" si="33"/>
        <v>-1.3664104646743309</v>
      </c>
      <c r="AM96" s="14">
        <f t="shared" ca="1" si="34"/>
        <v>-0.90966398052295827</v>
      </c>
      <c r="AN96" s="14">
        <f t="shared" ca="1" si="35"/>
        <v>2.9303764127225596</v>
      </c>
      <c r="AO96" s="14">
        <f t="shared" ca="1" si="37"/>
        <v>2.2075010140942162</v>
      </c>
      <c r="AP96" s="14">
        <f ca="1">(AV96-$AP$3)/$AP$4</f>
        <v>-1.5467090746671897</v>
      </c>
      <c r="AQ96" s="22">
        <f t="shared" si="38"/>
        <v>4.5323880597014927</v>
      </c>
      <c r="AR96" s="22">
        <f t="shared" si="39"/>
        <v>2.028805970149254</v>
      </c>
      <c r="AS96" s="22">
        <f ca="1">(U96-AS$3)</f>
        <v>0.21701936144812722</v>
      </c>
      <c r="AT96" s="22">
        <f ca="1">(W96-AT$3)</f>
        <v>-0.1401201708622748</v>
      </c>
      <c r="AU96" s="11">
        <f ca="1">AS96*V96</f>
        <v>1.4193714057696916</v>
      </c>
      <c r="AV96" s="11">
        <f ca="1">AT96*X96</f>
        <v>-0.43073358792230027</v>
      </c>
    </row>
    <row r="97" spans="1:48">
      <c r="A97">
        <v>92</v>
      </c>
      <c r="B97" s="27" t="str">
        <f t="shared" si="36"/>
        <v>Matisse Thybulle</v>
      </c>
      <c r="C97" s="21">
        <v>10.922088859288712</v>
      </c>
      <c r="D97" s="12">
        <f t="shared" ca="1" si="20"/>
        <v>10.999918722134488</v>
      </c>
      <c r="E97" s="12">
        <f t="shared" ca="1" si="21"/>
        <v>10.999918722134488</v>
      </c>
      <c r="F97" s="29">
        <f ca="1">SUM(AI97:AN97,AP97,AO97)+$A$4</f>
        <v>2.0574847079212364</v>
      </c>
      <c r="G97" s="29">
        <f ca="1">SUM(Y97:AF97)+$A$4</f>
        <v>2.0574847079212364</v>
      </c>
      <c r="H97" s="10">
        <v>1</v>
      </c>
      <c r="I97" s="10">
        <v>0</v>
      </c>
      <c r="J97" t="e">
        <f>VLOOKUP(N97,Schedule!#REF!,2,0)</f>
        <v>#REF!</v>
      </c>
      <c r="K97" s="17">
        <v>92</v>
      </c>
      <c r="L97" s="17" t="s">
        <v>153</v>
      </c>
      <c r="M97" s="17" t="s">
        <v>48</v>
      </c>
      <c r="N97" s="17" t="s">
        <v>37</v>
      </c>
      <c r="O97" s="22">
        <v>5.5864000000000003</v>
      </c>
      <c r="P97" s="22">
        <v>0.90493333333333337</v>
      </c>
      <c r="Q97" s="22">
        <v>2.6806666666666668</v>
      </c>
      <c r="R97" s="22">
        <v>1.2036</v>
      </c>
      <c r="S97" s="22">
        <v>2.0789333333333331</v>
      </c>
      <c r="T97" s="22">
        <v>1.4224000000000001</v>
      </c>
      <c r="U97" s="22">
        <v>0.4418286999839306</v>
      </c>
      <c r="V97" s="22">
        <v>4.9783999999999997</v>
      </c>
      <c r="W97" s="22">
        <v>0.63005952380952379</v>
      </c>
      <c r="X97" s="22">
        <v>0.44800000000000001</v>
      </c>
      <c r="Y97" s="14">
        <f t="shared" ca="1" si="22"/>
        <v>-1.8348539668107038</v>
      </c>
      <c r="Z97" s="14">
        <f t="shared" ca="1" si="23"/>
        <v>-0.81337791867922282</v>
      </c>
      <c r="AA97" s="14">
        <f t="shared" ca="1" si="24"/>
        <v>-1.265558622922722</v>
      </c>
      <c r="AB97" s="14">
        <f t="shared" ca="1" si="25"/>
        <v>-1.1526387936794285</v>
      </c>
      <c r="AC97" s="14">
        <f t="shared" ca="1" si="26"/>
        <v>3.4793419603311788</v>
      </c>
      <c r="AD97" s="14">
        <f t="shared" ca="1" si="27"/>
        <v>1.3825059104848993</v>
      </c>
      <c r="AE97" s="14">
        <f ca="1">U$4*AO97</f>
        <v>-0.26438362326025355</v>
      </c>
      <c r="AF97" s="15">
        <f ca="1">AP97*W$4</f>
        <v>-0.27355023754251101</v>
      </c>
      <c r="AG97" s="12">
        <f t="shared" ca="1" si="28"/>
        <v>-0.74251529207876343</v>
      </c>
      <c r="AH97" s="14">
        <f t="shared" ca="1" si="29"/>
        <v>-0.24416678787577356</v>
      </c>
      <c r="AI97" s="14">
        <f t="shared" ca="1" si="30"/>
        <v>-1.8348539668107038</v>
      </c>
      <c r="AJ97" s="14">
        <f t="shared" ca="1" si="31"/>
        <v>-0.81337791867922282</v>
      </c>
      <c r="AK97" s="14">
        <f t="shared" ca="1" si="32"/>
        <v>-1.265558622922722</v>
      </c>
      <c r="AL97" s="14">
        <f t="shared" ca="1" si="33"/>
        <v>-1.1526387936794285</v>
      </c>
      <c r="AM97" s="14">
        <f t="shared" ca="1" si="34"/>
        <v>3.4793419603311788</v>
      </c>
      <c r="AN97" s="14">
        <f t="shared" ca="1" si="35"/>
        <v>1.3825059104848993</v>
      </c>
      <c r="AO97" s="14">
        <f t="shared" ca="1" si="37"/>
        <v>-0.26438362326025355</v>
      </c>
      <c r="AP97" s="14">
        <f ca="1">(AV97-$AP$3)/$AP$4</f>
        <v>-0.27355023754251101</v>
      </c>
      <c r="AQ97" s="22">
        <f t="shared" si="38"/>
        <v>2.1995999999999998</v>
      </c>
      <c r="AR97" s="22">
        <f t="shared" si="39"/>
        <v>0.28226666666666667</v>
      </c>
      <c r="AS97" s="22">
        <f ca="1">(U97-AS$3)</f>
        <v>-3.4146005204181373E-2</v>
      </c>
      <c r="AT97" s="22">
        <f ca="1">(W97-AT$3)</f>
        <v>-0.17004316793059138</v>
      </c>
      <c r="AU97" s="11">
        <f ca="1">AS97*V97</f>
        <v>-0.16999247230849654</v>
      </c>
      <c r="AV97" s="11">
        <f ca="1">AT97*X97</f>
        <v>-7.6179339232904944E-2</v>
      </c>
    </row>
    <row r="98" spans="1:48">
      <c r="A98">
        <v>93</v>
      </c>
      <c r="B98" s="27" t="str">
        <f t="shared" si="36"/>
        <v>Jakob Poeltl</v>
      </c>
      <c r="C98" s="21">
        <v>10.496269094187161</v>
      </c>
      <c r="D98" s="12">
        <f t="shared" ca="1" si="20"/>
        <v>10.311182946531295</v>
      </c>
      <c r="E98" s="12">
        <f t="shared" ca="1" si="21"/>
        <v>10.311182946531295</v>
      </c>
      <c r="F98" s="29">
        <f ca="1">SUM(AI98:AN98,AP98,AO98)+$A$4</f>
        <v>1.9286598173108749</v>
      </c>
      <c r="G98" s="29">
        <f ca="1">SUM(Y98:AF98)+$A$4</f>
        <v>1.9286598173108751</v>
      </c>
      <c r="H98" s="10">
        <v>1</v>
      </c>
      <c r="I98" s="10">
        <v>0</v>
      </c>
      <c r="J98" t="e">
        <f>VLOOKUP(N98,Schedule!#REF!,2,0)</f>
        <v>#REF!</v>
      </c>
      <c r="K98" s="17">
        <v>93</v>
      </c>
      <c r="L98" s="17" t="s">
        <v>154</v>
      </c>
      <c r="M98" s="17" t="s">
        <v>22</v>
      </c>
      <c r="N98" s="17" t="s">
        <v>108</v>
      </c>
      <c r="O98" s="22">
        <v>10.188701298701298</v>
      </c>
      <c r="P98" s="22">
        <v>0</v>
      </c>
      <c r="Q98" s="22">
        <v>8.8375324675324674</v>
      </c>
      <c r="R98" s="22">
        <v>2.0831168831168831</v>
      </c>
      <c r="S98" s="22">
        <v>0.7575324675324675</v>
      </c>
      <c r="T98" s="22">
        <v>1.9568831168831169</v>
      </c>
      <c r="U98" s="22">
        <v>0.62400715563506259</v>
      </c>
      <c r="V98" s="22">
        <v>7.2597402597402594</v>
      </c>
      <c r="W98" s="22">
        <v>0.53602714373843308</v>
      </c>
      <c r="X98" s="22">
        <v>2.1051948051948051</v>
      </c>
      <c r="Y98" s="14">
        <f t="shared" ca="1" si="22"/>
        <v>-1.0346278651814869</v>
      </c>
      <c r="Z98" s="14">
        <f t="shared" ca="1" si="23"/>
        <v>-1.7120096997355103</v>
      </c>
      <c r="AA98" s="14">
        <f t="shared" ca="1" si="24"/>
        <v>1.308328388729797</v>
      </c>
      <c r="AB98" s="14">
        <f t="shared" ca="1" si="25"/>
        <v>-0.73387032092128279</v>
      </c>
      <c r="AC98" s="14">
        <f t="shared" ca="1" si="26"/>
        <v>-0.73978742971415623</v>
      </c>
      <c r="AD98" s="14">
        <f t="shared" ca="1" si="27"/>
        <v>2.365492255175321</v>
      </c>
      <c r="AE98" s="14">
        <f ca="1">U$4*AO98</f>
        <v>1.6714095178325412</v>
      </c>
      <c r="AF98" s="15">
        <f ca="1">AP98*W$4</f>
        <v>-1.9962750288743474</v>
      </c>
      <c r="AG98" s="12">
        <f t="shared" ca="1" si="28"/>
        <v>-0.87134018268912472</v>
      </c>
      <c r="AH98" s="14">
        <f t="shared" ca="1" si="29"/>
        <v>-0.2865292281841994</v>
      </c>
      <c r="AI98" s="14">
        <f t="shared" ca="1" si="30"/>
        <v>-1.0346278651814869</v>
      </c>
      <c r="AJ98" s="14">
        <f t="shared" ca="1" si="31"/>
        <v>-1.7120096997355103</v>
      </c>
      <c r="AK98" s="14">
        <f t="shared" ca="1" si="32"/>
        <v>1.308328388729797</v>
      </c>
      <c r="AL98" s="14">
        <f t="shared" ca="1" si="33"/>
        <v>-0.73387032092128279</v>
      </c>
      <c r="AM98" s="14">
        <f t="shared" ca="1" si="34"/>
        <v>-0.73978742971415623</v>
      </c>
      <c r="AN98" s="14">
        <f t="shared" ca="1" si="35"/>
        <v>2.365492255175321</v>
      </c>
      <c r="AO98" s="14">
        <f t="shared" ca="1" si="37"/>
        <v>1.6714095178325412</v>
      </c>
      <c r="AP98" s="14">
        <f ca="1">(AV98-$AP$3)/$AP$4</f>
        <v>-1.9962750288743474</v>
      </c>
      <c r="AQ98" s="22">
        <f t="shared" si="38"/>
        <v>4.53012987012987</v>
      </c>
      <c r="AR98" s="22">
        <f t="shared" si="39"/>
        <v>1.1284415584415584</v>
      </c>
      <c r="AS98" s="22">
        <f ca="1">(U98-AS$3)</f>
        <v>0.14803245044695063</v>
      </c>
      <c r="AT98" s="22">
        <f ca="1">(W98-AT$3)</f>
        <v>-0.26407554800168209</v>
      </c>
      <c r="AU98" s="11">
        <f ca="1">AS98*V98</f>
        <v>1.0746771402577324</v>
      </c>
      <c r="AV98" s="11">
        <f ca="1">AT98*X98</f>
        <v>-0.55593047183211253</v>
      </c>
    </row>
    <row r="99" spans="1:48">
      <c r="A99">
        <v>94</v>
      </c>
      <c r="B99" s="27" t="str">
        <f t="shared" si="36"/>
        <v>Jalen Suggs</v>
      </c>
      <c r="C99" s="21">
        <v>10.371341645756724</v>
      </c>
      <c r="D99" s="12">
        <f t="shared" ca="1" si="20"/>
        <v>10.544967687312715</v>
      </c>
      <c r="E99" s="12">
        <f t="shared" ca="1" si="21"/>
        <v>10.544967687312715</v>
      </c>
      <c r="F99" s="29">
        <f ca="1">SUM(AI99:AN99,AP99,AO99)+$A$4</f>
        <v>1.9723881885155818</v>
      </c>
      <c r="G99" s="29">
        <f ca="1">SUM(Y99:AF99)+$A$4</f>
        <v>1.9723881885155818</v>
      </c>
      <c r="H99" s="10">
        <v>1</v>
      </c>
      <c r="I99" s="10">
        <v>0</v>
      </c>
      <c r="J99" t="e">
        <f>VLOOKUP(N99,Schedule!#REF!,2,0)</f>
        <v>#REF!</v>
      </c>
      <c r="K99" s="17">
        <v>94</v>
      </c>
      <c r="L99" s="17" t="s">
        <v>155</v>
      </c>
      <c r="M99" s="17" t="s">
        <v>25</v>
      </c>
      <c r="N99" s="17" t="s">
        <v>120</v>
      </c>
      <c r="O99" s="22">
        <v>13.379866666666668</v>
      </c>
      <c r="P99" s="22">
        <v>1.3168</v>
      </c>
      <c r="Q99" s="22">
        <v>5.8649333333333331</v>
      </c>
      <c r="R99" s="22">
        <v>4.9088000000000003</v>
      </c>
      <c r="S99" s="22">
        <v>1.4025333333333334</v>
      </c>
      <c r="T99" s="22">
        <v>0.31880000000000003</v>
      </c>
      <c r="U99" s="22">
        <v>0.43681446365495441</v>
      </c>
      <c r="V99" s="22">
        <v>11.475200000000001</v>
      </c>
      <c r="W99" s="22">
        <v>0.74001452432824977</v>
      </c>
      <c r="X99" s="22">
        <v>2.754</v>
      </c>
      <c r="Y99" s="14">
        <f t="shared" ca="1" si="22"/>
        <v>-0.4797633188768593</v>
      </c>
      <c r="Z99" s="14">
        <f t="shared" ca="1" si="23"/>
        <v>-0.40437930785221943</v>
      </c>
      <c r="AA99" s="14">
        <f t="shared" ca="1" si="24"/>
        <v>6.5628848114709162E-2</v>
      </c>
      <c r="AB99" s="14">
        <f t="shared" ca="1" si="25"/>
        <v>0.61153535129520453</v>
      </c>
      <c r="AC99" s="14">
        <f t="shared" ca="1" si="26"/>
        <v>1.3196497781279835</v>
      </c>
      <c r="AD99" s="14">
        <f t="shared" ca="1" si="27"/>
        <v>-0.64716293355004517</v>
      </c>
      <c r="AE99" s="14">
        <f ca="1">U$4*AO99</f>
        <v>-0.69889266946684825</v>
      </c>
      <c r="AF99" s="15">
        <f ca="1">AP99*W$4</f>
        <v>-0.59422755927634308</v>
      </c>
      <c r="AG99" s="12">
        <f t="shared" ca="1" si="28"/>
        <v>-0.82761181148441809</v>
      </c>
      <c r="AH99" s="14">
        <f t="shared" ca="1" si="29"/>
        <v>-0.27214970489357315</v>
      </c>
      <c r="AI99" s="14">
        <f t="shared" ca="1" si="30"/>
        <v>-0.4797633188768593</v>
      </c>
      <c r="AJ99" s="14">
        <f t="shared" ca="1" si="31"/>
        <v>-0.40437930785221943</v>
      </c>
      <c r="AK99" s="14">
        <f t="shared" ca="1" si="32"/>
        <v>6.5628848114709162E-2</v>
      </c>
      <c r="AL99" s="14">
        <f t="shared" ca="1" si="33"/>
        <v>0.61153535129520453</v>
      </c>
      <c r="AM99" s="14">
        <f t="shared" ca="1" si="34"/>
        <v>1.3196497781279835</v>
      </c>
      <c r="AN99" s="14">
        <f t="shared" ca="1" si="35"/>
        <v>-0.64716293355004517</v>
      </c>
      <c r="AO99" s="14">
        <f t="shared" ca="1" si="37"/>
        <v>-0.69889266946684825</v>
      </c>
      <c r="AP99" s="14">
        <f ca="1">(AV99-$AP$3)/$AP$4</f>
        <v>-0.59422755927634308</v>
      </c>
      <c r="AQ99" s="22">
        <f t="shared" si="38"/>
        <v>5.0125333333333328</v>
      </c>
      <c r="AR99" s="22">
        <f t="shared" si="39"/>
        <v>2.0379999999999998</v>
      </c>
      <c r="AS99" s="22">
        <f ca="1">(U99-AS$3)</f>
        <v>-3.9160241533157558E-2</v>
      </c>
      <c r="AT99" s="22">
        <f ca="1">(W99-AT$3)</f>
        <v>-6.0088167411865401E-2</v>
      </c>
      <c r="AU99" s="11">
        <f ca="1">AS99*V99</f>
        <v>-0.44937160364128964</v>
      </c>
      <c r="AV99" s="11">
        <f ca="1">AT99*X99</f>
        <v>-0.16548281305227733</v>
      </c>
    </row>
    <row r="100" spans="1:48">
      <c r="A100">
        <v>95</v>
      </c>
      <c r="B100" s="27" t="str">
        <f t="shared" si="36"/>
        <v>Jae'Sean Tate</v>
      </c>
      <c r="C100" s="21">
        <v>10.129184130202521</v>
      </c>
      <c r="D100" s="12">
        <f t="shared" ca="1" si="20"/>
        <v>10.233172904391278</v>
      </c>
      <c r="E100" s="12">
        <f t="shared" ca="1" si="21"/>
        <v>10.233172904391278</v>
      </c>
      <c r="F100" s="29">
        <f ca="1">SUM(AI100:AN100,AP100,AO100)+$A$4</f>
        <v>1.9140683941538656</v>
      </c>
      <c r="G100" s="29">
        <f ca="1">SUM(Y100:AF100)+$A$4</f>
        <v>1.9140683941538656</v>
      </c>
      <c r="H100" s="10">
        <v>1</v>
      </c>
      <c r="I100" s="10">
        <v>0</v>
      </c>
      <c r="J100" t="e">
        <f>VLOOKUP(N100,Schedule!#REF!,2,0)</f>
        <v>#REF!</v>
      </c>
      <c r="K100" s="17">
        <v>95</v>
      </c>
      <c r="L100" s="17" t="s">
        <v>156</v>
      </c>
      <c r="M100" s="17" t="s">
        <v>105</v>
      </c>
      <c r="N100" s="17" t="s">
        <v>100</v>
      </c>
      <c r="O100" s="22">
        <v>12.908441558441561</v>
      </c>
      <c r="P100" s="22">
        <v>1.0799999999999998</v>
      </c>
      <c r="Q100" s="22">
        <v>5.5877922077922078</v>
      </c>
      <c r="R100" s="22">
        <v>3.2594805194805194</v>
      </c>
      <c r="S100" s="22">
        <v>1.3968831168831168</v>
      </c>
      <c r="T100" s="22">
        <v>0.53220779220779213</v>
      </c>
      <c r="U100" s="22">
        <v>0.50126700108600097</v>
      </c>
      <c r="V100" s="22">
        <v>10.045194805194805</v>
      </c>
      <c r="W100" s="22">
        <v>0.69998965659908974</v>
      </c>
      <c r="X100" s="22">
        <v>2.5111688311688312</v>
      </c>
      <c r="Y100" s="14">
        <f t="shared" ca="1" si="22"/>
        <v>-0.56173245824449758</v>
      </c>
      <c r="Z100" s="14">
        <f t="shared" ca="1" si="23"/>
        <v>-0.63953033822734351</v>
      </c>
      <c r="AA100" s="14">
        <f t="shared" ca="1" si="24"/>
        <v>-5.0230416403408439E-2</v>
      </c>
      <c r="AB100" s="14">
        <f t="shared" ca="1" si="25"/>
        <v>-0.17376282001416093</v>
      </c>
      <c r="AC100" s="14">
        <f t="shared" ca="1" si="26"/>
        <v>1.3016090798794786</v>
      </c>
      <c r="AD100" s="14">
        <f t="shared" ca="1" si="27"/>
        <v>-0.25467729843003883</v>
      </c>
      <c r="AE100" s="14">
        <f ca="1">U$4*AO100</f>
        <v>0.39514043841177338</v>
      </c>
      <c r="AF100" s="15">
        <f ca="1">AP100*W$4</f>
        <v>-0.90274779281793671</v>
      </c>
      <c r="AG100" s="12">
        <f t="shared" ca="1" si="28"/>
        <v>-0.88593160584613417</v>
      </c>
      <c r="AH100" s="14">
        <f t="shared" ca="1" si="29"/>
        <v>-0.29132743363638458</v>
      </c>
      <c r="AI100" s="14">
        <f t="shared" ca="1" si="30"/>
        <v>-0.56173245824449758</v>
      </c>
      <c r="AJ100" s="14">
        <f t="shared" ca="1" si="31"/>
        <v>-0.63953033822734351</v>
      </c>
      <c r="AK100" s="14">
        <f t="shared" ca="1" si="32"/>
        <v>-5.0230416403408439E-2</v>
      </c>
      <c r="AL100" s="14">
        <f t="shared" ca="1" si="33"/>
        <v>-0.17376282001416093</v>
      </c>
      <c r="AM100" s="14">
        <f t="shared" ca="1" si="34"/>
        <v>1.3016090798794786</v>
      </c>
      <c r="AN100" s="14">
        <f t="shared" ca="1" si="35"/>
        <v>-0.25467729843003883</v>
      </c>
      <c r="AO100" s="14">
        <f t="shared" ca="1" si="37"/>
        <v>0.39514043841177338</v>
      </c>
      <c r="AP100" s="14">
        <f ca="1">(AV100-$AP$3)/$AP$4</f>
        <v>-0.90274779281793671</v>
      </c>
      <c r="AQ100" s="22">
        <f t="shared" si="38"/>
        <v>5.0353246753246763</v>
      </c>
      <c r="AR100" s="22">
        <f t="shared" si="39"/>
        <v>1.7577922077922077</v>
      </c>
      <c r="AS100" s="22">
        <f ca="1">(U100-AS$3)</f>
        <v>2.5292295897889006E-2</v>
      </c>
      <c r="AT100" s="22">
        <f ca="1">(W100-AT$3)</f>
        <v>-0.10011303514102543</v>
      </c>
      <c r="AU100" s="11">
        <f ca="1">AS100*V100</f>
        <v>0.2540660393649245</v>
      </c>
      <c r="AV100" s="11">
        <f ca="1">AT100*X100</f>
        <v>-0.25140073343985297</v>
      </c>
    </row>
    <row r="101" spans="1:48">
      <c r="A101">
        <v>96</v>
      </c>
      <c r="B101" s="27" t="str">
        <f t="shared" si="36"/>
        <v>Jerami Grant</v>
      </c>
      <c r="C101" s="21">
        <v>10.104387466536695</v>
      </c>
      <c r="D101" s="12">
        <f t="shared" ca="1" si="20"/>
        <v>10.219878443722322</v>
      </c>
      <c r="E101" s="12">
        <f t="shared" ca="1" si="21"/>
        <v>10.219878443722321</v>
      </c>
      <c r="F101" s="29">
        <f ca="1">SUM(AI101:AN101,AP101,AO101)+$A$4</f>
        <v>1.9115817258231809</v>
      </c>
      <c r="G101" s="29">
        <f ca="1">SUM(Y101:AF101)+$A$4</f>
        <v>1.9115817258231806</v>
      </c>
      <c r="H101" s="10">
        <v>1</v>
      </c>
      <c r="I101" s="10">
        <v>0</v>
      </c>
      <c r="J101" t="e">
        <f>VLOOKUP(N101,Schedule!#REF!,2,0)</f>
        <v>#REF!</v>
      </c>
      <c r="K101" s="17">
        <v>96</v>
      </c>
      <c r="L101" s="17" t="s">
        <v>157</v>
      </c>
      <c r="M101" s="17" t="s">
        <v>33</v>
      </c>
      <c r="N101" s="17" t="s">
        <v>115</v>
      </c>
      <c r="O101" s="22">
        <v>20.010000000000002</v>
      </c>
      <c r="P101" s="22">
        <v>1.7766216216216215</v>
      </c>
      <c r="Q101" s="22">
        <v>4.1937837837837844</v>
      </c>
      <c r="R101" s="22">
        <v>2.1312162162162163</v>
      </c>
      <c r="S101" s="22">
        <v>0.61878378378378374</v>
      </c>
      <c r="T101" s="22">
        <v>1.0312162162162162</v>
      </c>
      <c r="U101" s="22">
        <v>0.45605514372096712</v>
      </c>
      <c r="V101" s="22">
        <v>15.330945945945945</v>
      </c>
      <c r="W101" s="22">
        <v>0.84000641042762902</v>
      </c>
      <c r="X101" s="22">
        <v>5.059324324324324</v>
      </c>
      <c r="Y101" s="14">
        <f t="shared" ca="1" si="22"/>
        <v>0.67305250222386348</v>
      </c>
      <c r="Z101" s="14">
        <f t="shared" ca="1" si="23"/>
        <v>5.2240321003712564E-2</v>
      </c>
      <c r="AA101" s="14">
        <f t="shared" ca="1" si="24"/>
        <v>-0.63299773548074123</v>
      </c>
      <c r="AB101" s="14">
        <f t="shared" ca="1" si="25"/>
        <v>-0.71096856127420138</v>
      </c>
      <c r="AC101" s="14">
        <f t="shared" ca="1" si="26"/>
        <v>-1.1828011014808861</v>
      </c>
      <c r="AD101" s="14">
        <f t="shared" ca="1" si="27"/>
        <v>0.663066314401492</v>
      </c>
      <c r="AE101" s="14">
        <f ca="1">U$4*AO101</f>
        <v>-0.47495622647735558</v>
      </c>
      <c r="AF101" s="15">
        <f ca="1">AP101*W$4</f>
        <v>0.72494621290729733</v>
      </c>
      <c r="AG101" s="12">
        <f t="shared" ca="1" si="28"/>
        <v>-0.88841827417681907</v>
      </c>
      <c r="AH101" s="14">
        <f t="shared" ca="1" si="29"/>
        <v>-0.29214514315064377</v>
      </c>
      <c r="AI101" s="14">
        <f t="shared" ca="1" si="30"/>
        <v>0.67305250222386348</v>
      </c>
      <c r="AJ101" s="14">
        <f t="shared" ca="1" si="31"/>
        <v>5.2240321003712564E-2</v>
      </c>
      <c r="AK101" s="14">
        <f t="shared" ca="1" si="32"/>
        <v>-0.63299773548074123</v>
      </c>
      <c r="AL101" s="14">
        <f t="shared" ca="1" si="33"/>
        <v>-0.71096856127420138</v>
      </c>
      <c r="AM101" s="14">
        <f t="shared" ca="1" si="34"/>
        <v>-1.1828011014808861</v>
      </c>
      <c r="AN101" s="14">
        <f t="shared" ca="1" si="35"/>
        <v>0.663066314401492</v>
      </c>
      <c r="AO101" s="14">
        <f t="shared" ca="1" si="37"/>
        <v>-0.47495622647735558</v>
      </c>
      <c r="AP101" s="14">
        <f ca="1">(AV101-$AP$3)/$AP$4</f>
        <v>0.72494621290729733</v>
      </c>
      <c r="AQ101" s="22">
        <f t="shared" si="38"/>
        <v>6.9917567567567565</v>
      </c>
      <c r="AR101" s="22">
        <f t="shared" si="39"/>
        <v>4.2498648648648647</v>
      </c>
      <c r="AS101" s="22">
        <f ca="1">(U101-AS$3)</f>
        <v>-1.9919561467144853E-2</v>
      </c>
      <c r="AT101" s="22">
        <f ca="1">(W101-AT$3)</f>
        <v>3.9903718687513856E-2</v>
      </c>
      <c r="AU101" s="11">
        <f ca="1">AS101*V101</f>
        <v>-0.30538572011974546</v>
      </c>
      <c r="AV101" s="11">
        <f ca="1">AT101*X101</f>
        <v>0.20188585458673394</v>
      </c>
    </row>
    <row r="102" spans="1:48">
      <c r="A102">
        <v>97</v>
      </c>
      <c r="B102" s="27" t="str">
        <f t="shared" si="36"/>
        <v>Andrew Wiggins</v>
      </c>
      <c r="C102" s="21">
        <v>9.6137167749727528</v>
      </c>
      <c r="D102" s="12">
        <f t="shared" ca="1" si="20"/>
        <v>9.7735449194914246</v>
      </c>
      <c r="E102" s="12">
        <f t="shared" ca="1" si="21"/>
        <v>9.7735449194914246</v>
      </c>
      <c r="F102" s="29">
        <f ca="1">SUM(AI102:AN102,AP102,AO102)+$A$4</f>
        <v>1.8280970725329913</v>
      </c>
      <c r="G102" s="29">
        <f ca="1">SUM(Y102:AF102)+$A$4</f>
        <v>1.8280970725329913</v>
      </c>
      <c r="H102" s="10">
        <v>1</v>
      </c>
      <c r="I102" s="10">
        <v>0</v>
      </c>
      <c r="J102" t="e">
        <f>VLOOKUP(N102,Schedule!#REF!,2,0)</f>
        <v>#REF!</v>
      </c>
      <c r="K102" s="17">
        <v>97</v>
      </c>
      <c r="L102" s="17" t="s">
        <v>158</v>
      </c>
      <c r="M102" s="17" t="s">
        <v>48</v>
      </c>
      <c r="N102" s="17" t="s">
        <v>29</v>
      </c>
      <c r="O102" s="22">
        <v>18.321081081081083</v>
      </c>
      <c r="P102" s="22">
        <v>1.8693243243243245</v>
      </c>
      <c r="Q102" s="22">
        <v>4.8860810810810813</v>
      </c>
      <c r="R102" s="22">
        <v>2.4783783783783786</v>
      </c>
      <c r="S102" s="22">
        <v>0.99135135135135133</v>
      </c>
      <c r="T102" s="22">
        <v>0.84972972972972971</v>
      </c>
      <c r="U102" s="22">
        <v>0.47715482101830581</v>
      </c>
      <c r="V102" s="22">
        <v>14.587027027027029</v>
      </c>
      <c r="W102" s="22">
        <v>0.72300922530590195</v>
      </c>
      <c r="X102" s="22">
        <v>3.5009459459459458</v>
      </c>
      <c r="Y102" s="14">
        <f t="shared" ca="1" si="22"/>
        <v>0.37939137168560511</v>
      </c>
      <c r="Z102" s="14">
        <f t="shared" ca="1" si="23"/>
        <v>0.14429748341544987</v>
      </c>
      <c r="AA102" s="14">
        <f t="shared" ca="1" si="24"/>
        <v>-0.34358180871730937</v>
      </c>
      <c r="AB102" s="14">
        <f t="shared" ca="1" si="25"/>
        <v>-0.54567262297128183</v>
      </c>
      <c r="AC102" s="14">
        <f t="shared" ca="1" si="26"/>
        <v>6.7779390545026751E-3</v>
      </c>
      <c r="AD102" s="14">
        <f t="shared" ca="1" si="27"/>
        <v>0.32928825420305907</v>
      </c>
      <c r="AE102" s="14">
        <f ca="1">U$4*AO102</f>
        <v>2.6772953496166818E-2</v>
      </c>
      <c r="AF102" s="15">
        <f ca="1">AP102*W$4</f>
        <v>-0.96917649763320091</v>
      </c>
      <c r="AG102" s="12">
        <f t="shared" ca="1" si="28"/>
        <v>-0.97190292746700857</v>
      </c>
      <c r="AH102" s="14">
        <f t="shared" ca="1" si="29"/>
        <v>-0.31959801832809676</v>
      </c>
      <c r="AI102" s="14">
        <f t="shared" ca="1" si="30"/>
        <v>0.37939137168560511</v>
      </c>
      <c r="AJ102" s="14">
        <f t="shared" ca="1" si="31"/>
        <v>0.14429748341544987</v>
      </c>
      <c r="AK102" s="14">
        <f t="shared" ca="1" si="32"/>
        <v>-0.34358180871730937</v>
      </c>
      <c r="AL102" s="14">
        <f t="shared" ca="1" si="33"/>
        <v>-0.54567262297128183</v>
      </c>
      <c r="AM102" s="14">
        <f t="shared" ca="1" si="34"/>
        <v>6.7779390545026751E-3</v>
      </c>
      <c r="AN102" s="14">
        <f t="shared" ca="1" si="35"/>
        <v>0.32928825420305907</v>
      </c>
      <c r="AO102" s="14">
        <f t="shared" ca="1" si="37"/>
        <v>2.6772953496166818E-2</v>
      </c>
      <c r="AP102" s="14">
        <f ca="1">(AV102-$AP$3)/$AP$4</f>
        <v>-0.96917649763320091</v>
      </c>
      <c r="AQ102" s="22">
        <f t="shared" si="38"/>
        <v>6.9602702702702715</v>
      </c>
      <c r="AR102" s="22">
        <f t="shared" si="39"/>
        <v>2.5312162162162162</v>
      </c>
      <c r="AS102" s="22">
        <f ca="1">(U102-AS$3)</f>
        <v>1.1801158301938397E-3</v>
      </c>
      <c r="AT102" s="22">
        <f ca="1">(W102-AT$3)</f>
        <v>-7.709346643421322E-2</v>
      </c>
      <c r="AU102" s="11">
        <f ca="1">AS102*V102</f>
        <v>1.7214381510059978E-2</v>
      </c>
      <c r="AV102" s="11">
        <f ca="1">AT102*X102</f>
        <v>-0.26990005877177864</v>
      </c>
    </row>
    <row r="103" spans="1:48">
      <c r="A103">
        <v>98</v>
      </c>
      <c r="B103" s="27" t="str">
        <f t="shared" si="36"/>
        <v>Evan Fournier</v>
      </c>
      <c r="C103" s="21">
        <v>9.2751462694777889</v>
      </c>
      <c r="D103" s="12">
        <f t="shared" ca="1" si="20"/>
        <v>9.4420094942933765</v>
      </c>
      <c r="E103" s="12">
        <f t="shared" ca="1" si="21"/>
        <v>9.4420094942933765</v>
      </c>
      <c r="F103" s="29">
        <f ca="1">SUM(AI103:AN103,AP103,AO103)+$A$4</f>
        <v>1.7660848809241076</v>
      </c>
      <c r="G103" s="29">
        <f ca="1">SUM(Y103:AF103)+$A$4</f>
        <v>1.7660848809241076</v>
      </c>
      <c r="H103" s="10">
        <v>1</v>
      </c>
      <c r="I103" s="10">
        <v>0</v>
      </c>
      <c r="J103" t="e">
        <f>VLOOKUP(N103,Schedule!#REF!,2,0)</f>
        <v>#REF!</v>
      </c>
      <c r="K103" s="17">
        <v>98</v>
      </c>
      <c r="L103" s="17" t="s">
        <v>159</v>
      </c>
      <c r="M103" s="17" t="s">
        <v>48</v>
      </c>
      <c r="N103" s="17" t="s">
        <v>88</v>
      </c>
      <c r="O103" s="22">
        <v>15.22763888888889</v>
      </c>
      <c r="P103" s="22">
        <v>2.5704166666666666</v>
      </c>
      <c r="Q103" s="22">
        <v>3.0393055555555555</v>
      </c>
      <c r="R103" s="22">
        <v>3.1040277777777781</v>
      </c>
      <c r="S103" s="22">
        <v>1.0993055555555555</v>
      </c>
      <c r="T103" s="22">
        <v>0.45263888888888892</v>
      </c>
      <c r="U103" s="22">
        <v>0.45978451515910806</v>
      </c>
      <c r="V103" s="22">
        <v>11.640416666666665</v>
      </c>
      <c r="W103" s="22">
        <v>0.7989772727272727</v>
      </c>
      <c r="X103" s="22">
        <v>2.4444444444444446</v>
      </c>
      <c r="Y103" s="14">
        <f t="shared" ca="1" si="22"/>
        <v>-0.15848153697681433</v>
      </c>
      <c r="Z103" s="14">
        <f t="shared" ca="1" si="23"/>
        <v>0.84050773126135747</v>
      </c>
      <c r="AA103" s="14">
        <f t="shared" ca="1" si="24"/>
        <v>-1.1156290958157982</v>
      </c>
      <c r="AB103" s="14">
        <f t="shared" ca="1" si="25"/>
        <v>-0.24777925844593149</v>
      </c>
      <c r="AC103" s="14">
        <f t="shared" ca="1" si="26"/>
        <v>0.3514672513782568</v>
      </c>
      <c r="AD103" s="14">
        <f t="shared" ca="1" si="27"/>
        <v>-0.40101521436009185</v>
      </c>
      <c r="AE103" s="14">
        <f ca="1">U$4*AO103</f>
        <v>-0.29310642082809613</v>
      </c>
      <c r="AF103" s="15">
        <f ca="1">AP103*W$4</f>
        <v>-9.8785752887745465E-3</v>
      </c>
      <c r="AG103" s="12">
        <f t="shared" ca="1" si="28"/>
        <v>-1.0339151190758922</v>
      </c>
      <c r="AH103" s="14">
        <f t="shared" ca="1" si="29"/>
        <v>-0.33998994533055377</v>
      </c>
      <c r="AI103" s="14">
        <f t="shared" ca="1" si="30"/>
        <v>-0.15848153697681433</v>
      </c>
      <c r="AJ103" s="14">
        <f t="shared" ca="1" si="31"/>
        <v>0.84050773126135747</v>
      </c>
      <c r="AK103" s="14">
        <f t="shared" ca="1" si="32"/>
        <v>-1.1156290958157982</v>
      </c>
      <c r="AL103" s="14">
        <f t="shared" ca="1" si="33"/>
        <v>-0.24777925844593149</v>
      </c>
      <c r="AM103" s="14">
        <f t="shared" ca="1" si="34"/>
        <v>0.3514672513782568</v>
      </c>
      <c r="AN103" s="14">
        <f t="shared" ca="1" si="35"/>
        <v>-0.40101521436009185</v>
      </c>
      <c r="AO103" s="14">
        <f t="shared" ca="1" si="37"/>
        <v>-0.29310642082809613</v>
      </c>
      <c r="AP103" s="14">
        <f ca="1">(AV103-$AP$3)/$AP$4</f>
        <v>-9.8785752887745465E-3</v>
      </c>
      <c r="AQ103" s="22">
        <f t="shared" si="38"/>
        <v>5.3520833333333337</v>
      </c>
      <c r="AR103" s="22">
        <f t="shared" si="39"/>
        <v>1.9530555555555555</v>
      </c>
      <c r="AS103" s="22">
        <f ca="1">(U103-AS$3)</f>
        <v>-1.6190190029003904E-2</v>
      </c>
      <c r="AT103" s="22">
        <f ca="1">(W103-AT$3)</f>
        <v>-1.1254190128424657E-3</v>
      </c>
      <c r="AU103" s="11">
        <f ca="1">AS103*V103</f>
        <v>-0.1884605578501175</v>
      </c>
      <c r="AV103" s="11">
        <f ca="1">AT103*X103</f>
        <v>-2.7510242536149163E-3</v>
      </c>
    </row>
    <row r="104" spans="1:48">
      <c r="A104">
        <v>99</v>
      </c>
      <c r="B104" s="27" t="str">
        <f t="shared" si="36"/>
        <v>Tyrese Maxey</v>
      </c>
      <c r="C104" s="21">
        <v>9.2369585078209564</v>
      </c>
      <c r="D104" s="12">
        <f t="shared" ca="1" si="20"/>
        <v>9.3327663057536494</v>
      </c>
      <c r="E104" s="12">
        <f t="shared" ca="1" si="21"/>
        <v>9.3327663057536494</v>
      </c>
      <c r="F104" s="29">
        <f ca="1">SUM(AI104:AN104,AP104,AO104)+$A$4</f>
        <v>1.7456514399557885</v>
      </c>
      <c r="G104" s="29">
        <f ca="1">SUM(Y104:AF104)+$A$4</f>
        <v>1.7456514399557885</v>
      </c>
      <c r="H104" s="10">
        <v>1</v>
      </c>
      <c r="I104" s="10">
        <v>0</v>
      </c>
      <c r="J104" t="e">
        <f>VLOOKUP(N104,Schedule!#REF!,2,0)</f>
        <v>#REF!</v>
      </c>
      <c r="K104" s="17">
        <v>99</v>
      </c>
      <c r="L104" s="17" t="s">
        <v>160</v>
      </c>
      <c r="M104" s="17" t="s">
        <v>39</v>
      </c>
      <c r="N104" s="17" t="s">
        <v>37</v>
      </c>
      <c r="O104" s="22">
        <v>16.764000000000003</v>
      </c>
      <c r="P104" s="22">
        <v>1.2141333333333333</v>
      </c>
      <c r="Q104" s="22">
        <v>3.6165333333333334</v>
      </c>
      <c r="R104" s="22">
        <v>4.567733333333333</v>
      </c>
      <c r="S104" s="22">
        <v>0.81666666666666665</v>
      </c>
      <c r="T104" s="22">
        <v>0.52560000000000007</v>
      </c>
      <c r="U104" s="22">
        <v>0.47228205747404012</v>
      </c>
      <c r="V104" s="22">
        <v>13.803333333333333</v>
      </c>
      <c r="W104" s="22">
        <v>0.86385105700004583</v>
      </c>
      <c r="X104" s="22">
        <v>2.9076</v>
      </c>
      <c r="Y104" s="14">
        <f t="shared" ca="1" si="22"/>
        <v>0.10865357279666073</v>
      </c>
      <c r="Z104" s="14">
        <f t="shared" ca="1" si="23"/>
        <v>-0.50633104962521802</v>
      </c>
      <c r="AA104" s="14">
        <f t="shared" ca="1" si="24"/>
        <v>-0.87431815482073183</v>
      </c>
      <c r="AB104" s="14">
        <f t="shared" ca="1" si="25"/>
        <v>0.44914168967207596</v>
      </c>
      <c r="AC104" s="14">
        <f t="shared" ca="1" si="26"/>
        <v>-0.55097656695398933</v>
      </c>
      <c r="AD104" s="14">
        <f t="shared" ca="1" si="27"/>
        <v>-0.26682991710710702</v>
      </c>
      <c r="AE104" s="14">
        <f ca="1">U$4*AO104</f>
        <v>-7.9273258994968496E-2</v>
      </c>
      <c r="AF104" s="15">
        <f ca="1">AP104*W$4</f>
        <v>0.66558512498906675</v>
      </c>
      <c r="AG104" s="12">
        <f t="shared" ca="1" si="28"/>
        <v>-1.0543485600442113</v>
      </c>
      <c r="AH104" s="14">
        <f t="shared" ca="1" si="29"/>
        <v>-0.34670922465006238</v>
      </c>
      <c r="AI104" s="14">
        <f t="shared" ca="1" si="30"/>
        <v>0.10865357279666073</v>
      </c>
      <c r="AJ104" s="14">
        <f t="shared" ca="1" si="31"/>
        <v>-0.50633104962521802</v>
      </c>
      <c r="AK104" s="14">
        <f t="shared" ca="1" si="32"/>
        <v>-0.87431815482073183</v>
      </c>
      <c r="AL104" s="14">
        <f t="shared" ca="1" si="33"/>
        <v>0.44914168967207596</v>
      </c>
      <c r="AM104" s="14">
        <f t="shared" ca="1" si="34"/>
        <v>-0.55097656695398933</v>
      </c>
      <c r="AN104" s="14">
        <f t="shared" ca="1" si="35"/>
        <v>-0.26682991710710702</v>
      </c>
      <c r="AO104" s="14">
        <f t="shared" ca="1" si="37"/>
        <v>-7.9273258994968496E-2</v>
      </c>
      <c r="AP104" s="14">
        <f ca="1">(AV104-$AP$3)/$AP$4</f>
        <v>0.66558512498906675</v>
      </c>
      <c r="AQ104" s="22">
        <f t="shared" si="38"/>
        <v>6.5190666666666672</v>
      </c>
      <c r="AR104" s="22">
        <f t="shared" si="39"/>
        <v>2.5117333333333334</v>
      </c>
      <c r="AS104" s="22">
        <f ca="1">(U104-AS$3)</f>
        <v>-3.6926477140718506E-3</v>
      </c>
      <c r="AT104" s="22">
        <f ca="1">(W104-AT$3)</f>
        <v>6.3748365259930662E-2</v>
      </c>
      <c r="AU104" s="11">
        <f ca="1">AS104*V104</f>
        <v>-5.0970847279905106E-2</v>
      </c>
      <c r="AV104" s="11">
        <f ca="1">AT104*X104</f>
        <v>0.1853547468297744</v>
      </c>
    </row>
    <row r="105" spans="1:48">
      <c r="A105">
        <v>100</v>
      </c>
      <c r="B105" s="27" t="str">
        <f t="shared" si="36"/>
        <v>Nickeil Alexander-Walker</v>
      </c>
      <c r="C105" s="21">
        <v>9.1456196116152721</v>
      </c>
      <c r="D105" s="12">
        <f t="shared" ca="1" si="20"/>
        <v>9.3700350571031361</v>
      </c>
      <c r="E105" s="12">
        <f t="shared" ca="1" si="21"/>
        <v>9.3700350571031361</v>
      </c>
      <c r="F105" s="29">
        <f ca="1">SUM(AI105:AN105,AP105,AO105)+$A$4</f>
        <v>1.7526223901893196</v>
      </c>
      <c r="G105" s="29">
        <f ca="1">SUM(Y105:AF105)+$A$4</f>
        <v>1.7526223901893196</v>
      </c>
      <c r="H105" s="10">
        <v>1</v>
      </c>
      <c r="I105" s="10">
        <v>0</v>
      </c>
      <c r="J105" t="e">
        <f>VLOOKUP(N105,Schedule!#REF!,2,0)</f>
        <v>#REF!</v>
      </c>
      <c r="K105" s="17">
        <v>100</v>
      </c>
      <c r="L105" s="17" t="s">
        <v>161</v>
      </c>
      <c r="M105" s="17" t="s">
        <v>39</v>
      </c>
      <c r="N105" s="17" t="s">
        <v>77</v>
      </c>
      <c r="O105" s="22">
        <v>15.055735294117644</v>
      </c>
      <c r="P105" s="22">
        <v>2.341176470588235</v>
      </c>
      <c r="Q105" s="22">
        <v>4.4624999999999995</v>
      </c>
      <c r="R105" s="22">
        <v>2.756176470588235</v>
      </c>
      <c r="S105" s="22">
        <v>1.3780882352941175</v>
      </c>
      <c r="T105" s="22">
        <v>0.65617647058823525</v>
      </c>
      <c r="U105" s="22">
        <v>0.41343619620773175</v>
      </c>
      <c r="V105" s="22">
        <v>13.781911764705884</v>
      </c>
      <c r="W105" s="22">
        <v>0.73602560945579909</v>
      </c>
      <c r="X105" s="22">
        <v>1.7916176470588234</v>
      </c>
      <c r="Y105" s="14">
        <f t="shared" ca="1" si="22"/>
        <v>-0.18837131049917386</v>
      </c>
      <c r="Z105" s="14">
        <f t="shared" ca="1" si="23"/>
        <v>0.61286386170376184</v>
      </c>
      <c r="AA105" s="14">
        <f t="shared" ca="1" si="24"/>
        <v>-0.520660516981994</v>
      </c>
      <c r="AB105" s="14">
        <f t="shared" ca="1" si="25"/>
        <v>-0.41340332258266377</v>
      </c>
      <c r="AC105" s="14">
        <f t="shared" ca="1" si="26"/>
        <v>1.2415984961521034</v>
      </c>
      <c r="AD105" s="14">
        <f t="shared" ca="1" si="27"/>
        <v>-2.6682223996390968E-2</v>
      </c>
      <c r="AE105" s="14">
        <f ca="1">U$4*AO105</f>
        <v>-1.3404846580460374</v>
      </c>
      <c r="AF105" s="15">
        <f ca="1">AP105*W$4</f>
        <v>-0.41223793556028521</v>
      </c>
      <c r="AG105" s="12">
        <f t="shared" ca="1" si="28"/>
        <v>-1.0473776098106802</v>
      </c>
      <c r="AH105" s="14">
        <f t="shared" ca="1" si="29"/>
        <v>-0.34441691559579629</v>
      </c>
      <c r="AI105" s="14">
        <f t="shared" ca="1" si="30"/>
        <v>-0.18837131049917386</v>
      </c>
      <c r="AJ105" s="14">
        <f t="shared" ca="1" si="31"/>
        <v>0.61286386170376184</v>
      </c>
      <c r="AK105" s="14">
        <f t="shared" ca="1" si="32"/>
        <v>-0.520660516981994</v>
      </c>
      <c r="AL105" s="14">
        <f t="shared" ca="1" si="33"/>
        <v>-0.41340332258266377</v>
      </c>
      <c r="AM105" s="14">
        <f t="shared" ca="1" si="34"/>
        <v>1.2415984961521034</v>
      </c>
      <c r="AN105" s="14">
        <f t="shared" ca="1" si="35"/>
        <v>-2.6682223996390968E-2</v>
      </c>
      <c r="AO105" s="14">
        <f t="shared" ca="1" si="37"/>
        <v>-1.3404846580460374</v>
      </c>
      <c r="AP105" s="14">
        <f ca="1">(AV105-$AP$3)/$AP$4</f>
        <v>-0.41223793556028521</v>
      </c>
      <c r="AQ105" s="22">
        <f t="shared" si="38"/>
        <v>5.6979411764705885</v>
      </c>
      <c r="AR105" s="22">
        <f t="shared" si="39"/>
        <v>1.3186764705882352</v>
      </c>
      <c r="AS105" s="22">
        <f ca="1">(U105-AS$3)</f>
        <v>-6.2538508980380214E-2</v>
      </c>
      <c r="AT105" s="22">
        <f ca="1">(W105-AT$3)</f>
        <v>-6.4077082284316078E-2</v>
      </c>
      <c r="AU105" s="11">
        <f ca="1">AS105*V105</f>
        <v>-0.86190021266386663</v>
      </c>
      <c r="AV105" s="11">
        <f ca="1">AT105*X105</f>
        <v>-0.11480163139262099</v>
      </c>
    </row>
    <row r="106" spans="1:48">
      <c r="A106">
        <v>101</v>
      </c>
      <c r="B106" s="27" t="str">
        <f t="shared" si="36"/>
        <v>Bojan Bogdanovic</v>
      </c>
      <c r="C106" s="21">
        <v>8.0043369893125345</v>
      </c>
      <c r="D106" s="12">
        <f t="shared" ca="1" si="20"/>
        <v>8.1295171652204168</v>
      </c>
      <c r="E106" s="12">
        <f t="shared" ca="1" si="21"/>
        <v>8.1295171652204168</v>
      </c>
      <c r="F106" s="29">
        <f ca="1">SUM(AI106:AN106,AP106,AO106)+$A$4</f>
        <v>1.5205891673150953</v>
      </c>
      <c r="G106" s="29">
        <f ca="1">SUM(Y106:AF106)+$A$4</f>
        <v>1.5205891673150953</v>
      </c>
      <c r="H106" s="10">
        <v>1</v>
      </c>
      <c r="I106" s="10">
        <v>0</v>
      </c>
      <c r="J106" t="e">
        <f>VLOOKUP(N106,Schedule!#REF!,2,0)</f>
        <v>#REF!</v>
      </c>
      <c r="K106" s="17">
        <v>101</v>
      </c>
      <c r="L106" s="17" t="s">
        <v>162</v>
      </c>
      <c r="M106" s="17" t="s">
        <v>33</v>
      </c>
      <c r="N106" s="17" t="s">
        <v>67</v>
      </c>
      <c r="O106" s="22">
        <v>18.75407894736842</v>
      </c>
      <c r="P106" s="22">
        <v>2.4138157894736842</v>
      </c>
      <c r="Q106" s="22">
        <v>4.1480263157894735</v>
      </c>
      <c r="R106" s="22">
        <v>2.04</v>
      </c>
      <c r="S106" s="22">
        <v>0.74802631578947365</v>
      </c>
      <c r="T106" s="22">
        <v>6.8026315789473685E-2</v>
      </c>
      <c r="U106" s="22">
        <v>0.4522742074016744</v>
      </c>
      <c r="V106" s="22">
        <v>13.940657894736843</v>
      </c>
      <c r="W106" s="22">
        <v>0.89198628197464058</v>
      </c>
      <c r="X106" s="22">
        <v>4.1819736842105257</v>
      </c>
      <c r="Y106" s="14">
        <f t="shared" ca="1" si="22"/>
        <v>0.4546789663180254</v>
      </c>
      <c r="Z106" s="14">
        <f t="shared" ca="1" si="23"/>
        <v>0.68499735275807172</v>
      </c>
      <c r="AA106" s="14">
        <f t="shared" ca="1" si="24"/>
        <v>-0.65212671382230281</v>
      </c>
      <c r="AB106" s="14">
        <f t="shared" ca="1" si="25"/>
        <v>-0.75439976343631532</v>
      </c>
      <c r="AC106" s="14">
        <f t="shared" ca="1" si="26"/>
        <v>-0.77013982711537021</v>
      </c>
      <c r="AD106" s="14">
        <f t="shared" ca="1" si="27"/>
        <v>-1.1083694701085474</v>
      </c>
      <c r="AE106" s="14">
        <f ca="1">U$4*AO106</f>
        <v>-0.51386092853906673</v>
      </c>
      <c r="AF106" s="15">
        <f ca="1">AP106*W$4</f>
        <v>1.3798095512606006</v>
      </c>
      <c r="AG106" s="12">
        <f t="shared" ca="1" si="28"/>
        <v>-1.2794108326849045</v>
      </c>
      <c r="AH106" s="14">
        <f t="shared" ca="1" si="29"/>
        <v>-0.42071811412202598</v>
      </c>
      <c r="AI106" s="14">
        <f t="shared" ca="1" si="30"/>
        <v>0.4546789663180254</v>
      </c>
      <c r="AJ106" s="14">
        <f t="shared" ca="1" si="31"/>
        <v>0.68499735275807172</v>
      </c>
      <c r="AK106" s="14">
        <f t="shared" ca="1" si="32"/>
        <v>-0.65212671382230281</v>
      </c>
      <c r="AL106" s="14">
        <f t="shared" ca="1" si="33"/>
        <v>-0.75439976343631532</v>
      </c>
      <c r="AM106" s="14">
        <f t="shared" ca="1" si="34"/>
        <v>-0.77013982711537021</v>
      </c>
      <c r="AN106" s="14">
        <f t="shared" ca="1" si="35"/>
        <v>-1.1083694701085474</v>
      </c>
      <c r="AO106" s="14">
        <f t="shared" ca="1" si="37"/>
        <v>-0.51386092853906673</v>
      </c>
      <c r="AP106" s="14">
        <f ca="1">(AV106-$AP$3)/$AP$4</f>
        <v>1.3798095512606006</v>
      </c>
      <c r="AQ106" s="22">
        <f t="shared" si="38"/>
        <v>6.3050000000000006</v>
      </c>
      <c r="AR106" s="22">
        <f t="shared" si="39"/>
        <v>3.7302631578947367</v>
      </c>
      <c r="AS106" s="22">
        <f ca="1">(U106-AS$3)</f>
        <v>-2.3700497786437569E-2</v>
      </c>
      <c r="AT106" s="22">
        <f ca="1">(W106-AT$3)</f>
        <v>9.1883590234525414E-2</v>
      </c>
      <c r="AU106" s="11">
        <f ca="1">AS106*V106</f>
        <v>-0.33040053157569393</v>
      </c>
      <c r="AV106" s="11">
        <f ca="1">AT106*X106</f>
        <v>0.38425475637156853</v>
      </c>
    </row>
    <row r="107" spans="1:48">
      <c r="A107">
        <v>102</v>
      </c>
      <c r="B107" s="27" t="str">
        <f t="shared" si="36"/>
        <v>Chris Boucher</v>
      </c>
      <c r="C107" s="21">
        <v>7.8099392132614947</v>
      </c>
      <c r="D107" s="12">
        <f t="shared" ca="1" si="20"/>
        <v>7.6487418935781548</v>
      </c>
      <c r="E107" s="12">
        <f t="shared" ca="1" si="21"/>
        <v>7.6487418935781548</v>
      </c>
      <c r="F107" s="29">
        <f ca="1">SUM(AI107:AN107,AP107,AO107)+$A$4</f>
        <v>1.4306623420050002</v>
      </c>
      <c r="G107" s="29">
        <f ca="1">SUM(Y107:AF107)+$A$4</f>
        <v>1.4306623420050002</v>
      </c>
      <c r="H107" s="10">
        <v>1</v>
      </c>
      <c r="I107" s="10">
        <v>0</v>
      </c>
      <c r="J107" t="e">
        <f>VLOOKUP(N107,Schedule!#REF!,2,0)</f>
        <v>#REF!</v>
      </c>
      <c r="K107" s="17">
        <v>102</v>
      </c>
      <c r="L107" s="17" t="s">
        <v>163</v>
      </c>
      <c r="M107" s="17" t="s">
        <v>63</v>
      </c>
      <c r="N107" s="17" t="s">
        <v>57</v>
      </c>
      <c r="O107" s="22">
        <v>11.962162162162162</v>
      </c>
      <c r="P107" s="22">
        <v>1.289054054054054</v>
      </c>
      <c r="Q107" s="22">
        <v>6.4849999999999994</v>
      </c>
      <c r="R107" s="22">
        <v>0.96797297297297291</v>
      </c>
      <c r="S107" s="22">
        <v>0.53229729729729736</v>
      </c>
      <c r="T107" s="22">
        <v>1.6939189189189188</v>
      </c>
      <c r="U107" s="22">
        <v>0.50189647658860181</v>
      </c>
      <c r="V107" s="22">
        <v>8.3725675675675664</v>
      </c>
      <c r="W107" s="22">
        <v>0.7970092570614763</v>
      </c>
      <c r="X107" s="22">
        <v>2.8466216216216216</v>
      </c>
      <c r="Y107" s="14">
        <f t="shared" ca="1" si="22"/>
        <v>-0.72626698634034259</v>
      </c>
      <c r="Z107" s="14">
        <f t="shared" ca="1" si="23"/>
        <v>-0.43193204340087521</v>
      </c>
      <c r="AA107" s="14">
        <f t="shared" ca="1" si="24"/>
        <v>0.32484865106503036</v>
      </c>
      <c r="AB107" s="14">
        <f t="shared" ca="1" si="25"/>
        <v>-1.2648289882541668</v>
      </c>
      <c r="AC107" s="14">
        <f t="shared" ca="1" si="26"/>
        <v>-1.458945673821346</v>
      </c>
      <c r="AD107" s="14">
        <f t="shared" ca="1" si="27"/>
        <v>1.8818657240910786</v>
      </c>
      <c r="AE107" s="14">
        <f ca="1">U$4*AO107</f>
        <v>0.33754229376446759</v>
      </c>
      <c r="AF107" s="15">
        <f ca="1">AP107*W$4</f>
        <v>-3.1620635098845939E-2</v>
      </c>
      <c r="AG107" s="12">
        <f t="shared" ca="1" si="28"/>
        <v>-1.3693376579949996</v>
      </c>
      <c r="AH107" s="14">
        <f t="shared" ca="1" si="29"/>
        <v>-0.45028941630808617</v>
      </c>
      <c r="AI107" s="14">
        <f t="shared" ca="1" si="30"/>
        <v>-0.72626698634034259</v>
      </c>
      <c r="AJ107" s="14">
        <f t="shared" ca="1" si="31"/>
        <v>-0.43193204340087521</v>
      </c>
      <c r="AK107" s="14">
        <f t="shared" ca="1" si="32"/>
        <v>0.32484865106503036</v>
      </c>
      <c r="AL107" s="14">
        <f t="shared" ca="1" si="33"/>
        <v>-1.2648289882541668</v>
      </c>
      <c r="AM107" s="14">
        <f t="shared" ca="1" si="34"/>
        <v>-1.458945673821346</v>
      </c>
      <c r="AN107" s="14">
        <f t="shared" ca="1" si="35"/>
        <v>1.8818657240910786</v>
      </c>
      <c r="AO107" s="14">
        <f t="shared" ca="1" si="37"/>
        <v>0.33754229376446759</v>
      </c>
      <c r="AP107" s="14">
        <f ca="1">(AV107-$AP$3)/$AP$4</f>
        <v>-3.1620635098845939E-2</v>
      </c>
      <c r="AQ107" s="22">
        <f t="shared" si="38"/>
        <v>4.2021621621621623</v>
      </c>
      <c r="AR107" s="22">
        <f t="shared" si="39"/>
        <v>2.2687837837837836</v>
      </c>
      <c r="AS107" s="22">
        <f ca="1">(U107-AS$3)</f>
        <v>2.5921771400489846E-2</v>
      </c>
      <c r="AT107" s="22">
        <f ca="1">(W107-AT$3)</f>
        <v>-3.0934346786388733E-3</v>
      </c>
      <c r="AU107" s="11">
        <f ca="1">AS107*V107</f>
        <v>0.21703178252164176</v>
      </c>
      <c r="AV107" s="11">
        <f ca="1">AT107*X107</f>
        <v>-8.8058380412875496E-3</v>
      </c>
    </row>
    <row r="108" spans="1:48">
      <c r="A108">
        <v>103</v>
      </c>
      <c r="B108" s="27" t="str">
        <f t="shared" si="36"/>
        <v>Nerlens Noel</v>
      </c>
      <c r="C108" s="21">
        <v>7.3207765434574679</v>
      </c>
      <c r="D108" s="12">
        <f t="shared" ca="1" si="20"/>
        <v>7.039577242622947</v>
      </c>
      <c r="E108" s="12">
        <f t="shared" ca="1" si="21"/>
        <v>7.0395772426229462</v>
      </c>
      <c r="F108" s="29">
        <f ca="1">SUM(AI108:AN108,AP108,AO108)+$A$4</f>
        <v>1.3167208679262434</v>
      </c>
      <c r="G108" s="29">
        <f ca="1">SUM(Y108:AF108)+$A$4</f>
        <v>1.3167208679262432</v>
      </c>
      <c r="H108" s="10">
        <v>1</v>
      </c>
      <c r="I108" s="10">
        <v>0</v>
      </c>
      <c r="J108" t="e">
        <f>VLOOKUP(N108,Schedule!#REF!,2,0)</f>
        <v>#REF!</v>
      </c>
      <c r="K108" s="17">
        <v>103</v>
      </c>
      <c r="L108" s="17" t="s">
        <v>164</v>
      </c>
      <c r="M108" s="17" t="s">
        <v>22</v>
      </c>
      <c r="N108" s="17" t="s">
        <v>88</v>
      </c>
      <c r="O108" s="22">
        <v>4.6049999999999995</v>
      </c>
      <c r="P108" s="22">
        <v>0</v>
      </c>
      <c r="Q108" s="22">
        <v>6.2079729729729731</v>
      </c>
      <c r="R108" s="22">
        <v>0.77594594594594601</v>
      </c>
      <c r="S108" s="22">
        <v>1.067027027027027</v>
      </c>
      <c r="T108" s="22">
        <v>2.0855405405405407</v>
      </c>
      <c r="U108" s="22">
        <v>0.64597752808988762</v>
      </c>
      <c r="V108" s="22">
        <v>3.0067567567567566</v>
      </c>
      <c r="W108" s="22">
        <v>0.72599754868582322</v>
      </c>
      <c r="X108" s="22">
        <v>0.99229729729729743</v>
      </c>
      <c r="Y108" s="14">
        <f t="shared" ca="1" si="22"/>
        <v>-2.005495097229637</v>
      </c>
      <c r="Z108" s="14">
        <f t="shared" ca="1" si="23"/>
        <v>-1.7120096997355103</v>
      </c>
      <c r="AA108" s="14">
        <f t="shared" ca="1" si="24"/>
        <v>0.20903708560240414</v>
      </c>
      <c r="AB108" s="14">
        <f t="shared" ca="1" si="25"/>
        <v>-1.3562597116206316</v>
      </c>
      <c r="AC108" s="14">
        <f t="shared" ca="1" si="26"/>
        <v>0.24840443985240537</v>
      </c>
      <c r="AD108" s="14">
        <f t="shared" ca="1" si="27"/>
        <v>2.6021105628513608</v>
      </c>
      <c r="AE108" s="14">
        <f ca="1">U$4*AO108</f>
        <v>0.7949856481810752</v>
      </c>
      <c r="AF108" s="15">
        <f ca="1">AP108*W$4</f>
        <v>-0.26405235997522269</v>
      </c>
      <c r="AG108" s="12">
        <f t="shared" ca="1" si="28"/>
        <v>-1.4832791320737566</v>
      </c>
      <c r="AH108" s="14">
        <f t="shared" ca="1" si="29"/>
        <v>-0.48775763282623141</v>
      </c>
      <c r="AI108" s="14">
        <f t="shared" ca="1" si="30"/>
        <v>-2.005495097229637</v>
      </c>
      <c r="AJ108" s="14">
        <f t="shared" ca="1" si="31"/>
        <v>-1.7120096997355103</v>
      </c>
      <c r="AK108" s="14">
        <f t="shared" ca="1" si="32"/>
        <v>0.20903708560240414</v>
      </c>
      <c r="AL108" s="14">
        <f t="shared" ca="1" si="33"/>
        <v>-1.3562597116206316</v>
      </c>
      <c r="AM108" s="14">
        <f t="shared" ca="1" si="34"/>
        <v>0.24840443985240537</v>
      </c>
      <c r="AN108" s="14">
        <f t="shared" ca="1" si="35"/>
        <v>2.6021105628513608</v>
      </c>
      <c r="AO108" s="14">
        <f t="shared" ca="1" si="37"/>
        <v>0.7949856481810752</v>
      </c>
      <c r="AP108" s="14">
        <f ca="1">(AV108-$AP$3)/$AP$4</f>
        <v>-0.26405235997522269</v>
      </c>
      <c r="AQ108" s="22">
        <f t="shared" si="38"/>
        <v>1.9422972972972972</v>
      </c>
      <c r="AR108" s="22">
        <f t="shared" si="39"/>
        <v>0.72040540540540554</v>
      </c>
      <c r="AS108" s="22">
        <f ca="1">(U108-AS$3)</f>
        <v>0.17000282290177565</v>
      </c>
      <c r="AT108" s="22">
        <f ca="1">(W108-AT$3)</f>
        <v>-7.4105143054291944E-2</v>
      </c>
      <c r="AU108" s="11">
        <f ca="1">AS108*V108</f>
        <v>0.51115713642763627</v>
      </c>
      <c r="AV108" s="11">
        <f ca="1">AT108*X108</f>
        <v>-7.3534333168603486E-2</v>
      </c>
    </row>
    <row r="109" spans="1:48">
      <c r="A109">
        <v>104</v>
      </c>
      <c r="B109" s="27" t="str">
        <f t="shared" si="36"/>
        <v>Klay Thompson</v>
      </c>
      <c r="C109" s="21">
        <v>6.9449871709253799</v>
      </c>
      <c r="D109" s="12">
        <f t="shared" ca="1" si="20"/>
        <v>7.0953628345362549</v>
      </c>
      <c r="E109" s="12">
        <f t="shared" ca="1" si="21"/>
        <v>7.0953628345362549</v>
      </c>
      <c r="F109" s="29">
        <f ca="1">SUM(AI109:AN109,AP109,AO109)+$A$4</f>
        <v>1.3271553088692483</v>
      </c>
      <c r="G109" s="29">
        <f ca="1">SUM(Y109:AF109)+$A$4</f>
        <v>1.3271553088692483</v>
      </c>
      <c r="H109" s="10">
        <v>1</v>
      </c>
      <c r="I109" s="10">
        <v>0</v>
      </c>
      <c r="J109" t="e">
        <f>VLOOKUP(N109,Schedule!#REF!,2,0)</f>
        <v>#REF!</v>
      </c>
      <c r="K109" s="17">
        <v>104</v>
      </c>
      <c r="L109" s="17" t="s">
        <v>165</v>
      </c>
      <c r="M109" s="17" t="s">
        <v>39</v>
      </c>
      <c r="N109" s="17" t="s">
        <v>29</v>
      </c>
      <c r="O109" s="22">
        <v>17.701249999999998</v>
      </c>
      <c r="P109" s="22">
        <v>2.816875</v>
      </c>
      <c r="Q109" s="22">
        <v>3.1115625000000002</v>
      </c>
      <c r="R109" s="22">
        <v>1.99125</v>
      </c>
      <c r="S109" s="22">
        <v>0.87124999999999997</v>
      </c>
      <c r="T109" s="22">
        <v>0.49781249999999999</v>
      </c>
      <c r="U109" s="22">
        <v>0.46159912013115029</v>
      </c>
      <c r="V109" s="22">
        <v>15.0590625</v>
      </c>
      <c r="W109" s="22">
        <v>0.81504539559014277</v>
      </c>
      <c r="X109" s="22">
        <v>1.2046874999999999</v>
      </c>
      <c r="Y109" s="14">
        <f t="shared" ca="1" si="22"/>
        <v>0.27161811272446212</v>
      </c>
      <c r="Z109" s="14">
        <f t="shared" ca="1" si="23"/>
        <v>1.0852498386425615</v>
      </c>
      <c r="AA109" s="14">
        <f t="shared" ca="1" si="24"/>
        <v>-1.0854219714732307</v>
      </c>
      <c r="AB109" s="14">
        <f t="shared" ca="1" si="25"/>
        <v>-0.77761132814740075</v>
      </c>
      <c r="AC109" s="14">
        <f t="shared" ca="1" si="26"/>
        <v>-0.37669626198859735</v>
      </c>
      <c r="AD109" s="14">
        <f t="shared" ca="1" si="27"/>
        <v>-0.3179348672734908</v>
      </c>
      <c r="AE109" s="14">
        <f ca="1">U$4*AO109</f>
        <v>-0.33668853219694866</v>
      </c>
      <c r="AF109" s="15">
        <f ca="1">AP109*W$4</f>
        <v>6.4640318581892953E-2</v>
      </c>
      <c r="AG109" s="12">
        <f t="shared" ca="1" si="28"/>
        <v>-1.4728446911307516</v>
      </c>
      <c r="AH109" s="14">
        <f t="shared" ca="1" si="29"/>
        <v>-0.48432639853986365</v>
      </c>
      <c r="AI109" s="14">
        <f t="shared" ca="1" si="30"/>
        <v>0.27161811272446212</v>
      </c>
      <c r="AJ109" s="14">
        <f t="shared" ca="1" si="31"/>
        <v>1.0852498386425615</v>
      </c>
      <c r="AK109" s="14">
        <f t="shared" ca="1" si="32"/>
        <v>-1.0854219714732307</v>
      </c>
      <c r="AL109" s="14">
        <f t="shared" ca="1" si="33"/>
        <v>-0.77761132814740075</v>
      </c>
      <c r="AM109" s="14">
        <f t="shared" ca="1" si="34"/>
        <v>-0.37669626198859735</v>
      </c>
      <c r="AN109" s="14">
        <f t="shared" ca="1" si="35"/>
        <v>-0.3179348672734908</v>
      </c>
      <c r="AO109" s="14">
        <f t="shared" ca="1" si="37"/>
        <v>-0.33668853219694866</v>
      </c>
      <c r="AP109" s="14">
        <f ca="1">(AV109-$AP$3)/$AP$4</f>
        <v>6.4640318581892953E-2</v>
      </c>
      <c r="AQ109" s="22">
        <f t="shared" si="38"/>
        <v>6.9512499999999999</v>
      </c>
      <c r="AR109" s="22">
        <f t="shared" si="39"/>
        <v>0.98187500000000005</v>
      </c>
      <c r="AS109" s="22">
        <f ca="1">(U109-AS$3)</f>
        <v>-1.4375585056961682E-2</v>
      </c>
      <c r="AT109" s="22">
        <f ca="1">(W109-AT$3)</f>
        <v>1.4942703850027605E-2</v>
      </c>
      <c r="AU109" s="11">
        <f ca="1">AS109*V109</f>
        <v>-0.21648283384685202</v>
      </c>
      <c r="AV109" s="11">
        <f ca="1">AT109*X109</f>
        <v>1.800128854433013E-2</v>
      </c>
    </row>
    <row r="110" spans="1:48">
      <c r="A110">
        <v>105</v>
      </c>
      <c r="B110" s="27" t="str">
        <f t="shared" si="36"/>
        <v>Harrison Barnes</v>
      </c>
      <c r="C110" s="21">
        <v>6.8865399545019201</v>
      </c>
      <c r="D110" s="12">
        <f t="shared" ca="1" si="20"/>
        <v>6.8649310453176051</v>
      </c>
      <c r="E110" s="12">
        <f t="shared" ca="1" si="21"/>
        <v>6.8649310453176042</v>
      </c>
      <c r="F110" s="29">
        <f ca="1">SUM(AI110:AN110,AP110,AO110)+$A$4</f>
        <v>1.284054091986411</v>
      </c>
      <c r="G110" s="29">
        <f ca="1">SUM(Y110:AF110)+$A$4</f>
        <v>1.2840540919864107</v>
      </c>
      <c r="H110" s="10">
        <v>1</v>
      </c>
      <c r="I110" s="10">
        <v>0</v>
      </c>
      <c r="J110" t="e">
        <f>VLOOKUP(N110,Schedule!#REF!,2,0)</f>
        <v>#REF!</v>
      </c>
      <c r="K110" s="17">
        <v>105</v>
      </c>
      <c r="L110" s="17" t="s">
        <v>166</v>
      </c>
      <c r="M110" s="17" t="s">
        <v>33</v>
      </c>
      <c r="N110" s="17" t="s">
        <v>94</v>
      </c>
      <c r="O110" s="22">
        <v>14.934999999999999</v>
      </c>
      <c r="P110" s="22">
        <v>1.7115789473684213</v>
      </c>
      <c r="Q110" s="22">
        <v>6.2135526315789473</v>
      </c>
      <c r="R110" s="22">
        <v>3.3235526315789472</v>
      </c>
      <c r="S110" s="22">
        <v>0.65026315789473688</v>
      </c>
      <c r="T110" s="22">
        <v>0.21671052631578946</v>
      </c>
      <c r="U110" s="22">
        <v>0.48585782466716909</v>
      </c>
      <c r="V110" s="22">
        <v>10.476315789473684</v>
      </c>
      <c r="W110" s="22">
        <v>0.83001399504790607</v>
      </c>
      <c r="X110" s="22">
        <v>3.6667105263157898</v>
      </c>
      <c r="Y110" s="14">
        <f t="shared" ca="1" si="22"/>
        <v>-0.20936418503524212</v>
      </c>
      <c r="Z110" s="14">
        <f t="shared" ca="1" si="23"/>
        <v>-1.2349425064672475E-2</v>
      </c>
      <c r="AA110" s="14">
        <f t="shared" ca="1" si="24"/>
        <v>0.21136967027776812</v>
      </c>
      <c r="AB110" s="14">
        <f t="shared" ca="1" si="25"/>
        <v>-0.14325586665726719</v>
      </c>
      <c r="AC110" s="14">
        <f t="shared" ca="1" si="26"/>
        <v>-1.0822899273707809</v>
      </c>
      <c r="AD110" s="14">
        <f t="shared" ca="1" si="27"/>
        <v>-0.83491920759930893</v>
      </c>
      <c r="AE110" s="14">
        <f ca="1">U$4*AO110</f>
        <v>0.16103025719602443</v>
      </c>
      <c r="AF110" s="15">
        <f ca="1">AP110*W$4</f>
        <v>0.39383277623989021</v>
      </c>
      <c r="AG110" s="12">
        <f t="shared" ca="1" si="28"/>
        <v>-1.5159459080135891</v>
      </c>
      <c r="AH110" s="14">
        <f t="shared" ca="1" si="29"/>
        <v>-0.49849969004252975</v>
      </c>
      <c r="AI110" s="14">
        <f t="shared" ca="1" si="30"/>
        <v>-0.20936418503524212</v>
      </c>
      <c r="AJ110" s="14">
        <f t="shared" ca="1" si="31"/>
        <v>-1.2349425064672475E-2</v>
      </c>
      <c r="AK110" s="14">
        <f t="shared" ca="1" si="32"/>
        <v>0.21136967027776812</v>
      </c>
      <c r="AL110" s="14">
        <f t="shared" ca="1" si="33"/>
        <v>-0.14325586665726719</v>
      </c>
      <c r="AM110" s="14">
        <f t="shared" ca="1" si="34"/>
        <v>-1.0822899273707809</v>
      </c>
      <c r="AN110" s="14">
        <f t="shared" ca="1" si="35"/>
        <v>-0.83491920759930893</v>
      </c>
      <c r="AO110" s="14">
        <f t="shared" ca="1" si="37"/>
        <v>0.16103025719602443</v>
      </c>
      <c r="AP110" s="14">
        <f ca="1">(AV110-$AP$3)/$AP$4</f>
        <v>0.39383277623989021</v>
      </c>
      <c r="AQ110" s="22">
        <f t="shared" si="38"/>
        <v>5.0900000000000007</v>
      </c>
      <c r="AR110" s="22">
        <f t="shared" si="39"/>
        <v>3.043421052631579</v>
      </c>
      <c r="AS110" s="22">
        <f ca="1">(U110-AS$3)</f>
        <v>9.8831194790571231E-3</v>
      </c>
      <c r="AT110" s="22">
        <f ca="1">(W110-AT$3)</f>
        <v>2.9911303307790904E-2</v>
      </c>
      <c r="AU110" s="11">
        <f ca="1">AS110*V110</f>
        <v>0.10353868064770107</v>
      </c>
      <c r="AV110" s="11">
        <f ca="1">AT110*X110</f>
        <v>0.10967609069450121</v>
      </c>
    </row>
    <row r="111" spans="1:48">
      <c r="A111">
        <v>106</v>
      </c>
      <c r="B111" s="27" t="str">
        <f t="shared" si="36"/>
        <v>Jarrett Allen</v>
      </c>
      <c r="C111" s="21">
        <v>6.8091327182687476</v>
      </c>
      <c r="D111" s="12">
        <f t="shared" ca="1" si="20"/>
        <v>6.5603540959809736</v>
      </c>
      <c r="E111" s="12">
        <f t="shared" ca="1" si="21"/>
        <v>6.5603540959809736</v>
      </c>
      <c r="F111" s="29">
        <f ca="1">SUM(AI111:AN111,AP111,AO111)+$A$4</f>
        <v>1.2270843605297208</v>
      </c>
      <c r="G111" s="29">
        <f ca="1">SUM(Y111:AF111)+$A$4</f>
        <v>1.2270843605297208</v>
      </c>
      <c r="H111" s="10">
        <v>1</v>
      </c>
      <c r="I111" s="10">
        <v>0</v>
      </c>
      <c r="J111" t="e">
        <f>VLOOKUP(N111,Schedule!#REF!,2,0)</f>
        <v>#REF!</v>
      </c>
      <c r="K111" s="17">
        <v>106</v>
      </c>
      <c r="L111" s="17" t="s">
        <v>167</v>
      </c>
      <c r="M111" s="17" t="s">
        <v>22</v>
      </c>
      <c r="N111" s="17" t="s">
        <v>118</v>
      </c>
      <c r="O111" s="22">
        <v>12.690897435897435</v>
      </c>
      <c r="P111" s="22">
        <v>0.10602564102564102</v>
      </c>
      <c r="Q111" s="22">
        <v>10.187435897435897</v>
      </c>
      <c r="R111" s="22">
        <v>1.625</v>
      </c>
      <c r="S111" s="22">
        <v>0.5</v>
      </c>
      <c r="T111" s="22">
        <v>1.4374358974358974</v>
      </c>
      <c r="U111" s="22">
        <v>0.61364382302743858</v>
      </c>
      <c r="V111" s="22">
        <v>7.8123076923076926</v>
      </c>
      <c r="W111" s="22">
        <v>0.685010989010989</v>
      </c>
      <c r="X111" s="22">
        <v>4.375</v>
      </c>
      <c r="Y111" s="14">
        <f t="shared" ca="1" si="22"/>
        <v>-0.59955798808648308</v>
      </c>
      <c r="Z111" s="14">
        <f t="shared" ca="1" si="23"/>
        <v>-1.6067223740034051</v>
      </c>
      <c r="AA111" s="14">
        <f t="shared" ca="1" si="24"/>
        <v>1.8726575486613042</v>
      </c>
      <c r="AB111" s="14">
        <f t="shared" ca="1" si="25"/>
        <v>-0.95199564764350331</v>
      </c>
      <c r="AC111" s="14">
        <f t="shared" ca="1" si="26"/>
        <v>-1.5620684125547368</v>
      </c>
      <c r="AD111" s="14">
        <f t="shared" ca="1" si="27"/>
        <v>1.4101589483317147</v>
      </c>
      <c r="AE111" s="14">
        <f ca="1">U$4*AO111</f>
        <v>1.6727102931409101</v>
      </c>
      <c r="AF111" s="15">
        <f ca="1">AP111*W$4</f>
        <v>-1.8080980073160793</v>
      </c>
      <c r="AG111" s="12">
        <f t="shared" ca="1" si="28"/>
        <v>-1.572915639470279</v>
      </c>
      <c r="AH111" s="14">
        <f t="shared" ca="1" si="29"/>
        <v>-0.51723346762841949</v>
      </c>
      <c r="AI111" s="14">
        <f t="shared" ca="1" si="30"/>
        <v>-0.59955798808648308</v>
      </c>
      <c r="AJ111" s="14">
        <f t="shared" ca="1" si="31"/>
        <v>-1.6067223740034051</v>
      </c>
      <c r="AK111" s="14">
        <f t="shared" ca="1" si="32"/>
        <v>1.8726575486613042</v>
      </c>
      <c r="AL111" s="14">
        <f t="shared" ca="1" si="33"/>
        <v>-0.95199564764350331</v>
      </c>
      <c r="AM111" s="14">
        <f t="shared" ca="1" si="34"/>
        <v>-1.5620684125547368</v>
      </c>
      <c r="AN111" s="14">
        <f t="shared" ca="1" si="35"/>
        <v>1.4101589483317147</v>
      </c>
      <c r="AO111" s="14">
        <f t="shared" ca="1" si="37"/>
        <v>1.6727102931409101</v>
      </c>
      <c r="AP111" s="14">
        <f ca="1">(AV111-$AP$3)/$AP$4</f>
        <v>-1.8080980073160793</v>
      </c>
      <c r="AQ111" s="22">
        <f t="shared" si="38"/>
        <v>4.7939743589743591</v>
      </c>
      <c r="AR111" s="22">
        <f t="shared" si="39"/>
        <v>2.996923076923077</v>
      </c>
      <c r="AS111" s="22">
        <f ca="1">(U111-AS$3)</f>
        <v>0.13766911783932662</v>
      </c>
      <c r="AT111" s="22">
        <f ca="1">(W111-AT$3)</f>
        <v>-0.11509170272912617</v>
      </c>
      <c r="AU111" s="11">
        <f ca="1">AS111*V111</f>
        <v>1.0755135082893854</v>
      </c>
      <c r="AV111" s="11">
        <f ca="1">AT111*X111</f>
        <v>-0.50352619943992694</v>
      </c>
    </row>
    <row r="112" spans="1:48">
      <c r="A112">
        <v>107</v>
      </c>
      <c r="B112" s="27" t="str">
        <f t="shared" si="36"/>
        <v>Larry Nance Jr.</v>
      </c>
      <c r="C112" s="21">
        <v>6.2914340876130446</v>
      </c>
      <c r="D112" s="12">
        <f t="shared" ca="1" si="20"/>
        <v>6.271844070006229</v>
      </c>
      <c r="E112" s="12">
        <f t="shared" ca="1" si="21"/>
        <v>6.271844070006229</v>
      </c>
      <c r="F112" s="29">
        <f ca="1">SUM(AI112:AN112,AP112,AO112)+$A$4</f>
        <v>1.1731198739257862</v>
      </c>
      <c r="G112" s="29">
        <f ca="1">SUM(Y112:AF112)+$A$4</f>
        <v>1.1731198739257862</v>
      </c>
      <c r="H112" s="10">
        <v>1</v>
      </c>
      <c r="I112" s="10">
        <v>0</v>
      </c>
      <c r="J112" t="e">
        <f>VLOOKUP(N112,Schedule!#REF!,2,0)</f>
        <v>#REF!</v>
      </c>
      <c r="K112" s="17">
        <v>107</v>
      </c>
      <c r="L112" s="17" t="s">
        <v>168</v>
      </c>
      <c r="M112" s="17" t="s">
        <v>45</v>
      </c>
      <c r="N112" s="17" t="s">
        <v>35</v>
      </c>
      <c r="O112" s="22">
        <v>9.4307936507936514</v>
      </c>
      <c r="P112" s="22">
        <v>1.0826984126984125</v>
      </c>
      <c r="Q112" s="22">
        <v>6.0788888888888888</v>
      </c>
      <c r="R112" s="22">
        <v>2.6133333333333333</v>
      </c>
      <c r="S112" s="22">
        <v>1.4203174603174604</v>
      </c>
      <c r="T112" s="22">
        <v>0.39761904761904765</v>
      </c>
      <c r="U112" s="22">
        <v>0.50129039138317155</v>
      </c>
      <c r="V112" s="22">
        <v>7.4420634920634914</v>
      </c>
      <c r="W112" s="22">
        <v>0.6619668246445497</v>
      </c>
      <c r="X112" s="22">
        <v>1.3396825396825398</v>
      </c>
      <c r="Y112" s="14">
        <f t="shared" ca="1" si="22"/>
        <v>-1.1664092161007</v>
      </c>
      <c r="Z112" s="14">
        <f t="shared" ca="1" si="23"/>
        <v>-0.63685071607189991</v>
      </c>
      <c r="AA112" s="14">
        <f t="shared" ca="1" si="24"/>
        <v>0.15507329003155304</v>
      </c>
      <c r="AB112" s="14">
        <f t="shared" ca="1" si="25"/>
        <v>-0.48141589127859391</v>
      </c>
      <c r="AC112" s="14">
        <f t="shared" ca="1" si="26"/>
        <v>1.3764331016272857</v>
      </c>
      <c r="AD112" s="14">
        <f t="shared" ca="1" si="27"/>
        <v>-0.50220410311430064</v>
      </c>
      <c r="AE112" s="14">
        <f ca="1">U$4*AO112</f>
        <v>0.29301370540868221</v>
      </c>
      <c r="AF112" s="15">
        <f ca="1">AP112*W$4</f>
        <v>-0.66452029657624045</v>
      </c>
      <c r="AG112" s="12">
        <f t="shared" ca="1" si="28"/>
        <v>-1.6268801260742136</v>
      </c>
      <c r="AH112" s="14">
        <f t="shared" ca="1" si="29"/>
        <v>-0.53497900835197709</v>
      </c>
      <c r="AI112" s="14">
        <f t="shared" ca="1" si="30"/>
        <v>-1.1664092161007</v>
      </c>
      <c r="AJ112" s="14">
        <f t="shared" ca="1" si="31"/>
        <v>-0.63685071607189991</v>
      </c>
      <c r="AK112" s="14">
        <f t="shared" ca="1" si="32"/>
        <v>0.15507329003155304</v>
      </c>
      <c r="AL112" s="14">
        <f t="shared" ca="1" si="33"/>
        <v>-0.48141589127859391</v>
      </c>
      <c r="AM112" s="14">
        <f t="shared" ca="1" si="34"/>
        <v>1.3764331016272857</v>
      </c>
      <c r="AN112" s="14">
        <f t="shared" ca="1" si="35"/>
        <v>-0.50220410311430064</v>
      </c>
      <c r="AO112" s="14">
        <f t="shared" ca="1" si="37"/>
        <v>0.29301370540868221</v>
      </c>
      <c r="AP112" s="14">
        <f ca="1">(AV112-$AP$3)/$AP$4</f>
        <v>-0.66452029657624045</v>
      </c>
      <c r="AQ112" s="22">
        <f t="shared" si="38"/>
        <v>3.7306349206349201</v>
      </c>
      <c r="AR112" s="22">
        <f t="shared" si="39"/>
        <v>0.88682539682539685</v>
      </c>
      <c r="AS112" s="22">
        <f ca="1">(U112-AS$3)</f>
        <v>2.5315686195059584E-2</v>
      </c>
      <c r="AT112" s="22">
        <f ca="1">(W112-AT$3)</f>
        <v>-0.13813586709556547</v>
      </c>
      <c r="AU112" s="11">
        <f ca="1">AS112*V112</f>
        <v>0.18840094400878865</v>
      </c>
      <c r="AV112" s="11">
        <f ca="1">AT112*X112</f>
        <v>-0.18505820925183694</v>
      </c>
    </row>
    <row r="113" spans="1:48">
      <c r="A113">
        <v>108</v>
      </c>
      <c r="B113" s="27" t="str">
        <f t="shared" si="36"/>
        <v>Al Horford</v>
      </c>
      <c r="C113" s="21">
        <v>5.9853930869837715</v>
      </c>
      <c r="D113" s="12">
        <f t="shared" ca="1" si="20"/>
        <v>5.8901460695834524</v>
      </c>
      <c r="E113" s="12">
        <f t="shared" ca="1" si="21"/>
        <v>5.8901460695834524</v>
      </c>
      <c r="F113" s="29">
        <f ca="1">SUM(AI113:AN113,AP113,AO113)+$A$4</f>
        <v>1.1017250010406177</v>
      </c>
      <c r="G113" s="29">
        <f ca="1">SUM(Y113:AF113)+$A$4</f>
        <v>1.1017250010406177</v>
      </c>
      <c r="H113" s="10">
        <v>1</v>
      </c>
      <c r="I113" s="10">
        <v>0</v>
      </c>
      <c r="J113" t="e">
        <f>VLOOKUP(N113,Schedule!#REF!,2,0)</f>
        <v>#REF!</v>
      </c>
      <c r="K113" s="17">
        <v>108</v>
      </c>
      <c r="L113" s="17" t="s">
        <v>169</v>
      </c>
      <c r="M113" s="17" t="s">
        <v>63</v>
      </c>
      <c r="N113" s="17" t="s">
        <v>42</v>
      </c>
      <c r="O113" s="22">
        <v>10.907187499999999</v>
      </c>
      <c r="P113" s="22">
        <v>1.49171875</v>
      </c>
      <c r="Q113" s="22">
        <v>6.7165625000000002</v>
      </c>
      <c r="R113" s="22">
        <v>3.2993749999999999</v>
      </c>
      <c r="S113" s="22">
        <v>0.70703125</v>
      </c>
      <c r="T113" s="22">
        <v>0.88375000000000004</v>
      </c>
      <c r="U113" s="22">
        <v>0.45283018867924524</v>
      </c>
      <c r="V113" s="22">
        <v>9.780156250000001</v>
      </c>
      <c r="W113" s="22">
        <v>0.81492469192149708</v>
      </c>
      <c r="X113" s="22">
        <v>0.6846875</v>
      </c>
      <c r="Y113" s="14">
        <f t="shared" ca="1" si="22"/>
        <v>-0.90970092654279167</v>
      </c>
      <c r="Z113" s="14">
        <f t="shared" ca="1" si="23"/>
        <v>-0.23067861404128734</v>
      </c>
      <c r="AA113" s="14">
        <f t="shared" ca="1" si="24"/>
        <v>0.42165370259822677</v>
      </c>
      <c r="AB113" s="14">
        <f t="shared" ca="1" si="25"/>
        <v>-0.1547676750666111</v>
      </c>
      <c r="AC113" s="14">
        <f t="shared" ca="1" si="26"/>
        <v>-0.90103385889306387</v>
      </c>
      <c r="AD113" s="14">
        <f t="shared" ca="1" si="27"/>
        <v>0.39185610725961578</v>
      </c>
      <c r="AE113" s="14">
        <f ca="1">U$4*AO113</f>
        <v>-0.35204547453672247</v>
      </c>
      <c r="AF113" s="15">
        <f ca="1">AP113*W$4</f>
        <v>3.6441740263251796E-2</v>
      </c>
      <c r="AG113" s="12">
        <f t="shared" ca="1" si="28"/>
        <v>-1.6982749989593822</v>
      </c>
      <c r="AH113" s="14">
        <f t="shared" ca="1" si="29"/>
        <v>-0.55845631174106569</v>
      </c>
      <c r="AI113" s="14">
        <f t="shared" ca="1" si="30"/>
        <v>-0.90970092654279167</v>
      </c>
      <c r="AJ113" s="14">
        <f t="shared" ca="1" si="31"/>
        <v>-0.23067861404128734</v>
      </c>
      <c r="AK113" s="14">
        <f t="shared" ca="1" si="32"/>
        <v>0.42165370259822677</v>
      </c>
      <c r="AL113" s="14">
        <f t="shared" ca="1" si="33"/>
        <v>-0.1547676750666111</v>
      </c>
      <c r="AM113" s="14">
        <f t="shared" ca="1" si="34"/>
        <v>-0.90103385889306387</v>
      </c>
      <c r="AN113" s="14">
        <f t="shared" ca="1" si="35"/>
        <v>0.39185610725961578</v>
      </c>
      <c r="AO113" s="14">
        <f t="shared" ca="1" si="37"/>
        <v>-0.35204547453672247</v>
      </c>
      <c r="AP113" s="14">
        <f ca="1">(AV113-$AP$3)/$AP$4</f>
        <v>3.6441740263251796E-2</v>
      </c>
      <c r="AQ113" s="22">
        <f t="shared" si="38"/>
        <v>4.42875</v>
      </c>
      <c r="AR113" s="22">
        <f t="shared" si="39"/>
        <v>0.55796875000000001</v>
      </c>
      <c r="AS113" s="22">
        <f ca="1">(U113-AS$3)</f>
        <v>-2.314451650886673E-2</v>
      </c>
      <c r="AT113" s="22">
        <f ca="1">(W113-AT$3)</f>
        <v>1.4822000181381911E-2</v>
      </c>
      <c r="AU113" s="11">
        <f ca="1">AS113*V113</f>
        <v>-0.22635698778742117</v>
      </c>
      <c r="AV113" s="11">
        <f ca="1">AT113*X113</f>
        <v>1.0148438249189928E-2</v>
      </c>
    </row>
    <row r="114" spans="1:48">
      <c r="A114">
        <v>109</v>
      </c>
      <c r="B114" s="27" t="str">
        <f t="shared" si="36"/>
        <v>Brook Lopez</v>
      </c>
      <c r="C114" s="21">
        <v>5.9227682758504772</v>
      </c>
      <c r="D114" s="12">
        <f t="shared" ca="1" si="20"/>
        <v>5.782714587420501</v>
      </c>
      <c r="E114" s="12">
        <f t="shared" ca="1" si="21"/>
        <v>5.782714587420501</v>
      </c>
      <c r="F114" s="29">
        <f ca="1">SUM(AI114:AN114,AP114,AO114)+$A$4</f>
        <v>1.0816304315003171</v>
      </c>
      <c r="G114" s="29">
        <f ca="1">SUM(Y114:AF114)+$A$4</f>
        <v>1.0816304315003171</v>
      </c>
      <c r="H114" s="10">
        <v>1</v>
      </c>
      <c r="I114" s="10">
        <v>0</v>
      </c>
      <c r="J114" t="e">
        <f>VLOOKUP(N114,Schedule!#REF!,2,0)</f>
        <v>#REF!</v>
      </c>
      <c r="K114" s="17">
        <v>109</v>
      </c>
      <c r="L114" s="17" t="s">
        <v>170</v>
      </c>
      <c r="M114" s="17" t="s">
        <v>22</v>
      </c>
      <c r="N114" s="17" t="s">
        <v>46</v>
      </c>
      <c r="O114" s="22">
        <v>12.944935064935065</v>
      </c>
      <c r="P114" s="22">
        <v>1.4324675324675324</v>
      </c>
      <c r="Q114" s="22">
        <v>4.8554545454545455</v>
      </c>
      <c r="R114" s="22">
        <v>0.70194805194805188</v>
      </c>
      <c r="S114" s="22">
        <v>0.58493506493506497</v>
      </c>
      <c r="T114" s="22">
        <v>1.5210389610389612</v>
      </c>
      <c r="U114" s="22">
        <v>0.49148099606815204</v>
      </c>
      <c r="V114" s="22">
        <v>9.7109090909090909</v>
      </c>
      <c r="W114" s="22">
        <v>0.84397637356513988</v>
      </c>
      <c r="X114" s="22">
        <v>2.3306493506493506</v>
      </c>
      <c r="Y114" s="14">
        <f t="shared" ca="1" si="22"/>
        <v>-0.55538714216440577</v>
      </c>
      <c r="Z114" s="14">
        <f t="shared" ca="1" si="23"/>
        <v>-0.28951723251147465</v>
      </c>
      <c r="AA114" s="14">
        <f t="shared" ca="1" si="24"/>
        <v>-0.35638527801657011</v>
      </c>
      <c r="AB114" s="14">
        <f t="shared" ca="1" si="25"/>
        <v>-1.3914926737748092</v>
      </c>
      <c r="AC114" s="14">
        <f t="shared" ca="1" si="26"/>
        <v>-1.2908774076239551</v>
      </c>
      <c r="AD114" s="14">
        <f t="shared" ca="1" si="27"/>
        <v>1.5639162276548486</v>
      </c>
      <c r="AE114" s="14">
        <f ca="1">U$4*AO114</f>
        <v>0.23419233406457088</v>
      </c>
      <c r="AF114" s="15">
        <f ca="1">AP114*W$4</f>
        <v>0.3671816038721129</v>
      </c>
      <c r="AG114" s="12">
        <f t="shared" ca="1" si="28"/>
        <v>-1.7183695684996827</v>
      </c>
      <c r="AH114" s="14">
        <f t="shared" ca="1" si="29"/>
        <v>-0.56506415746591998</v>
      </c>
      <c r="AI114" s="14">
        <f t="shared" ca="1" si="30"/>
        <v>-0.55538714216440577</v>
      </c>
      <c r="AJ114" s="14">
        <f t="shared" ca="1" si="31"/>
        <v>-0.28951723251147465</v>
      </c>
      <c r="AK114" s="14">
        <f t="shared" ca="1" si="32"/>
        <v>-0.35638527801657011</v>
      </c>
      <c r="AL114" s="14">
        <f t="shared" ca="1" si="33"/>
        <v>-1.3914926737748092</v>
      </c>
      <c r="AM114" s="14">
        <f t="shared" ca="1" si="34"/>
        <v>-1.2908774076239551</v>
      </c>
      <c r="AN114" s="14">
        <f t="shared" ca="1" si="35"/>
        <v>1.5639162276548486</v>
      </c>
      <c r="AO114" s="14">
        <f t="shared" ca="1" si="37"/>
        <v>0.23419233406457088</v>
      </c>
      <c r="AP114" s="14">
        <f ca="1">(AV114-$AP$3)/$AP$4</f>
        <v>0.3671816038721129</v>
      </c>
      <c r="AQ114" s="22">
        <f t="shared" si="38"/>
        <v>4.7727272727272725</v>
      </c>
      <c r="AR114" s="22">
        <f t="shared" si="39"/>
        <v>1.9670129870129871</v>
      </c>
      <c r="AS114" s="22">
        <f ca="1">(U114-AS$3)</f>
        <v>1.5506290880040074E-2</v>
      </c>
      <c r="AT114" s="22">
        <f ca="1">(W114-AT$3)</f>
        <v>4.3873681825024713E-2</v>
      </c>
      <c r="AU114" s="11">
        <f ca="1">AS114*V114</f>
        <v>0.15058018107326188</v>
      </c>
      <c r="AV114" s="11">
        <f ca="1">AT114*X114</f>
        <v>0.10225416805609007</v>
      </c>
    </row>
    <row r="115" spans="1:48">
      <c r="A115">
        <v>110</v>
      </c>
      <c r="B115" s="27" t="str">
        <f t="shared" si="36"/>
        <v>Danny Green</v>
      </c>
      <c r="C115" s="21">
        <v>5.7841882546750609</v>
      </c>
      <c r="D115" s="12">
        <f t="shared" ca="1" si="20"/>
        <v>5.7971985403785204</v>
      </c>
      <c r="E115" s="12">
        <f t="shared" ca="1" si="21"/>
        <v>5.7971985403785204</v>
      </c>
      <c r="F115" s="29">
        <f ca="1">SUM(AI115:AN115,AP115,AO115)+$A$4</f>
        <v>1.084339588947218</v>
      </c>
      <c r="G115" s="29">
        <f ca="1">SUM(Y115:AF115)+$A$4</f>
        <v>1.084339588947218</v>
      </c>
      <c r="H115" s="10">
        <v>1</v>
      </c>
      <c r="I115" s="10">
        <v>0</v>
      </c>
      <c r="J115" t="e">
        <f>VLOOKUP(N115,Schedule!#REF!,2,0)</f>
        <v>#REF!</v>
      </c>
      <c r="K115" s="17">
        <v>110</v>
      </c>
      <c r="L115" s="17" t="s">
        <v>171</v>
      </c>
      <c r="M115" s="17" t="s">
        <v>48</v>
      </c>
      <c r="N115" s="17" t="s">
        <v>37</v>
      </c>
      <c r="O115" s="22">
        <v>8.8391999999999999</v>
      </c>
      <c r="P115" s="22">
        <v>2.3136000000000001</v>
      </c>
      <c r="Q115" s="22">
        <v>3.8295999999999997</v>
      </c>
      <c r="R115" s="22">
        <v>1.6496</v>
      </c>
      <c r="S115" s="22">
        <v>1.3550666666666666</v>
      </c>
      <c r="T115" s="22">
        <v>0.82479999999999998</v>
      </c>
      <c r="U115" s="22">
        <v>0.41613126962108493</v>
      </c>
      <c r="V115" s="22">
        <v>7.3050666666666668</v>
      </c>
      <c r="W115" s="22">
        <v>0.76294775268081216</v>
      </c>
      <c r="X115" s="22">
        <v>0.58440000000000003</v>
      </c>
      <c r="Y115" s="14">
        <f t="shared" ca="1" si="22"/>
        <v>-1.2692726859601786</v>
      </c>
      <c r="Z115" s="14">
        <f t="shared" ca="1" si="23"/>
        <v>0.58547942136198505</v>
      </c>
      <c r="AA115" s="14">
        <f t="shared" ca="1" si="24"/>
        <v>-0.7852453142413075</v>
      </c>
      <c r="AB115" s="14">
        <f t="shared" ca="1" si="25"/>
        <v>-0.94028273498929404</v>
      </c>
      <c r="AC115" s="14">
        <f t="shared" ca="1" si="26"/>
        <v>1.1680924320084605</v>
      </c>
      <c r="AD115" s="14">
        <f t="shared" ca="1" si="27"/>
        <v>0.28343912795927134</v>
      </c>
      <c r="AE115" s="14">
        <f ca="1">U$4*AO115</f>
        <v>-0.67990081495347587</v>
      </c>
      <c r="AF115" s="15">
        <f ca="1">AP115*W$4</f>
        <v>-7.7969842238242715E-2</v>
      </c>
      <c r="AG115" s="12">
        <f t="shared" ca="1" si="28"/>
        <v>-1.7156604110527818</v>
      </c>
      <c r="AH115" s="14">
        <f t="shared" ca="1" si="29"/>
        <v>-0.56417328521222176</v>
      </c>
      <c r="AI115" s="14">
        <f t="shared" ca="1" si="30"/>
        <v>-1.2692726859601786</v>
      </c>
      <c r="AJ115" s="14">
        <f t="shared" ca="1" si="31"/>
        <v>0.58547942136198505</v>
      </c>
      <c r="AK115" s="14">
        <f t="shared" ca="1" si="32"/>
        <v>-0.7852453142413075</v>
      </c>
      <c r="AL115" s="14">
        <f t="shared" ca="1" si="33"/>
        <v>-0.94028273498929404</v>
      </c>
      <c r="AM115" s="14">
        <f t="shared" ca="1" si="34"/>
        <v>1.1680924320084605</v>
      </c>
      <c r="AN115" s="14">
        <f t="shared" ca="1" si="35"/>
        <v>0.28343912795927134</v>
      </c>
      <c r="AO115" s="14">
        <f t="shared" ca="1" si="37"/>
        <v>-0.67990081495347587</v>
      </c>
      <c r="AP115" s="14">
        <f ca="1">(AV115-$AP$3)/$AP$4</f>
        <v>-7.7969842238242715E-2</v>
      </c>
      <c r="AQ115" s="22">
        <f t="shared" si="38"/>
        <v>3.0398666666666667</v>
      </c>
      <c r="AR115" s="22">
        <f t="shared" si="39"/>
        <v>0.44586666666666663</v>
      </c>
      <c r="AS115" s="22">
        <f ca="1">(U115-AS$3)</f>
        <v>-5.9843435567027037E-2</v>
      </c>
      <c r="AT115" s="22">
        <f ca="1">(W115-AT$3)</f>
        <v>-3.7154939059303005E-2</v>
      </c>
      <c r="AU115" s="11">
        <f ca="1">AS115*V115</f>
        <v>-0.43716028637950366</v>
      </c>
      <c r="AV115" s="11">
        <f ca="1">AT115*X115</f>
        <v>-2.1713346386256677E-2</v>
      </c>
    </row>
    <row r="116" spans="1:48">
      <c r="A116">
        <v>111</v>
      </c>
      <c r="B116" s="27" t="str">
        <f t="shared" si="36"/>
        <v>R.J. Barrett</v>
      </c>
      <c r="C116" s="21">
        <v>5.6161916699346293</v>
      </c>
      <c r="D116" s="12">
        <f t="shared" ca="1" si="20"/>
        <v>5.7102086352370049</v>
      </c>
      <c r="E116" s="12">
        <f t="shared" ca="1" si="21"/>
        <v>5.7102086352370049</v>
      </c>
      <c r="F116" s="29">
        <f ca="1">SUM(AI116:AN116,AP116,AO116)+$A$4</f>
        <v>1.0680685233063387</v>
      </c>
      <c r="G116" s="29">
        <f ca="1">SUM(Y116:AF116)+$A$4</f>
        <v>1.0680685233063387</v>
      </c>
      <c r="H116" s="10">
        <v>1</v>
      </c>
      <c r="I116" s="10">
        <v>0</v>
      </c>
      <c r="J116" t="e">
        <f>VLOOKUP(N116,Schedule!#REF!,2,0)</f>
        <v>#REF!</v>
      </c>
      <c r="K116" s="17">
        <v>111</v>
      </c>
      <c r="L116" s="17" t="s">
        <v>172</v>
      </c>
      <c r="M116" s="17" t="s">
        <v>48</v>
      </c>
      <c r="N116" s="17" t="s">
        <v>88</v>
      </c>
      <c r="O116" s="22">
        <v>18.334230769230764</v>
      </c>
      <c r="P116" s="22">
        <v>2.0507692307692307</v>
      </c>
      <c r="Q116" s="22">
        <v>6.5474358974358973</v>
      </c>
      <c r="R116" s="22">
        <v>3.0555128205128206</v>
      </c>
      <c r="S116" s="22">
        <v>0.80025641025641026</v>
      </c>
      <c r="T116" s="22">
        <v>0.29102564102564099</v>
      </c>
      <c r="U116" s="22">
        <v>0.44222951162912427</v>
      </c>
      <c r="V116" s="22">
        <v>14.695641025641025</v>
      </c>
      <c r="W116" s="22">
        <v>0.77100568574952622</v>
      </c>
      <c r="X116" s="22">
        <v>4.2616666666666667</v>
      </c>
      <c r="Y116" s="14">
        <f t="shared" ca="1" si="22"/>
        <v>0.38167777646502032</v>
      </c>
      <c r="Z116" s="14">
        <f t="shared" ca="1" si="23"/>
        <v>0.32447888842743328</v>
      </c>
      <c r="AA116" s="14">
        <f t="shared" ca="1" si="24"/>
        <v>0.35095007192895883</v>
      </c>
      <c r="AB116" s="14">
        <f t="shared" ca="1" si="25"/>
        <v>-0.27087891116410789</v>
      </c>
      <c r="AC116" s="14">
        <f t="shared" ca="1" si="26"/>
        <v>-0.60337322939807658</v>
      </c>
      <c r="AD116" s="14">
        <f t="shared" ca="1" si="27"/>
        <v>-0.69824371560269005</v>
      </c>
      <c r="AE116" s="14">
        <f ca="1">U$4*AO116</f>
        <v>-0.77126800974880205</v>
      </c>
      <c r="AF116" s="15">
        <f ca="1">AP116*W$4</f>
        <v>-0.445274347601397</v>
      </c>
      <c r="AG116" s="12">
        <f t="shared" ca="1" si="28"/>
        <v>-1.7319314766936611</v>
      </c>
      <c r="AH116" s="14">
        <f t="shared" ca="1" si="29"/>
        <v>-0.56952381990858736</v>
      </c>
      <c r="AI116" s="14">
        <f t="shared" ca="1" si="30"/>
        <v>0.38167777646502032</v>
      </c>
      <c r="AJ116" s="14">
        <f t="shared" ca="1" si="31"/>
        <v>0.32447888842743328</v>
      </c>
      <c r="AK116" s="14">
        <f t="shared" ca="1" si="32"/>
        <v>0.35095007192895883</v>
      </c>
      <c r="AL116" s="14">
        <f t="shared" ca="1" si="33"/>
        <v>-0.27087891116410789</v>
      </c>
      <c r="AM116" s="14">
        <f t="shared" ca="1" si="34"/>
        <v>-0.60337322939807658</v>
      </c>
      <c r="AN116" s="14">
        <f t="shared" ca="1" si="35"/>
        <v>-0.69824371560269005</v>
      </c>
      <c r="AO116" s="14">
        <f t="shared" ca="1" si="37"/>
        <v>-0.77126800974880205</v>
      </c>
      <c r="AP116" s="14">
        <f ca="1">(AV116-$AP$3)/$AP$4</f>
        <v>-0.445274347601397</v>
      </c>
      <c r="AQ116" s="22">
        <f t="shared" si="38"/>
        <v>6.4988461538461539</v>
      </c>
      <c r="AR116" s="22">
        <f t="shared" si="39"/>
        <v>3.285769230769231</v>
      </c>
      <c r="AS116" s="22">
        <f ca="1">(U116-AS$3)</f>
        <v>-3.3745193558987696E-2</v>
      </c>
      <c r="AT116" s="22">
        <f ca="1">(W116-AT$3)</f>
        <v>-2.9097005990588953E-2</v>
      </c>
      <c r="AU116" s="11">
        <f ca="1">AS116*V116</f>
        <v>-0.49590725088365689</v>
      </c>
      <c r="AV116" s="11">
        <f ca="1">AT116*X116</f>
        <v>-0.12400174052989325</v>
      </c>
    </row>
    <row r="117" spans="1:48">
      <c r="A117">
        <v>112</v>
      </c>
      <c r="B117" s="27" t="str">
        <f t="shared" si="36"/>
        <v>Mitchell Robinson</v>
      </c>
      <c r="C117" s="21">
        <v>5.5124033637530792</v>
      </c>
      <c r="D117" s="12">
        <f t="shared" ca="1" si="20"/>
        <v>5.2385235379594546</v>
      </c>
      <c r="E117" s="12">
        <f t="shared" ca="1" si="21"/>
        <v>5.2385235379594564</v>
      </c>
      <c r="F117" s="29">
        <f ca="1">SUM(AI117:AN117,AP117,AO117)+$A$4</f>
        <v>0.9798419737182904</v>
      </c>
      <c r="G117" s="29">
        <f ca="1">SUM(Y117:AF117)+$A$4</f>
        <v>0.97984197371829063</v>
      </c>
      <c r="H117" s="10">
        <v>1</v>
      </c>
      <c r="I117" s="10">
        <v>0</v>
      </c>
      <c r="J117" t="e">
        <f>VLOOKUP(N117,Schedule!#REF!,2,0)</f>
        <v>#REF!</v>
      </c>
      <c r="K117" s="17">
        <v>112</v>
      </c>
      <c r="L117" s="17" t="s">
        <v>173</v>
      </c>
      <c r="M117" s="17" t="s">
        <v>22</v>
      </c>
      <c r="N117" s="17" t="s">
        <v>88</v>
      </c>
      <c r="O117" s="22">
        <v>7.7051428571428575</v>
      </c>
      <c r="P117" s="22">
        <v>0</v>
      </c>
      <c r="Q117" s="22">
        <v>7.6711428571428577</v>
      </c>
      <c r="R117" s="22">
        <v>0.57799999999999996</v>
      </c>
      <c r="S117" s="22">
        <v>0.99828571428571422</v>
      </c>
      <c r="T117" s="22">
        <v>1.6288571428571428</v>
      </c>
      <c r="U117" s="22">
        <v>0.71501182033096933</v>
      </c>
      <c r="V117" s="22">
        <v>4.8342857142857136</v>
      </c>
      <c r="W117" s="22">
        <v>0.51200591060214262</v>
      </c>
      <c r="X117" s="22">
        <v>1.5468571428571429</v>
      </c>
      <c r="Y117" s="14">
        <f t="shared" ca="1" si="22"/>
        <v>-1.4664571090463905</v>
      </c>
      <c r="Z117" s="14">
        <f t="shared" ca="1" si="23"/>
        <v>-1.7120096997355103</v>
      </c>
      <c r="AA117" s="14">
        <f t="shared" ca="1" si="24"/>
        <v>0.82071745716034739</v>
      </c>
      <c r="AB117" s="14">
        <f t="shared" ca="1" si="25"/>
        <v>-1.4505086374385052</v>
      </c>
      <c r="AC117" s="14">
        <f t="shared" ca="1" si="26"/>
        <v>2.8918816372514439E-2</v>
      </c>
      <c r="AD117" s="14">
        <f t="shared" ca="1" si="27"/>
        <v>1.7622083665247816</v>
      </c>
      <c r="AE117" s="14">
        <f ca="1">U$4*AO117</f>
        <v>1.7972252564376605</v>
      </c>
      <c r="AF117" s="15">
        <f ca="1">AP117*W$4</f>
        <v>-1.6002524765566075</v>
      </c>
      <c r="AG117" s="12">
        <f t="shared" ca="1" si="28"/>
        <v>-1.8201580262817092</v>
      </c>
      <c r="AH117" s="14">
        <f t="shared" ca="1" si="29"/>
        <v>-0.59853600787035577</v>
      </c>
      <c r="AI117" s="14">
        <f t="shared" ca="1" si="30"/>
        <v>-1.4664571090463905</v>
      </c>
      <c r="AJ117" s="14">
        <f t="shared" ca="1" si="31"/>
        <v>-1.7120096997355103</v>
      </c>
      <c r="AK117" s="14">
        <f t="shared" ca="1" si="32"/>
        <v>0.82071745716034739</v>
      </c>
      <c r="AL117" s="14">
        <f t="shared" ca="1" si="33"/>
        <v>-1.4505086374385052</v>
      </c>
      <c r="AM117" s="14">
        <f t="shared" ca="1" si="34"/>
        <v>2.8918816372514439E-2</v>
      </c>
      <c r="AN117" s="14">
        <f t="shared" ca="1" si="35"/>
        <v>1.7622083665247816</v>
      </c>
      <c r="AO117" s="14">
        <f t="shared" ca="1" si="37"/>
        <v>1.7972252564376605</v>
      </c>
      <c r="AP117" s="14">
        <f ca="1">(AV117-$AP$3)/$AP$4</f>
        <v>-1.6002524765566075</v>
      </c>
      <c r="AQ117" s="22">
        <f t="shared" si="38"/>
        <v>3.4565714285714284</v>
      </c>
      <c r="AR117" s="22">
        <f t="shared" si="39"/>
        <v>0.79200000000000004</v>
      </c>
      <c r="AS117" s="22">
        <f ca="1">(U117-AS$3)</f>
        <v>0.23903711514285736</v>
      </c>
      <c r="AT117" s="22">
        <f ca="1">(W117-AT$3)</f>
        <v>-0.28809678113797255</v>
      </c>
      <c r="AU117" s="11">
        <f ca="1">AS117*V117</f>
        <v>1.1555737109191846</v>
      </c>
      <c r="AV117" s="11">
        <f ca="1">AT117*X117</f>
        <v>-0.44564456373742384</v>
      </c>
    </row>
    <row r="118" spans="1:48">
      <c r="A118">
        <v>113</v>
      </c>
      <c r="B118" s="27" t="str">
        <f t="shared" si="36"/>
        <v>Saddiq Bey</v>
      </c>
      <c r="C118" s="21">
        <v>5.4650616905858538</v>
      </c>
      <c r="D118" s="12">
        <f t="shared" ca="1" si="20"/>
        <v>5.5402737346754316</v>
      </c>
      <c r="E118" s="12">
        <f t="shared" ca="1" si="21"/>
        <v>5.5402737346754298</v>
      </c>
      <c r="F118" s="29">
        <f ca="1">SUM(AI118:AN118,AP118,AO118)+$A$4</f>
        <v>1.0362829739691426</v>
      </c>
      <c r="G118" s="29">
        <f ca="1">SUM(Y118:AF118)+$A$4</f>
        <v>1.0362829739691424</v>
      </c>
      <c r="H118" s="10">
        <v>1</v>
      </c>
      <c r="I118" s="10">
        <v>0</v>
      </c>
      <c r="J118" t="e">
        <f>VLOOKUP(N118,Schedule!#REF!,2,0)</f>
        <v>#REF!</v>
      </c>
      <c r="K118" s="17">
        <v>113</v>
      </c>
      <c r="L118" s="17" t="s">
        <v>174</v>
      </c>
      <c r="M118" s="17" t="s">
        <v>105</v>
      </c>
      <c r="N118" s="17" t="s">
        <v>115</v>
      </c>
      <c r="O118" s="22">
        <v>15.166973684210527</v>
      </c>
      <c r="P118" s="22">
        <v>2.8678947368421053</v>
      </c>
      <c r="Q118" s="22">
        <v>5.4313157894736834</v>
      </c>
      <c r="R118" s="22">
        <v>1.7186842105263158</v>
      </c>
      <c r="S118" s="22">
        <v>0.89368421052631586</v>
      </c>
      <c r="T118" s="22">
        <v>0.27499999999999997</v>
      </c>
      <c r="U118" s="22">
        <v>0.41205715102786061</v>
      </c>
      <c r="V118" s="22">
        <v>11.962763157894736</v>
      </c>
      <c r="W118" s="22">
        <v>0.85000000000000009</v>
      </c>
      <c r="X118" s="22">
        <v>2.8710526315789471</v>
      </c>
      <c r="Y118" s="14">
        <f t="shared" ca="1" si="22"/>
        <v>-0.16902971213822851</v>
      </c>
      <c r="Z118" s="14">
        <f t="shared" ca="1" si="23"/>
        <v>1.1359142967839835</v>
      </c>
      <c r="AA118" s="14">
        <f t="shared" ca="1" si="24"/>
        <v>-0.11564561851538553</v>
      </c>
      <c r="AB118" s="14">
        <f t="shared" ca="1" si="25"/>
        <v>-0.90738934784784131</v>
      </c>
      <c r="AC118" s="14">
        <f t="shared" ca="1" si="26"/>
        <v>-0.30506558622339175</v>
      </c>
      <c r="AD118" s="14">
        <f t="shared" ca="1" si="27"/>
        <v>-0.72771702504037739</v>
      </c>
      <c r="AE118" s="14">
        <f ca="1">U$4*AO118</f>
        <v>-1.1892044142031215</v>
      </c>
      <c r="AF118" s="15">
        <f ca="1">AP118*W$4</f>
        <v>0.5144203811535053</v>
      </c>
      <c r="AG118" s="12">
        <f t="shared" ca="1" si="28"/>
        <v>-1.7637170260308574</v>
      </c>
      <c r="AH118" s="14">
        <f t="shared" ca="1" si="29"/>
        <v>-0.57997609687220697</v>
      </c>
      <c r="AI118" s="14">
        <f t="shared" ca="1" si="30"/>
        <v>-0.16902971213822851</v>
      </c>
      <c r="AJ118" s="14">
        <f t="shared" ca="1" si="31"/>
        <v>1.1359142967839835</v>
      </c>
      <c r="AK118" s="14">
        <f t="shared" ca="1" si="32"/>
        <v>-0.11564561851538553</v>
      </c>
      <c r="AL118" s="14">
        <f t="shared" ca="1" si="33"/>
        <v>-0.90738934784784131</v>
      </c>
      <c r="AM118" s="14">
        <f t="shared" ca="1" si="34"/>
        <v>-0.30506558622339175</v>
      </c>
      <c r="AN118" s="14">
        <f t="shared" ca="1" si="35"/>
        <v>-0.72771702504037739</v>
      </c>
      <c r="AO118" s="14">
        <f t="shared" ca="1" si="37"/>
        <v>-1.1892044142031215</v>
      </c>
      <c r="AP118" s="14">
        <f ca="1">(AV118-$AP$3)/$AP$4</f>
        <v>0.5144203811535053</v>
      </c>
      <c r="AQ118" s="22">
        <f t="shared" si="38"/>
        <v>4.9293421052631583</v>
      </c>
      <c r="AR118" s="22">
        <f t="shared" si="39"/>
        <v>2.4403947368421051</v>
      </c>
      <c r="AS118" s="22">
        <f ca="1">(U118-AS$3)</f>
        <v>-6.3917554160251355E-2</v>
      </c>
      <c r="AT118" s="22">
        <f ca="1">(W118-AT$3)</f>
        <v>4.989730825988492E-2</v>
      </c>
      <c r="AU118" s="11">
        <f ca="1">AS118*V118</f>
        <v>-0.76463056205099633</v>
      </c>
      <c r="AV118" s="11">
        <f ca="1">AT118*X118</f>
        <v>0.14325779818824852</v>
      </c>
    </row>
    <row r="119" spans="1:48">
      <c r="A119">
        <v>114</v>
      </c>
      <c r="B119" s="27" t="str">
        <f t="shared" si="36"/>
        <v>Josh Giddey</v>
      </c>
      <c r="C119" s="21">
        <v>5.2947401305419444</v>
      </c>
      <c r="D119" s="12">
        <f t="shared" ca="1" si="20"/>
        <v>5.2601084064411046</v>
      </c>
      <c r="E119" s="12">
        <f t="shared" ca="1" si="21"/>
        <v>5.2601084064411046</v>
      </c>
      <c r="F119" s="29">
        <f ca="1">SUM(AI119:AN119,AP119,AO119)+$A$4</f>
        <v>0.98387932507927101</v>
      </c>
      <c r="G119" s="29">
        <f ca="1">SUM(Y119:AF119)+$A$4</f>
        <v>0.98387932507927101</v>
      </c>
      <c r="H119" s="10">
        <v>1</v>
      </c>
      <c r="I119" s="10">
        <v>0</v>
      </c>
      <c r="J119" t="e">
        <f>VLOOKUP(N119,Schedule!#REF!,2,0)</f>
        <v>#REF!</v>
      </c>
      <c r="K119" s="17">
        <v>114</v>
      </c>
      <c r="L119" s="17" t="s">
        <v>175</v>
      </c>
      <c r="M119" s="17" t="s">
        <v>25</v>
      </c>
      <c r="N119" s="17" t="s">
        <v>70</v>
      </c>
      <c r="O119" s="22">
        <v>9.580277777777777</v>
      </c>
      <c r="P119" s="22">
        <v>1.0379166666666668</v>
      </c>
      <c r="Q119" s="22">
        <v>6.785972222222223</v>
      </c>
      <c r="R119" s="22">
        <v>5.9691666666666663</v>
      </c>
      <c r="S119" s="22">
        <v>1.0681944444444444</v>
      </c>
      <c r="T119" s="22">
        <v>0.43986111111111115</v>
      </c>
      <c r="U119" s="22">
        <v>0.41585000154573848</v>
      </c>
      <c r="V119" s="22">
        <v>8.9852777777777764</v>
      </c>
      <c r="W119" s="22">
        <v>0.70003637024913612</v>
      </c>
      <c r="X119" s="22">
        <v>1.5275000000000001</v>
      </c>
      <c r="Y119" s="14">
        <f t="shared" ca="1" si="22"/>
        <v>-1.1404176322324928</v>
      </c>
      <c r="Z119" s="14">
        <f t="shared" ca="1" si="23"/>
        <v>-0.68132062198981425</v>
      </c>
      <c r="AA119" s="14">
        <f t="shared" ca="1" si="24"/>
        <v>0.45067054140687279</v>
      </c>
      <c r="AB119" s="14">
        <f t="shared" ca="1" si="25"/>
        <v>1.1164126743887668</v>
      </c>
      <c r="AC119" s="14">
        <f t="shared" ca="1" si="26"/>
        <v>0.25213191216134134</v>
      </c>
      <c r="AD119" s="14">
        <f t="shared" ca="1" si="27"/>
        <v>-0.42451526641840792</v>
      </c>
      <c r="AE119" s="14">
        <f ca="1">U$4*AO119</f>
        <v>-0.84021284457567647</v>
      </c>
      <c r="AF119" s="15">
        <f ca="1">AP119*W$4</f>
        <v>-0.54886943766131824</v>
      </c>
      <c r="AG119" s="12">
        <f t="shared" ca="1" si="28"/>
        <v>-1.8161206749207288</v>
      </c>
      <c r="AH119" s="14">
        <f t="shared" ca="1" si="29"/>
        <v>-0.59720837580155806</v>
      </c>
      <c r="AI119" s="14">
        <f t="shared" ca="1" si="30"/>
        <v>-1.1404176322324928</v>
      </c>
      <c r="AJ119" s="14">
        <f t="shared" ca="1" si="31"/>
        <v>-0.68132062198981425</v>
      </c>
      <c r="AK119" s="14">
        <f t="shared" ca="1" si="32"/>
        <v>0.45067054140687279</v>
      </c>
      <c r="AL119" s="14">
        <f t="shared" ca="1" si="33"/>
        <v>1.1164126743887668</v>
      </c>
      <c r="AM119" s="14">
        <f t="shared" ca="1" si="34"/>
        <v>0.25213191216134134</v>
      </c>
      <c r="AN119" s="14">
        <f t="shared" ca="1" si="35"/>
        <v>-0.42451526641840792</v>
      </c>
      <c r="AO119" s="14">
        <f t="shared" ca="1" si="37"/>
        <v>-0.84021284457567647</v>
      </c>
      <c r="AP119" s="14">
        <f ca="1">(AV119-$AP$3)/$AP$4</f>
        <v>-0.54886943766131824</v>
      </c>
      <c r="AQ119" s="22">
        <f t="shared" si="38"/>
        <v>3.7365277777777779</v>
      </c>
      <c r="AR119" s="22">
        <f t="shared" si="39"/>
        <v>1.0693055555555555</v>
      </c>
      <c r="AS119" s="22">
        <f ca="1">(U119-AS$3)</f>
        <v>-6.0124703642373489E-2</v>
      </c>
      <c r="AT119" s="22">
        <f ca="1">(W119-AT$3)</f>
        <v>-0.10006632149097905</v>
      </c>
      <c r="AU119" s="11">
        <f ca="1">AS119*V119</f>
        <v>-0.5402371635332931</v>
      </c>
      <c r="AV119" s="11">
        <f ca="1">AT119*X119</f>
        <v>-0.15285130607747049</v>
      </c>
    </row>
    <row r="120" spans="1:48">
      <c r="A120">
        <v>115</v>
      </c>
      <c r="B120" s="27" t="str">
        <f t="shared" si="36"/>
        <v>Will Barton</v>
      </c>
      <c r="C120" s="21">
        <v>5.2207891952673986</v>
      </c>
      <c r="D120" s="12">
        <f t="shared" ca="1" si="20"/>
        <v>5.3000309527280578</v>
      </c>
      <c r="E120" s="12">
        <f t="shared" ca="1" si="21"/>
        <v>5.3000309527280587</v>
      </c>
      <c r="F120" s="29">
        <f ca="1">SUM(AI120:AN120,AP120,AO120)+$A$4</f>
        <v>0.99134665557157708</v>
      </c>
      <c r="G120" s="29">
        <f ca="1">SUM(Y120:AF120)+$A$4</f>
        <v>0.99134665557157731</v>
      </c>
      <c r="H120" s="10">
        <v>1</v>
      </c>
      <c r="I120" s="10">
        <v>0</v>
      </c>
      <c r="J120" t="e">
        <f>VLOOKUP(N120,Schedule!#REF!,2,0)</f>
        <v>#REF!</v>
      </c>
      <c r="K120" s="17">
        <v>115</v>
      </c>
      <c r="L120" s="17" t="s">
        <v>176</v>
      </c>
      <c r="M120" s="17" t="s">
        <v>105</v>
      </c>
      <c r="N120" s="17" t="s">
        <v>23</v>
      </c>
      <c r="O120" s="22">
        <v>15.113880597014923</v>
      </c>
      <c r="P120" s="22">
        <v>2.1456716417910449</v>
      </c>
      <c r="Q120" s="22">
        <v>4.3559701492537313</v>
      </c>
      <c r="R120" s="22">
        <v>3.7434328358208955</v>
      </c>
      <c r="S120" s="22">
        <v>0.95283582089552243</v>
      </c>
      <c r="T120" s="22">
        <v>0.40835820895522384</v>
      </c>
      <c r="U120" s="22">
        <v>0.43180578933643105</v>
      </c>
      <c r="V120" s="22">
        <v>12.59134328358209</v>
      </c>
      <c r="W120" s="22">
        <v>0.79199593587717321</v>
      </c>
      <c r="X120" s="22">
        <v>2.6441791044776117</v>
      </c>
      <c r="Y120" s="14">
        <f t="shared" ca="1" si="22"/>
        <v>-0.17826128378739184</v>
      </c>
      <c r="Z120" s="14">
        <f t="shared" ca="1" si="23"/>
        <v>0.41872044137026743</v>
      </c>
      <c r="AA120" s="14">
        <f t="shared" ca="1" si="24"/>
        <v>-0.56519548137094378</v>
      </c>
      <c r="AB120" s="14">
        <f t="shared" ca="1" si="25"/>
        <v>5.6663651941003701E-2</v>
      </c>
      <c r="AC120" s="14">
        <f t="shared" ca="1" si="26"/>
        <v>-0.11619913075457891</v>
      </c>
      <c r="AD120" s="14">
        <f t="shared" ca="1" si="27"/>
        <v>-0.4824533409041688</v>
      </c>
      <c r="AE120" s="14">
        <f ca="1">U$4*AO120</f>
        <v>-0.86495529933413118</v>
      </c>
      <c r="AF120" s="15">
        <f ca="1">AP120*W$4</f>
        <v>-7.697290158847922E-2</v>
      </c>
      <c r="AG120" s="12">
        <f t="shared" ca="1" si="28"/>
        <v>-1.8086533444284225</v>
      </c>
      <c r="AH120" s="14">
        <f t="shared" ca="1" si="29"/>
        <v>-0.59475283836042503</v>
      </c>
      <c r="AI120" s="14">
        <f t="shared" ca="1" si="30"/>
        <v>-0.17826128378739184</v>
      </c>
      <c r="AJ120" s="14">
        <f t="shared" ca="1" si="31"/>
        <v>0.41872044137026743</v>
      </c>
      <c r="AK120" s="14">
        <f t="shared" ca="1" si="32"/>
        <v>-0.56519548137094378</v>
      </c>
      <c r="AL120" s="14">
        <f t="shared" ca="1" si="33"/>
        <v>5.6663651941003701E-2</v>
      </c>
      <c r="AM120" s="14">
        <f t="shared" ca="1" si="34"/>
        <v>-0.11619913075457891</v>
      </c>
      <c r="AN120" s="14">
        <f t="shared" ca="1" si="35"/>
        <v>-0.4824533409041688</v>
      </c>
      <c r="AO120" s="14">
        <f t="shared" ca="1" si="37"/>
        <v>-0.86495529933413118</v>
      </c>
      <c r="AP120" s="14">
        <f ca="1">(AV120-$AP$3)/$AP$4</f>
        <v>-7.697290158847922E-2</v>
      </c>
      <c r="AQ120" s="22">
        <f t="shared" si="38"/>
        <v>5.4370149253731341</v>
      </c>
      <c r="AR120" s="22">
        <f t="shared" si="39"/>
        <v>2.0941791044776119</v>
      </c>
      <c r="AS120" s="22">
        <f ca="1">(U120-AS$3)</f>
        <v>-4.4168915851680923E-2</v>
      </c>
      <c r="AT120" s="22">
        <f ca="1">(W120-AT$3)</f>
        <v>-8.1067558629419612E-3</v>
      </c>
      <c r="AU120" s="11">
        <f ca="1">AS120*V120</f>
        <v>-0.55614598195216514</v>
      </c>
      <c r="AV120" s="11">
        <f ca="1">AT120*X120</f>
        <v>-2.1435714457892503E-2</v>
      </c>
    </row>
    <row r="121" spans="1:48">
      <c r="A121">
        <v>116</v>
      </c>
      <c r="B121" s="27" t="str">
        <f t="shared" si="36"/>
        <v>Derrick Favors</v>
      </c>
      <c r="C121" s="21">
        <v>4.9376373838134562</v>
      </c>
      <c r="D121" s="12">
        <f t="shared" ca="1" si="20"/>
        <v>4.6327289058562879</v>
      </c>
      <c r="E121" s="12">
        <f t="shared" ca="1" si="21"/>
        <v>4.6327289058562897</v>
      </c>
      <c r="F121" s="29">
        <f ca="1">SUM(AI121:AN121,AP121,AO121)+$A$4</f>
        <v>0.86653084632014399</v>
      </c>
      <c r="G121" s="29">
        <f ca="1">SUM(Y121:AF121)+$A$4</f>
        <v>0.86653084632014421</v>
      </c>
      <c r="H121" s="10">
        <v>1</v>
      </c>
      <c r="I121" s="10">
        <v>0</v>
      </c>
      <c r="J121" t="e">
        <f>VLOOKUP(N121,Schedule!#REF!,2,0)</f>
        <v>#REF!</v>
      </c>
      <c r="K121" s="17">
        <v>116</v>
      </c>
      <c r="L121" s="17" t="s">
        <v>177</v>
      </c>
      <c r="M121" s="17" t="s">
        <v>63</v>
      </c>
      <c r="N121" s="17" t="s">
        <v>70</v>
      </c>
      <c r="O121" s="22">
        <v>9.009607843137255</v>
      </c>
      <c r="P121" s="22">
        <v>0</v>
      </c>
      <c r="Q121" s="22">
        <v>8.870392156862744</v>
      </c>
      <c r="R121" s="22">
        <v>0.7972549019607843</v>
      </c>
      <c r="S121" s="22">
        <v>0.6976470588235294</v>
      </c>
      <c r="T121" s="22">
        <v>1.196078431372549</v>
      </c>
      <c r="U121" s="22">
        <v>0.62298563397876328</v>
      </c>
      <c r="V121" s="22">
        <v>6.2784313725490195</v>
      </c>
      <c r="W121" s="22">
        <v>0.72699975978861398</v>
      </c>
      <c r="X121" s="22">
        <v>1.6325490196078432</v>
      </c>
      <c r="Y121" s="14">
        <f t="shared" ca="1" si="22"/>
        <v>-1.2396429865662582</v>
      </c>
      <c r="Z121" s="14">
        <f t="shared" ca="1" si="23"/>
        <v>-1.7120096997355103</v>
      </c>
      <c r="AA121" s="14">
        <f t="shared" ca="1" si="24"/>
        <v>1.3220654312949023</v>
      </c>
      <c r="AB121" s="14">
        <f t="shared" ca="1" si="25"/>
        <v>-1.3461137790777786</v>
      </c>
      <c r="AC121" s="14">
        <f t="shared" ca="1" si="26"/>
        <v>-0.93099684576492037</v>
      </c>
      <c r="AD121" s="14">
        <f t="shared" ca="1" si="27"/>
        <v>0.96627010351112796</v>
      </c>
      <c r="AE121" s="14">
        <f ca="1">U$4*AO121</f>
        <v>1.4355080518525118</v>
      </c>
      <c r="AF121" s="15">
        <f ca="1">AP121*W$4</f>
        <v>-0.42854942919393035</v>
      </c>
      <c r="AG121" s="12">
        <f t="shared" ca="1" si="28"/>
        <v>-1.9334691536798556</v>
      </c>
      <c r="AH121" s="14">
        <f t="shared" ca="1" si="29"/>
        <v>-0.63579694283363641</v>
      </c>
      <c r="AI121" s="14">
        <f t="shared" ca="1" si="30"/>
        <v>-1.2396429865662582</v>
      </c>
      <c r="AJ121" s="14">
        <f t="shared" ca="1" si="31"/>
        <v>-1.7120096997355103</v>
      </c>
      <c r="AK121" s="14">
        <f t="shared" ca="1" si="32"/>
        <v>1.3220654312949023</v>
      </c>
      <c r="AL121" s="14">
        <f t="shared" ca="1" si="33"/>
        <v>-1.3461137790777786</v>
      </c>
      <c r="AM121" s="14">
        <f t="shared" ca="1" si="34"/>
        <v>-0.93099684576492037</v>
      </c>
      <c r="AN121" s="14">
        <f t="shared" ca="1" si="35"/>
        <v>0.96627010351112796</v>
      </c>
      <c r="AO121" s="14">
        <f t="shared" ca="1" si="37"/>
        <v>1.4355080518525118</v>
      </c>
      <c r="AP121" s="14">
        <f ca="1">(AV121-$AP$3)/$AP$4</f>
        <v>-0.42854942919393035</v>
      </c>
      <c r="AQ121" s="22">
        <f t="shared" si="38"/>
        <v>3.9113725490196076</v>
      </c>
      <c r="AR121" s="22">
        <f t="shared" si="39"/>
        <v>1.1868627450980391</v>
      </c>
      <c r="AS121" s="22">
        <f ca="1">(U121-AS$3)</f>
        <v>0.14701092879065131</v>
      </c>
      <c r="AT121" s="22">
        <f ca="1">(W121-AT$3)</f>
        <v>-7.3102931951501193E-2</v>
      </c>
      <c r="AU121" s="11">
        <f ca="1">AS121*V121</f>
        <v>0.92299802742679504</v>
      </c>
      <c r="AV121" s="11">
        <f ca="1">AT121*X121</f>
        <v>-0.11934411988788214</v>
      </c>
    </row>
    <row r="122" spans="1:48">
      <c r="A122">
        <v>117</v>
      </c>
      <c r="B122" s="27" t="str">
        <f t="shared" si="36"/>
        <v>Devonte' Graham</v>
      </c>
      <c r="C122" s="21">
        <v>4.6824929159518112</v>
      </c>
      <c r="D122" s="12">
        <f t="shared" ca="1" si="20"/>
        <v>4.7755345831449141</v>
      </c>
      <c r="E122" s="12">
        <f t="shared" ca="1" si="21"/>
        <v>4.7755345831449141</v>
      </c>
      <c r="F122" s="29">
        <f ca="1">SUM(AI122:AN122,AP122,AO122)+$A$4</f>
        <v>0.89324199797933268</v>
      </c>
      <c r="G122" s="29">
        <f ca="1">SUM(Y122:AF122)+$A$4</f>
        <v>0.89324199797933268</v>
      </c>
      <c r="H122" s="10">
        <v>1</v>
      </c>
      <c r="I122" s="10">
        <v>0</v>
      </c>
      <c r="J122" t="e">
        <f>VLOOKUP(N122,Schedule!#REF!,2,0)</f>
        <v>#REF!</v>
      </c>
      <c r="K122" s="17">
        <v>117</v>
      </c>
      <c r="L122" s="17" t="s">
        <v>178</v>
      </c>
      <c r="M122" s="17" t="s">
        <v>25</v>
      </c>
      <c r="N122" s="17" t="s">
        <v>77</v>
      </c>
      <c r="O122" s="22">
        <v>13.629014084507039</v>
      </c>
      <c r="P122" s="22">
        <v>2.8957746478873241</v>
      </c>
      <c r="Q122" s="22">
        <v>2.8481690140845068</v>
      </c>
      <c r="R122" s="22">
        <v>6.0353521126760565</v>
      </c>
      <c r="S122" s="22">
        <v>0.81380281690140843</v>
      </c>
      <c r="T122" s="22">
        <v>0.13563380281690143</v>
      </c>
      <c r="U122" s="22">
        <v>0.3902678156767635</v>
      </c>
      <c r="V122" s="22">
        <v>10.917746478873239</v>
      </c>
      <c r="W122" s="22">
        <v>0.84401204042141487</v>
      </c>
      <c r="X122" s="22">
        <v>2.6202816901408448</v>
      </c>
      <c r="Y122" s="14">
        <f t="shared" ca="1" si="22"/>
        <v>-0.43644275945028588</v>
      </c>
      <c r="Z122" s="14">
        <f t="shared" ca="1" si="23"/>
        <v>1.1636000645586879</v>
      </c>
      <c r="AA122" s="14">
        <f t="shared" ca="1" si="24"/>
        <v>-1.1955340145611983</v>
      </c>
      <c r="AB122" s="14">
        <f t="shared" ca="1" si="25"/>
        <v>1.1479258592703874</v>
      </c>
      <c r="AC122" s="14">
        <f t="shared" ca="1" si="26"/>
        <v>-0.56012061477928887</v>
      </c>
      <c r="AD122" s="14">
        <f t="shared" ca="1" si="27"/>
        <v>-0.98403020765560556</v>
      </c>
      <c r="AE122" s="14">
        <f ca="1">U$4*AO122</f>
        <v>-1.4553035849479177</v>
      </c>
      <c r="AF122" s="15">
        <f ca="1">AP122*W$4</f>
        <v>0.41314725554455384</v>
      </c>
      <c r="AG122" s="12">
        <f t="shared" ca="1" si="28"/>
        <v>-1.9067580020206671</v>
      </c>
      <c r="AH122" s="14">
        <f t="shared" ca="1" si="29"/>
        <v>-0.62701331753909517</v>
      </c>
      <c r="AI122" s="14">
        <f t="shared" ca="1" si="30"/>
        <v>-0.43644275945028588</v>
      </c>
      <c r="AJ122" s="14">
        <f t="shared" ca="1" si="31"/>
        <v>1.1636000645586879</v>
      </c>
      <c r="AK122" s="14">
        <f t="shared" ca="1" si="32"/>
        <v>-1.1955340145611983</v>
      </c>
      <c r="AL122" s="14">
        <f t="shared" ca="1" si="33"/>
        <v>1.1479258592703874</v>
      </c>
      <c r="AM122" s="14">
        <f t="shared" ca="1" si="34"/>
        <v>-0.56012061477928887</v>
      </c>
      <c r="AN122" s="14">
        <f t="shared" ca="1" si="35"/>
        <v>-0.98403020765560556</v>
      </c>
      <c r="AO122" s="14">
        <f t="shared" ca="1" si="37"/>
        <v>-1.4553035849479177</v>
      </c>
      <c r="AP122" s="14">
        <f ca="1">(AV122-$AP$3)/$AP$4</f>
        <v>0.41314725554455384</v>
      </c>
      <c r="AQ122" s="22">
        <f t="shared" si="38"/>
        <v>4.2608450704225351</v>
      </c>
      <c r="AR122" s="22">
        <f t="shared" si="39"/>
        <v>2.2115492957746481</v>
      </c>
      <c r="AS122" s="22">
        <f ca="1">(U122-AS$3)</f>
        <v>-8.5706889511348472E-2</v>
      </c>
      <c r="AT122" s="22">
        <f ca="1">(W122-AT$3)</f>
        <v>4.3909348681299698E-2</v>
      </c>
      <c r="AU122" s="11">
        <f ca="1">AS122*V122</f>
        <v>-0.93572609117770256</v>
      </c>
      <c r="AV122" s="11">
        <f ca="1">AT122*X122</f>
        <v>0.11505486237561964</v>
      </c>
    </row>
    <row r="123" spans="1:48">
      <c r="A123">
        <v>118</v>
      </c>
      <c r="B123" s="27" t="str">
        <f t="shared" si="36"/>
        <v>Evan Mobley</v>
      </c>
      <c r="C123" s="21">
        <v>4.6777878573067682</v>
      </c>
      <c r="D123" s="12">
        <f t="shared" ca="1" si="20"/>
        <v>4.5016054548481206</v>
      </c>
      <c r="E123" s="12">
        <f t="shared" ca="1" si="21"/>
        <v>4.5016054548481206</v>
      </c>
      <c r="F123" s="29">
        <f ca="1">SUM(AI123:AN123,AP123,AO123)+$A$4</f>
        <v>0.84200480189071625</v>
      </c>
      <c r="G123" s="29">
        <f ca="1">SUM(Y123:AF123)+$A$4</f>
        <v>0.84200480189071625</v>
      </c>
      <c r="H123" s="10">
        <v>1</v>
      </c>
      <c r="I123" s="10">
        <v>0</v>
      </c>
      <c r="J123" t="e">
        <f>VLOOKUP(N123,Schedule!#REF!,2,0)</f>
        <v>#REF!</v>
      </c>
      <c r="K123" s="17">
        <v>118</v>
      </c>
      <c r="L123" s="17" t="s">
        <v>179</v>
      </c>
      <c r="M123" s="17" t="s">
        <v>63</v>
      </c>
      <c r="N123" s="17" t="s">
        <v>118</v>
      </c>
      <c r="O123" s="22">
        <v>11.279054054054054</v>
      </c>
      <c r="P123" s="22">
        <v>0.43635135135135134</v>
      </c>
      <c r="Q123" s="22">
        <v>6.9479729729729724</v>
      </c>
      <c r="R123" s="22">
        <v>2.5979729729729728</v>
      </c>
      <c r="S123" s="22">
        <v>0.78540540540540538</v>
      </c>
      <c r="T123" s="22">
        <v>1.5104054054054052</v>
      </c>
      <c r="U123" s="22">
        <v>0.49399247358955378</v>
      </c>
      <c r="V123" s="22">
        <v>8.941486486486486</v>
      </c>
      <c r="W123" s="22">
        <v>0.70199301029564554</v>
      </c>
      <c r="X123" s="22">
        <v>2.8613513513513515</v>
      </c>
      <c r="Y123" s="14">
        <f t="shared" ca="1" si="22"/>
        <v>-0.84504255162045905</v>
      </c>
      <c r="Z123" s="14">
        <f t="shared" ca="1" si="23"/>
        <v>-1.2786969046516927</v>
      </c>
      <c r="AA123" s="14">
        <f t="shared" ca="1" si="24"/>
        <v>0.51839519900403452</v>
      </c>
      <c r="AB123" s="14">
        <f t="shared" ca="1" si="25"/>
        <v>-0.48872949124762155</v>
      </c>
      <c r="AC123" s="14">
        <f t="shared" ca="1" si="26"/>
        <v>-0.65079132383121818</v>
      </c>
      <c r="AD123" s="14">
        <f t="shared" ca="1" si="27"/>
        <v>1.5443596885367434</v>
      </c>
      <c r="AE123" s="14">
        <f ca="1">U$4*AO123</f>
        <v>0.25056221794211575</v>
      </c>
      <c r="AF123" s="15">
        <f ca="1">AP123*W$4</f>
        <v>-1.0080520322411861</v>
      </c>
      <c r="AG123" s="12">
        <f t="shared" ca="1" si="28"/>
        <v>-1.9579951981092836</v>
      </c>
      <c r="AH123" s="14">
        <f t="shared" ca="1" si="29"/>
        <v>-0.64386202317813213</v>
      </c>
      <c r="AI123" s="14">
        <f t="shared" ca="1" si="30"/>
        <v>-0.84504255162045905</v>
      </c>
      <c r="AJ123" s="14">
        <f t="shared" ca="1" si="31"/>
        <v>-1.2786969046516927</v>
      </c>
      <c r="AK123" s="14">
        <f t="shared" ca="1" si="32"/>
        <v>0.51839519900403452</v>
      </c>
      <c r="AL123" s="14">
        <f t="shared" ca="1" si="33"/>
        <v>-0.48872949124762155</v>
      </c>
      <c r="AM123" s="14">
        <f t="shared" ca="1" si="34"/>
        <v>-0.65079132383121818</v>
      </c>
      <c r="AN123" s="14">
        <f t="shared" ca="1" si="35"/>
        <v>1.5443596885367434</v>
      </c>
      <c r="AO123" s="14">
        <f t="shared" ca="1" si="37"/>
        <v>0.25056221794211575</v>
      </c>
      <c r="AP123" s="14">
        <f ca="1">(AV123-$AP$3)/$AP$4</f>
        <v>-1.0080520322411861</v>
      </c>
      <c r="AQ123" s="22">
        <f t="shared" si="38"/>
        <v>4.4170270270270278</v>
      </c>
      <c r="AR123" s="22">
        <f t="shared" si="39"/>
        <v>2.0086486486486486</v>
      </c>
      <c r="AS123" s="22">
        <f ca="1">(U123-AS$3)</f>
        <v>1.8017768401441814E-2</v>
      </c>
      <c r="AT123" s="22">
        <f ca="1">(W123-AT$3)</f>
        <v>-9.8109681444469632E-2</v>
      </c>
      <c r="AU123" s="11">
        <f ca="1">AS123*V123</f>
        <v>0.16110563267813519</v>
      </c>
      <c r="AV123" s="11">
        <f ca="1">AT123*X123</f>
        <v>-0.28072626958178382</v>
      </c>
    </row>
    <row r="124" spans="1:48">
      <c r="A124">
        <v>119</v>
      </c>
      <c r="B124" s="27" t="str">
        <f t="shared" si="36"/>
        <v>Joe Ingles</v>
      </c>
      <c r="C124" s="21">
        <v>4.4491307493961756</v>
      </c>
      <c r="D124" s="12">
        <f t="shared" ca="1" si="20"/>
        <v>4.4115939266433397</v>
      </c>
      <c r="E124" s="12">
        <f t="shared" ca="1" si="21"/>
        <v>4.4115939266433406</v>
      </c>
      <c r="F124" s="29">
        <f ca="1">SUM(AI124:AN124,AP124,AO124)+$A$4</f>
        <v>0.82516855541506762</v>
      </c>
      <c r="G124" s="29">
        <f ca="1">SUM(Y124:AF124)+$A$4</f>
        <v>0.82516855541506784</v>
      </c>
      <c r="H124" s="10">
        <v>1</v>
      </c>
      <c r="I124" s="10">
        <v>0</v>
      </c>
      <c r="J124" t="e">
        <f>VLOOKUP(N124,Schedule!#REF!,2,0)</f>
        <v>#REF!</v>
      </c>
      <c r="K124" s="17">
        <v>119</v>
      </c>
      <c r="L124" s="17" t="s">
        <v>180</v>
      </c>
      <c r="M124" s="17" t="s">
        <v>181</v>
      </c>
      <c r="N124" s="17" t="s">
        <v>67</v>
      </c>
      <c r="O124" s="22">
        <v>10.730909090909091</v>
      </c>
      <c r="P124" s="22">
        <v>2.4476623376623374</v>
      </c>
      <c r="Q124" s="22">
        <v>3.6146753246753245</v>
      </c>
      <c r="R124" s="22">
        <v>4.6474025974025981</v>
      </c>
      <c r="S124" s="22">
        <v>0.80324675324675332</v>
      </c>
      <c r="T124" s="22">
        <v>0.17207792207792208</v>
      </c>
      <c r="U124" s="22">
        <v>0.47610538139487396</v>
      </c>
      <c r="V124" s="22">
        <v>7.63090909090909</v>
      </c>
      <c r="W124" s="22">
        <v>0.83299648973513452</v>
      </c>
      <c r="X124" s="22">
        <v>1.2209090909090909</v>
      </c>
      <c r="Y124" s="14">
        <f t="shared" ca="1" si="22"/>
        <v>-0.94035137182068429</v>
      </c>
      <c r="Z124" s="14">
        <f t="shared" ca="1" si="23"/>
        <v>0.7186082086753145</v>
      </c>
      <c r="AA124" s="14">
        <f t="shared" ca="1" si="24"/>
        <v>-0.87509489813576635</v>
      </c>
      <c r="AB124" s="14">
        <f t="shared" ca="1" si="25"/>
        <v>0.48707498769111784</v>
      </c>
      <c r="AC124" s="14">
        <f t="shared" ca="1" si="26"/>
        <v>-0.59382529861991273</v>
      </c>
      <c r="AD124" s="14">
        <f t="shared" ca="1" si="27"/>
        <v>-0.9170045702757692</v>
      </c>
      <c r="AE124" s="14">
        <f ca="1">U$4*AO124</f>
        <v>1.5508780846998657E-3</v>
      </c>
      <c r="AF124" s="15">
        <f ca="1">AP124*W$4</f>
        <v>0.14421061981606834</v>
      </c>
      <c r="AG124" s="12">
        <f t="shared" ca="1" si="28"/>
        <v>-1.974831444584932</v>
      </c>
      <c r="AH124" s="14">
        <f t="shared" ca="1" si="29"/>
        <v>-0.64939841046294489</v>
      </c>
      <c r="AI124" s="14">
        <f t="shared" ca="1" si="30"/>
        <v>-0.94035137182068429</v>
      </c>
      <c r="AJ124" s="14">
        <f t="shared" ca="1" si="31"/>
        <v>0.7186082086753145</v>
      </c>
      <c r="AK124" s="14">
        <f t="shared" ca="1" si="32"/>
        <v>-0.87509489813576635</v>
      </c>
      <c r="AL124" s="14">
        <f t="shared" ca="1" si="33"/>
        <v>0.48707498769111784</v>
      </c>
      <c r="AM124" s="14">
        <f t="shared" ca="1" si="34"/>
        <v>-0.59382529861991273</v>
      </c>
      <c r="AN124" s="14">
        <f t="shared" ca="1" si="35"/>
        <v>-0.9170045702757692</v>
      </c>
      <c r="AO124" s="14">
        <f t="shared" ca="1" si="37"/>
        <v>1.5508780846998657E-3</v>
      </c>
      <c r="AP124" s="14">
        <f ca="1">(AV124-$AP$3)/$AP$4</f>
        <v>0.14421061981606834</v>
      </c>
      <c r="AQ124" s="22">
        <f t="shared" si="38"/>
        <v>3.6331168831168834</v>
      </c>
      <c r="AR124" s="22">
        <f t="shared" si="39"/>
        <v>1.0170129870129869</v>
      </c>
      <c r="AS124" s="22">
        <f ca="1">(U124-AS$3)</f>
        <v>1.3067620676199265E-4</v>
      </c>
      <c r="AT124" s="22">
        <f ca="1">(W124-AT$3)</f>
        <v>3.2893797995019347E-2</v>
      </c>
      <c r="AU124" s="11">
        <f ca="1">AS124*V124</f>
        <v>9.9717825414560564E-4</v>
      </c>
      <c r="AV124" s="11">
        <f ca="1">AT124*X124</f>
        <v>4.0160337006646347E-2</v>
      </c>
    </row>
    <row r="125" spans="1:48">
      <c r="A125">
        <v>120</v>
      </c>
      <c r="B125" s="27" t="str">
        <f t="shared" si="36"/>
        <v>Dwight Powell</v>
      </c>
      <c r="C125" s="21">
        <v>4.2178786749101</v>
      </c>
      <c r="D125" s="12">
        <f t="shared" ca="1" si="20"/>
        <v>3.9769155518017283</v>
      </c>
      <c r="E125" s="12">
        <f t="shared" ca="1" si="21"/>
        <v>3.9769155518017283</v>
      </c>
      <c r="F125" s="29">
        <f ca="1">SUM(AI125:AN125,AP125,AO125)+$A$4</f>
        <v>0.74386394474544204</v>
      </c>
      <c r="G125" s="29">
        <f ca="1">SUM(Y125:AF125)+$A$4</f>
        <v>0.74386394474544204</v>
      </c>
      <c r="H125" s="10">
        <v>1</v>
      </c>
      <c r="I125" s="10">
        <v>0</v>
      </c>
      <c r="J125" t="e">
        <f>VLOOKUP(N125,Schedule!#REF!,2,0)</f>
        <v>#REF!</v>
      </c>
      <c r="K125" s="17">
        <v>120</v>
      </c>
      <c r="L125" s="17" t="s">
        <v>182</v>
      </c>
      <c r="M125" s="17" t="s">
        <v>22</v>
      </c>
      <c r="N125" s="17" t="s">
        <v>51</v>
      </c>
      <c r="O125" s="22">
        <v>9.8044285714285699</v>
      </c>
      <c r="P125" s="22">
        <v>0.13800000000000001</v>
      </c>
      <c r="Q125" s="22">
        <v>6.4702857142857138</v>
      </c>
      <c r="R125" s="22">
        <v>1.7885714285714287</v>
      </c>
      <c r="S125" s="22">
        <v>0.89428571428571435</v>
      </c>
      <c r="T125" s="22">
        <v>0.84171428571428575</v>
      </c>
      <c r="U125" s="22">
        <v>0.65173058693925656</v>
      </c>
      <c r="V125" s="22">
        <v>5.5761428571428571</v>
      </c>
      <c r="W125" s="22">
        <v>0.76800256199103301</v>
      </c>
      <c r="X125" s="22">
        <v>3.1225714285714288</v>
      </c>
      <c r="Y125" s="14">
        <f t="shared" ca="1" si="22"/>
        <v>-1.1014433660689791</v>
      </c>
      <c r="Z125" s="14">
        <f t="shared" ca="1" si="23"/>
        <v>-1.5749706702094666</v>
      </c>
      <c r="AA125" s="14">
        <f t="shared" ca="1" si="24"/>
        <v>0.31869732178310606</v>
      </c>
      <c r="AB125" s="14">
        <f t="shared" ca="1" si="25"/>
        <v>-0.87411362099385426</v>
      </c>
      <c r="AC125" s="14">
        <f t="shared" ca="1" si="26"/>
        <v>-0.30314503186688851</v>
      </c>
      <c r="AD125" s="14">
        <f t="shared" ca="1" si="27"/>
        <v>0.3145467745100064</v>
      </c>
      <c r="AE125" s="14">
        <f ca="1">U$4*AO125</f>
        <v>1.5242233812261423</v>
      </c>
      <c r="AF125" s="15">
        <f ca="1">AP125*W$4</f>
        <v>-0.3599308436346248</v>
      </c>
      <c r="AG125" s="12">
        <f t="shared" ca="1" si="28"/>
        <v>-2.0561360552545578</v>
      </c>
      <c r="AH125" s="14">
        <f t="shared" ca="1" si="29"/>
        <v>-0.67613440612320286</v>
      </c>
      <c r="AI125" s="14">
        <f t="shared" ca="1" si="30"/>
        <v>-1.1014433660689791</v>
      </c>
      <c r="AJ125" s="14">
        <f t="shared" ca="1" si="31"/>
        <v>-1.5749706702094666</v>
      </c>
      <c r="AK125" s="14">
        <f t="shared" ca="1" si="32"/>
        <v>0.31869732178310606</v>
      </c>
      <c r="AL125" s="14">
        <f t="shared" ca="1" si="33"/>
        <v>-0.87411362099385426</v>
      </c>
      <c r="AM125" s="14">
        <f t="shared" ca="1" si="34"/>
        <v>-0.30314503186688851</v>
      </c>
      <c r="AN125" s="14">
        <f t="shared" ca="1" si="35"/>
        <v>0.3145467745100064</v>
      </c>
      <c r="AO125" s="14">
        <f t="shared" ca="1" si="37"/>
        <v>1.5242233812261423</v>
      </c>
      <c r="AP125" s="14">
        <f ca="1">(AV125-$AP$3)/$AP$4</f>
        <v>-0.3599308436346248</v>
      </c>
      <c r="AQ125" s="22">
        <f t="shared" si="38"/>
        <v>3.6341428571428573</v>
      </c>
      <c r="AR125" s="22">
        <f t="shared" si="39"/>
        <v>2.3981428571428571</v>
      </c>
      <c r="AS125" s="22">
        <f ca="1">(U125-AS$3)</f>
        <v>0.17575588175114459</v>
      </c>
      <c r="AT125" s="22">
        <f ca="1">(W125-AT$3)</f>
        <v>-3.2100129749082162E-2</v>
      </c>
      <c r="AU125" s="11">
        <f ca="1">AS125*V125</f>
        <v>0.98003990462748958</v>
      </c>
      <c r="AV125" s="11">
        <f ca="1">AT125*X125</f>
        <v>-0.10023494800791971</v>
      </c>
    </row>
    <row r="126" spans="1:48">
      <c r="A126">
        <v>121</v>
      </c>
      <c r="B126" s="27" t="str">
        <f t="shared" si="36"/>
        <v>Mason Plumlee</v>
      </c>
      <c r="C126" s="21">
        <v>4.1090996912719593</v>
      </c>
      <c r="D126" s="12">
        <f t="shared" ca="1" si="20"/>
        <v>3.8313095445908831</v>
      </c>
      <c r="E126" s="12">
        <f t="shared" ca="1" si="21"/>
        <v>3.8313095445908858</v>
      </c>
      <c r="F126" s="29">
        <f ca="1">SUM(AI126:AN126,AP126,AO126)+$A$4</f>
        <v>0.71662900412583985</v>
      </c>
      <c r="G126" s="29">
        <f ca="1">SUM(Y126:AF126)+$A$4</f>
        <v>0.7166290041258403</v>
      </c>
      <c r="H126" s="10">
        <v>1</v>
      </c>
      <c r="I126" s="10">
        <v>0</v>
      </c>
      <c r="J126" t="e">
        <f>VLOOKUP(N126,Schedule!#REF!,2,0)</f>
        <v>#REF!</v>
      </c>
      <c r="K126" s="17">
        <v>121</v>
      </c>
      <c r="L126" s="17" t="s">
        <v>183</v>
      </c>
      <c r="M126" s="17" t="s">
        <v>22</v>
      </c>
      <c r="N126" s="17" t="s">
        <v>65</v>
      </c>
      <c r="O126" s="22">
        <v>9.7518840579710151</v>
      </c>
      <c r="P126" s="22">
        <v>0</v>
      </c>
      <c r="Q126" s="22">
        <v>9.1</v>
      </c>
      <c r="R126" s="22">
        <v>3.3042028985507246</v>
      </c>
      <c r="S126" s="22">
        <v>0.65</v>
      </c>
      <c r="T126" s="22">
        <v>0.92086956521739127</v>
      </c>
      <c r="U126" s="22">
        <v>0.62700089928057545</v>
      </c>
      <c r="V126" s="22">
        <v>6.4463768115942033</v>
      </c>
      <c r="W126" s="22">
        <v>0.6469926925238898</v>
      </c>
      <c r="X126" s="22">
        <v>2.5782608695652174</v>
      </c>
      <c r="Y126" s="14">
        <f t="shared" ca="1" si="22"/>
        <v>-1.110579554344616</v>
      </c>
      <c r="Z126" s="14">
        <f t="shared" ca="1" si="23"/>
        <v>-1.7120096997355103</v>
      </c>
      <c r="AA126" s="14">
        <f t="shared" ca="1" si="24"/>
        <v>1.4180533355856577</v>
      </c>
      <c r="AB126" s="14">
        <f t="shared" ca="1" si="25"/>
        <v>-0.15246894522807367</v>
      </c>
      <c r="AC126" s="14">
        <f t="shared" ca="1" si="26"/>
        <v>-1.083130169901751</v>
      </c>
      <c r="AD126" s="14">
        <f t="shared" ca="1" si="27"/>
        <v>0.46012398060671816</v>
      </c>
      <c r="AE126" s="14">
        <f ca="1">U$4*AO126</f>
        <v>1.5141636846521966</v>
      </c>
      <c r="AF126" s="15">
        <f ca="1">AP126*W$4</f>
        <v>-1.4175236275087812</v>
      </c>
      <c r="AG126" s="12">
        <f t="shared" ca="1" si="28"/>
        <v>-2.0833709958741595</v>
      </c>
      <c r="AH126" s="14">
        <f t="shared" ca="1" si="29"/>
        <v>-0.68509027281041746</v>
      </c>
      <c r="AI126" s="14">
        <f t="shared" ca="1" si="30"/>
        <v>-1.110579554344616</v>
      </c>
      <c r="AJ126" s="14">
        <f t="shared" ca="1" si="31"/>
        <v>-1.7120096997355103</v>
      </c>
      <c r="AK126" s="14">
        <f t="shared" ca="1" si="32"/>
        <v>1.4180533355856577</v>
      </c>
      <c r="AL126" s="14">
        <f t="shared" ca="1" si="33"/>
        <v>-0.15246894522807367</v>
      </c>
      <c r="AM126" s="14">
        <f t="shared" ca="1" si="34"/>
        <v>-1.083130169901751</v>
      </c>
      <c r="AN126" s="14">
        <f t="shared" ca="1" si="35"/>
        <v>0.46012398060671816</v>
      </c>
      <c r="AO126" s="14">
        <f t="shared" ca="1" si="37"/>
        <v>1.5141636846521966</v>
      </c>
      <c r="AP126" s="14">
        <f ca="1">(AV126-$AP$3)/$AP$4</f>
        <v>-1.4175236275087812</v>
      </c>
      <c r="AQ126" s="22">
        <f t="shared" si="38"/>
        <v>4.0418840579710142</v>
      </c>
      <c r="AR126" s="22">
        <f t="shared" si="39"/>
        <v>1.6681159420289855</v>
      </c>
      <c r="AS126" s="22">
        <f ca="1">(U126-AS$3)</f>
        <v>0.15102619409246348</v>
      </c>
      <c r="AT126" s="22">
        <f ca="1">(W126-AT$3)</f>
        <v>-0.15310999921622537</v>
      </c>
      <c r="AU126" s="11">
        <f ca="1">AS126*V126</f>
        <v>0.97357175554098208</v>
      </c>
      <c r="AV126" s="11">
        <f ca="1">AT126*X126</f>
        <v>-0.39475751971835499</v>
      </c>
    </row>
    <row r="127" spans="1:48">
      <c r="A127">
        <v>122</v>
      </c>
      <c r="B127" s="27" t="str">
        <f t="shared" si="36"/>
        <v>Spencer Dinwiddie</v>
      </c>
      <c r="C127" s="21">
        <v>4.061212593866796</v>
      </c>
      <c r="D127" s="12">
        <f t="shared" ca="1" si="20"/>
        <v>4.1850829864462984</v>
      </c>
      <c r="E127" s="12">
        <f t="shared" ca="1" si="21"/>
        <v>4.1850829864462984</v>
      </c>
      <c r="F127" s="29">
        <f ca="1">SUM(AI127:AN127,AP127,AO127)+$A$4</f>
        <v>0.78280071548780672</v>
      </c>
      <c r="G127" s="29">
        <f ca="1">SUM(Y127:AF127)+$A$4</f>
        <v>0.78280071548780672</v>
      </c>
      <c r="H127" s="10">
        <v>1</v>
      </c>
      <c r="I127" s="10">
        <v>0</v>
      </c>
      <c r="J127" t="e">
        <f>VLOOKUP(N127,Schedule!#REF!,2,0)</f>
        <v>#REF!</v>
      </c>
      <c r="K127" s="17">
        <v>122</v>
      </c>
      <c r="L127" s="17" t="s">
        <v>184</v>
      </c>
      <c r="M127" s="17" t="s">
        <v>25</v>
      </c>
      <c r="N127" s="17" t="s">
        <v>40</v>
      </c>
      <c r="O127" s="22">
        <v>19.63478873239437</v>
      </c>
      <c r="P127" s="22">
        <v>2.0871830985915492</v>
      </c>
      <c r="Q127" s="22">
        <v>4.0425352112676052</v>
      </c>
      <c r="R127" s="22">
        <v>7.5074647887323938</v>
      </c>
      <c r="S127" s="22">
        <v>0.57746478873239437</v>
      </c>
      <c r="T127" s="22">
        <v>0.28873239436619719</v>
      </c>
      <c r="U127" s="22">
        <v>0.41577995621966307</v>
      </c>
      <c r="V127" s="22">
        <v>14.798591549295775</v>
      </c>
      <c r="W127" s="22">
        <v>0.77000744848133751</v>
      </c>
      <c r="X127" s="22">
        <v>6.8073239436619719</v>
      </c>
      <c r="Y127" s="14">
        <f t="shared" ca="1" si="22"/>
        <v>0.6078125645326613</v>
      </c>
      <c r="Z127" s="14">
        <f t="shared" ca="1" si="23"/>
        <v>0.36063918630902853</v>
      </c>
      <c r="AA127" s="14">
        <f t="shared" ca="1" si="24"/>
        <v>-0.69622742878924793</v>
      </c>
      <c r="AB127" s="14">
        <f t="shared" ca="1" si="25"/>
        <v>1.848849728855837</v>
      </c>
      <c r="AC127" s="14">
        <f t="shared" ca="1" si="26"/>
        <v>-1.3147294140015517</v>
      </c>
      <c r="AD127" s="14">
        <f t="shared" ca="1" si="27"/>
        <v>-0.70246130467151957</v>
      </c>
      <c r="AE127" s="14">
        <f ca="1">U$4*AO127</f>
        <v>-1.3854276506535304</v>
      </c>
      <c r="AF127" s="15">
        <f ca="1">AP127*W$4</f>
        <v>-0.73565496609387038</v>
      </c>
      <c r="AG127" s="12">
        <f t="shared" ca="1" si="28"/>
        <v>-2.0171992845121931</v>
      </c>
      <c r="AH127" s="14">
        <f t="shared" ca="1" si="29"/>
        <v>-0.66333054020442506</v>
      </c>
      <c r="AI127" s="14">
        <f t="shared" ca="1" si="30"/>
        <v>0.6078125645326613</v>
      </c>
      <c r="AJ127" s="14">
        <f t="shared" ca="1" si="31"/>
        <v>0.36063918630902853</v>
      </c>
      <c r="AK127" s="14">
        <f t="shared" ca="1" si="32"/>
        <v>-0.69622742878924793</v>
      </c>
      <c r="AL127" s="14">
        <f t="shared" ca="1" si="33"/>
        <v>1.848849728855837</v>
      </c>
      <c r="AM127" s="14">
        <f t="shared" ca="1" si="34"/>
        <v>-1.3147294140015517</v>
      </c>
      <c r="AN127" s="14">
        <f t="shared" ca="1" si="35"/>
        <v>-0.70246130467151957</v>
      </c>
      <c r="AO127" s="14">
        <f t="shared" ca="1" si="37"/>
        <v>-1.3854276506535304</v>
      </c>
      <c r="AP127" s="14">
        <f ca="1">(AV127-$AP$3)/$AP$4</f>
        <v>-0.73565496609387038</v>
      </c>
      <c r="AQ127" s="22">
        <f t="shared" si="38"/>
        <v>6.1529577464788732</v>
      </c>
      <c r="AR127" s="22">
        <f t="shared" si="39"/>
        <v>5.2416901408450709</v>
      </c>
      <c r="AS127" s="22">
        <f ca="1">(U127-AS$3)</f>
        <v>-6.0194748968448897E-2</v>
      </c>
      <c r="AT127" s="22">
        <f ca="1">(W127-AT$3)</f>
        <v>-3.009524325877766E-2</v>
      </c>
      <c r="AU127" s="11">
        <f ca="1">AS127*V127</f>
        <v>-0.89079750339646846</v>
      </c>
      <c r="AV127" s="11">
        <f ca="1">AT127*X127</f>
        <v>-0.2048680700258087</v>
      </c>
    </row>
    <row r="128" spans="1:48">
      <c r="A128">
        <v>123</v>
      </c>
      <c r="B128" s="27" t="str">
        <f t="shared" si="36"/>
        <v>Jaden McDaniels</v>
      </c>
      <c r="C128" s="21">
        <v>3.9159760613884562</v>
      </c>
      <c r="D128" s="12">
        <f t="shared" ca="1" si="20"/>
        <v>3.780554168512162</v>
      </c>
      <c r="E128" s="12">
        <f t="shared" ca="1" si="21"/>
        <v>3.780554168512162</v>
      </c>
      <c r="F128" s="29">
        <f ca="1">SUM(AI128:AN128,AP128,AO128)+$A$4</f>
        <v>0.707135442149184</v>
      </c>
      <c r="G128" s="29">
        <f ca="1">SUM(Y128:AF128)+$A$4</f>
        <v>0.707135442149184</v>
      </c>
      <c r="H128" s="10">
        <v>1</v>
      </c>
      <c r="I128" s="10">
        <v>0</v>
      </c>
      <c r="J128" t="e">
        <f>VLOOKUP(N128,Schedule!#REF!,2,0)</f>
        <v>#REF!</v>
      </c>
      <c r="K128" s="17">
        <v>123</v>
      </c>
      <c r="L128" s="17" t="s">
        <v>185</v>
      </c>
      <c r="M128" s="17" t="s">
        <v>105</v>
      </c>
      <c r="N128" s="17" t="s">
        <v>31</v>
      </c>
      <c r="O128" s="22">
        <v>9.9655263157894733</v>
      </c>
      <c r="P128" s="22">
        <v>1.6301315789473685</v>
      </c>
      <c r="Q128" s="22">
        <v>5.4718421052631578</v>
      </c>
      <c r="R128" s="22">
        <v>2.06</v>
      </c>
      <c r="S128" s="22">
        <v>0.83684210526315794</v>
      </c>
      <c r="T128" s="22">
        <v>1.1586842105263158</v>
      </c>
      <c r="U128" s="22">
        <v>0.45873599869184867</v>
      </c>
      <c r="V128" s="22">
        <v>8.0467105263157883</v>
      </c>
      <c r="W128" s="22">
        <v>0.74001021972406744</v>
      </c>
      <c r="X128" s="22">
        <v>1.2874999999999999</v>
      </c>
      <c r="Y128" s="14">
        <f t="shared" ca="1" si="22"/>
        <v>-1.0734324620485136</v>
      </c>
      <c r="Z128" s="14">
        <f t="shared" ca="1" si="23"/>
        <v>-9.3229630324608737E-2</v>
      </c>
      <c r="AA128" s="14">
        <f t="shared" ca="1" si="24"/>
        <v>-9.870353122383077E-2</v>
      </c>
      <c r="AB128" s="14">
        <f t="shared" ca="1" si="25"/>
        <v>-0.74487707022151106</v>
      </c>
      <c r="AC128" s="14">
        <f t="shared" ca="1" si="26"/>
        <v>-0.48655797291294423</v>
      </c>
      <c r="AD128" s="14">
        <f t="shared" ca="1" si="27"/>
        <v>0.89749710151895545</v>
      </c>
      <c r="AE128" s="14">
        <f ca="1">U$4*AO128</f>
        <v>-0.2157386285821328</v>
      </c>
      <c r="AF128" s="15">
        <f ca="1">AP128*W$4</f>
        <v>-0.27782236405623029</v>
      </c>
      <c r="AG128" s="12">
        <f t="shared" ca="1" si="28"/>
        <v>-2.0928645578508158</v>
      </c>
      <c r="AH128" s="14">
        <f t="shared" ca="1" si="29"/>
        <v>-0.68821211091674139</v>
      </c>
      <c r="AI128" s="14">
        <f t="shared" ca="1" si="30"/>
        <v>-1.0734324620485136</v>
      </c>
      <c r="AJ128" s="14">
        <f t="shared" ca="1" si="31"/>
        <v>-9.3229630324608737E-2</v>
      </c>
      <c r="AK128" s="14">
        <f t="shared" ca="1" si="32"/>
        <v>-9.870353122383077E-2</v>
      </c>
      <c r="AL128" s="14">
        <f t="shared" ca="1" si="33"/>
        <v>-0.74487707022151106</v>
      </c>
      <c r="AM128" s="14">
        <f t="shared" ca="1" si="34"/>
        <v>-0.48655797291294423</v>
      </c>
      <c r="AN128" s="14">
        <f t="shared" ca="1" si="35"/>
        <v>0.89749710151895545</v>
      </c>
      <c r="AO128" s="14">
        <f t="shared" ca="1" si="37"/>
        <v>-0.2157386285821328</v>
      </c>
      <c r="AP128" s="14">
        <f ca="1">(AV128-$AP$3)/$AP$4</f>
        <v>-0.27782236405623029</v>
      </c>
      <c r="AQ128" s="22">
        <f t="shared" si="38"/>
        <v>3.6913157894736845</v>
      </c>
      <c r="AR128" s="22">
        <f t="shared" si="39"/>
        <v>0.95276315789473676</v>
      </c>
      <c r="AS128" s="22">
        <f ca="1">(U128-AS$3)</f>
        <v>-1.7238706496263301E-2</v>
      </c>
      <c r="AT128" s="22">
        <f ca="1">(W128-AT$3)</f>
        <v>-6.0092472016047727E-2</v>
      </c>
      <c r="AU128" s="11">
        <f ca="1">AS128*V128</f>
        <v>-0.13871488102355026</v>
      </c>
      <c r="AV128" s="11">
        <f ca="1">AT128*X128</f>
        <v>-7.7369057720661438E-2</v>
      </c>
    </row>
    <row r="129" spans="1:48">
      <c r="A129">
        <v>124</v>
      </c>
      <c r="B129" s="27" t="str">
        <f t="shared" si="36"/>
        <v>Jordan Clarkson</v>
      </c>
      <c r="C129" s="21">
        <v>3.4715285263370292</v>
      </c>
      <c r="D129" s="12">
        <f t="shared" ca="1" si="20"/>
        <v>3.5680480174315194</v>
      </c>
      <c r="E129" s="12">
        <f t="shared" ca="1" si="21"/>
        <v>3.5680480174315194</v>
      </c>
      <c r="F129" s="29">
        <f ca="1">SUM(AI129:AN129,AP129,AO129)+$A$4</f>
        <v>0.66738713425416174</v>
      </c>
      <c r="G129" s="29">
        <f ca="1">SUM(Y129:AF129)+$A$4</f>
        <v>0.66738713425416174</v>
      </c>
      <c r="H129" s="10">
        <v>1</v>
      </c>
      <c r="I129" s="10">
        <v>0</v>
      </c>
      <c r="J129" t="e">
        <f>VLOOKUP(N129,Schedule!#REF!,2,0)</f>
        <v>#REF!</v>
      </c>
      <c r="K129" s="17">
        <v>124</v>
      </c>
      <c r="L129" s="17" t="s">
        <v>186</v>
      </c>
      <c r="M129" s="17" t="s">
        <v>39</v>
      </c>
      <c r="N129" s="17" t="s">
        <v>67</v>
      </c>
      <c r="O129" s="22">
        <v>16.847012987012988</v>
      </c>
      <c r="P129" s="22">
        <v>2.6748051948051947</v>
      </c>
      <c r="Q129" s="22">
        <v>3.8122077922077917</v>
      </c>
      <c r="R129" s="22">
        <v>2.4862337662337661</v>
      </c>
      <c r="S129" s="22">
        <v>0.88402597402597394</v>
      </c>
      <c r="T129" s="22">
        <v>0.11051948051948052</v>
      </c>
      <c r="U129" s="22">
        <v>0.42768410108042121</v>
      </c>
      <c r="V129" s="22">
        <v>14.364285714285717</v>
      </c>
      <c r="W129" s="22">
        <v>0.87500000000000011</v>
      </c>
      <c r="X129" s="22">
        <v>2.1548051948051947</v>
      </c>
      <c r="Y129" s="14">
        <f t="shared" ca="1" si="22"/>
        <v>0.12308747328916941</v>
      </c>
      <c r="Z129" s="14">
        <f t="shared" ca="1" si="23"/>
        <v>0.94416934423060372</v>
      </c>
      <c r="AA129" s="14">
        <f t="shared" ca="1" si="24"/>
        <v>-0.7925161528771002</v>
      </c>
      <c r="AB129" s="14">
        <f t="shared" ca="1" si="25"/>
        <v>-0.5419324005397741</v>
      </c>
      <c r="AC129" s="14">
        <f t="shared" ca="1" si="26"/>
        <v>-0.33590357833406292</v>
      </c>
      <c r="AD129" s="14">
        <f t="shared" ca="1" si="27"/>
        <v>-1.0302188244607229</v>
      </c>
      <c r="AE129" s="14">
        <f ca="1">U$4*AO129</f>
        <v>-1.0788263197728578</v>
      </c>
      <c r="AF129" s="15">
        <f ca="1">AP129*W$4</f>
        <v>0.57952759271890641</v>
      </c>
      <c r="AG129" s="12">
        <f t="shared" ca="1" si="28"/>
        <v>-2.1326128657458381</v>
      </c>
      <c r="AH129" s="14">
        <f t="shared" ca="1" si="29"/>
        <v>-0.70128284059161983</v>
      </c>
      <c r="AI129" s="14">
        <f t="shared" ca="1" si="30"/>
        <v>0.12308747328916941</v>
      </c>
      <c r="AJ129" s="14">
        <f t="shared" ca="1" si="31"/>
        <v>0.94416934423060372</v>
      </c>
      <c r="AK129" s="14">
        <f t="shared" ca="1" si="32"/>
        <v>-0.7925161528771002</v>
      </c>
      <c r="AL129" s="14">
        <f t="shared" ca="1" si="33"/>
        <v>-0.5419324005397741</v>
      </c>
      <c r="AM129" s="14">
        <f t="shared" ca="1" si="34"/>
        <v>-0.33590357833406292</v>
      </c>
      <c r="AN129" s="14">
        <f t="shared" ca="1" si="35"/>
        <v>-1.0302188244607229</v>
      </c>
      <c r="AO129" s="14">
        <f t="shared" ca="1" si="37"/>
        <v>-1.0788263197728578</v>
      </c>
      <c r="AP129" s="14">
        <f ca="1">(AV129-$AP$3)/$AP$4</f>
        <v>0.57952759271890641</v>
      </c>
      <c r="AQ129" s="22">
        <f t="shared" si="38"/>
        <v>6.1433766233766232</v>
      </c>
      <c r="AR129" s="22">
        <f t="shared" si="39"/>
        <v>1.8854545454545457</v>
      </c>
      <c r="AS129" s="22">
        <f ca="1">(U129-AS$3)</f>
        <v>-4.829060410769076E-2</v>
      </c>
      <c r="AT129" s="22">
        <f ca="1">(W129-AT$3)</f>
        <v>7.4897308259884943E-2</v>
      </c>
      <c r="AU129" s="11">
        <f ca="1">AS129*V129</f>
        <v>-0.6936600347183296</v>
      </c>
      <c r="AV129" s="11">
        <f ca="1">AT129*X129</f>
        <v>0.1613891089153261</v>
      </c>
    </row>
    <row r="130" spans="1:48">
      <c r="A130">
        <v>125</v>
      </c>
      <c r="B130" s="27" t="str">
        <f t="shared" si="36"/>
        <v>Montrezl Harrell</v>
      </c>
      <c r="C130" s="21">
        <v>3.2907482102070342</v>
      </c>
      <c r="D130" s="12">
        <f t="shared" ca="1" si="20"/>
        <v>3.1036252700319875</v>
      </c>
      <c r="E130" s="12">
        <f t="shared" ca="1" si="21"/>
        <v>3.1036252700319875</v>
      </c>
      <c r="F130" s="29">
        <f ca="1">SUM(AI130:AN130,AP130,AO130)+$A$4</f>
        <v>0.58051897414107634</v>
      </c>
      <c r="G130" s="29">
        <f ca="1">SUM(Y130:AF130)+$A$4</f>
        <v>0.58051897414107634</v>
      </c>
      <c r="H130" s="10">
        <v>1</v>
      </c>
      <c r="I130" s="10">
        <v>0</v>
      </c>
      <c r="J130" t="e">
        <f>VLOOKUP(N130,Schedule!#REF!,2,0)</f>
        <v>#REF!</v>
      </c>
      <c r="K130" s="17">
        <v>125</v>
      </c>
      <c r="L130" s="17" t="s">
        <v>187</v>
      </c>
      <c r="M130" s="17" t="s">
        <v>63</v>
      </c>
      <c r="N130" s="17" t="s">
        <v>40</v>
      </c>
      <c r="O130" s="22">
        <v>15.704999999999998</v>
      </c>
      <c r="P130" s="22">
        <v>0</v>
      </c>
      <c r="Q130" s="22">
        <v>7.2734285714285711</v>
      </c>
      <c r="R130" s="22">
        <v>1.2578571428571428</v>
      </c>
      <c r="S130" s="22">
        <v>0.76557142857142857</v>
      </c>
      <c r="T130" s="22">
        <v>0.875</v>
      </c>
      <c r="U130" s="22">
        <v>0.62400057728387937</v>
      </c>
      <c r="V130" s="22">
        <v>9.8985714285714277</v>
      </c>
      <c r="W130" s="22">
        <v>0.69100494816211133</v>
      </c>
      <c r="X130" s="22">
        <v>4.8502857142857136</v>
      </c>
      <c r="Y130" s="14">
        <f t="shared" ca="1" si="22"/>
        <v>-7.5480273864895212E-2</v>
      </c>
      <c r="Z130" s="14">
        <f t="shared" ca="1" si="23"/>
        <v>-1.7120096997355103</v>
      </c>
      <c r="AA130" s="14">
        <f t="shared" ca="1" si="24"/>
        <v>0.6544524016178489</v>
      </c>
      <c r="AB130" s="14">
        <f t="shared" ca="1" si="25"/>
        <v>-1.1268050873724096</v>
      </c>
      <c r="AC130" s="14">
        <f t="shared" ca="1" si="26"/>
        <v>-0.71411965722911741</v>
      </c>
      <c r="AD130" s="14">
        <f t="shared" ca="1" si="27"/>
        <v>0.37576368030663837</v>
      </c>
      <c r="AE130" s="14">
        <f ca="1">U$4*AO130</f>
        <v>2.2788461693929425</v>
      </c>
      <c r="AF130" s="15">
        <f ca="1">AP130*W$4</f>
        <v>-1.9001285589744206</v>
      </c>
      <c r="AG130" s="12">
        <f t="shared" ca="1" si="28"/>
        <v>-2.2194810258589235</v>
      </c>
      <c r="AH130" s="14">
        <f t="shared" ca="1" si="29"/>
        <v>-0.72984833930897242</v>
      </c>
      <c r="AI130" s="14">
        <f t="shared" ca="1" si="30"/>
        <v>-7.5480273864895212E-2</v>
      </c>
      <c r="AJ130" s="14">
        <f t="shared" ca="1" si="31"/>
        <v>-1.7120096997355103</v>
      </c>
      <c r="AK130" s="14">
        <f t="shared" ca="1" si="32"/>
        <v>0.6544524016178489</v>
      </c>
      <c r="AL130" s="14">
        <f t="shared" ca="1" si="33"/>
        <v>-1.1268050873724096</v>
      </c>
      <c r="AM130" s="14">
        <f t="shared" ca="1" si="34"/>
        <v>-0.71411965722911741</v>
      </c>
      <c r="AN130" s="14">
        <f t="shared" ca="1" si="35"/>
        <v>0.37576368030663837</v>
      </c>
      <c r="AO130" s="14">
        <f t="shared" ca="1" si="37"/>
        <v>2.2788461693929425</v>
      </c>
      <c r="AP130" s="14">
        <f ca="1">(AV130-$AP$3)/$AP$4</f>
        <v>-1.9001285589744206</v>
      </c>
      <c r="AQ130" s="22">
        <f t="shared" si="38"/>
        <v>6.1767142857142856</v>
      </c>
      <c r="AR130" s="22">
        <f t="shared" si="39"/>
        <v>3.3515714285714289</v>
      </c>
      <c r="AS130" s="22">
        <f ca="1">(U130-AS$3)</f>
        <v>0.1480258720957674</v>
      </c>
      <c r="AT130" s="22">
        <f ca="1">(W130-AT$3)</f>
        <v>-0.10909774357800384</v>
      </c>
      <c r="AU130" s="11">
        <f ca="1">AS130*V130</f>
        <v>1.4652446682165317</v>
      </c>
      <c r="AV130" s="11">
        <f ca="1">AT130*X130</f>
        <v>-0.52915522713719798</v>
      </c>
    </row>
    <row r="131" spans="1:48">
      <c r="A131">
        <v>126</v>
      </c>
      <c r="B131" s="27" t="str">
        <f t="shared" si="36"/>
        <v>Isaiah Roby</v>
      </c>
      <c r="C131" s="21">
        <v>3.2801283470614266</v>
      </c>
      <c r="D131" s="12">
        <f t="shared" ca="1" si="20"/>
        <v>3.1419261175273303</v>
      </c>
      <c r="E131" s="12">
        <f t="shared" ca="1" si="21"/>
        <v>3.1419261175273303</v>
      </c>
      <c r="F131" s="29">
        <f ca="1">SUM(AI131:AN131,AP131,AO131)+$A$4</f>
        <v>0.58768297325895347</v>
      </c>
      <c r="G131" s="29">
        <f ca="1">SUM(Y131:AF131)+$A$4</f>
        <v>0.58768297325895347</v>
      </c>
      <c r="H131" s="10">
        <v>1</v>
      </c>
      <c r="I131" s="10">
        <v>0</v>
      </c>
      <c r="J131" t="e">
        <f>VLOOKUP(N131,Schedule!#REF!,2,0)</f>
        <v>#REF!</v>
      </c>
      <c r="K131" s="17">
        <v>126</v>
      </c>
      <c r="L131" s="17" t="s">
        <v>188</v>
      </c>
      <c r="M131" s="17" t="s">
        <v>45</v>
      </c>
      <c r="N131" s="17" t="s">
        <v>70</v>
      </c>
      <c r="O131" s="22">
        <v>10.817297297297298</v>
      </c>
      <c r="P131" s="22">
        <v>0.67878378378378379</v>
      </c>
      <c r="Q131" s="22">
        <v>6.4935135135135136</v>
      </c>
      <c r="R131" s="22">
        <v>2.1644594594594593</v>
      </c>
      <c r="S131" s="22">
        <v>1.0529729729729731</v>
      </c>
      <c r="T131" s="22">
        <v>0.64351351351351349</v>
      </c>
      <c r="U131" s="22">
        <v>0.50003253513794899</v>
      </c>
      <c r="V131" s="22">
        <v>8.3070270270270274</v>
      </c>
      <c r="W131" s="22">
        <v>0.76002692545015993</v>
      </c>
      <c r="X131" s="22">
        <v>2.4090540540540544</v>
      </c>
      <c r="Y131" s="14">
        <f t="shared" ca="1" si="22"/>
        <v>-0.92533060435283454</v>
      </c>
      <c r="Z131" s="14">
        <f t="shared" ca="1" si="23"/>
        <v>-1.037952663592427</v>
      </c>
      <c r="AA131" s="14">
        <f t="shared" ca="1" si="24"/>
        <v>0.32840773819876012</v>
      </c>
      <c r="AB131" s="14">
        <f t="shared" ca="1" si="25"/>
        <v>-0.69514030093067558</v>
      </c>
      <c r="AC131" s="14">
        <f t="shared" ca="1" si="26"/>
        <v>0.20353094684708103</v>
      </c>
      <c r="AD131" s="14">
        <f t="shared" ca="1" si="27"/>
        <v>-4.9971105337379217E-2</v>
      </c>
      <c r="AE131" s="14">
        <f ca="1">U$4*AO131</f>
        <v>0.3108185529384937</v>
      </c>
      <c r="AF131" s="15">
        <f ca="1">AP131*W$4</f>
        <v>-0.34667959051206465</v>
      </c>
      <c r="AG131" s="12">
        <f t="shared" ca="1" si="28"/>
        <v>-2.2123170267410464</v>
      </c>
      <c r="AH131" s="14">
        <f t="shared" ca="1" si="29"/>
        <v>-0.72749254856416523</v>
      </c>
      <c r="AI131" s="14">
        <f t="shared" ca="1" si="30"/>
        <v>-0.92533060435283454</v>
      </c>
      <c r="AJ131" s="14">
        <f t="shared" ca="1" si="31"/>
        <v>-1.037952663592427</v>
      </c>
      <c r="AK131" s="14">
        <f t="shared" ca="1" si="32"/>
        <v>0.32840773819876012</v>
      </c>
      <c r="AL131" s="14">
        <f t="shared" ca="1" si="33"/>
        <v>-0.69514030093067558</v>
      </c>
      <c r="AM131" s="14">
        <f t="shared" ca="1" si="34"/>
        <v>0.20353094684708103</v>
      </c>
      <c r="AN131" s="14">
        <f t="shared" ca="1" si="35"/>
        <v>-4.9971105337379217E-2</v>
      </c>
      <c r="AO131" s="14">
        <f t="shared" ca="1" si="37"/>
        <v>0.3108185529384937</v>
      </c>
      <c r="AP131" s="14">
        <f ca="1">(AV131-$AP$3)/$AP$4</f>
        <v>-0.34667959051206465</v>
      </c>
      <c r="AQ131" s="22">
        <f t="shared" si="38"/>
        <v>4.1537837837837843</v>
      </c>
      <c r="AR131" s="22">
        <f t="shared" si="39"/>
        <v>1.8309459459459463</v>
      </c>
      <c r="AS131" s="22">
        <f ca="1">(U131-AS$3)</f>
        <v>2.4057829949837017E-2</v>
      </c>
      <c r="AT131" s="22">
        <f ca="1">(W131-AT$3)</f>
        <v>-4.0075766289955239E-2</v>
      </c>
      <c r="AU131" s="11">
        <f ca="1">AS131*V131</f>
        <v>0.19984904360491637</v>
      </c>
      <c r="AV131" s="11">
        <f ca="1">AT131*X131</f>
        <v>-9.6544687250139483E-2</v>
      </c>
    </row>
    <row r="132" spans="1:48">
      <c r="A132">
        <v>127</v>
      </c>
      <c r="B132" s="27" t="str">
        <f t="shared" si="36"/>
        <v>Reggie Jackson</v>
      </c>
      <c r="C132" s="21">
        <v>3.261577837182041</v>
      </c>
      <c r="D132" s="12">
        <f t="shared" ca="1" si="20"/>
        <v>3.3027465820449939</v>
      </c>
      <c r="E132" s="12">
        <f t="shared" ca="1" si="21"/>
        <v>3.3027465820449939</v>
      </c>
      <c r="F132" s="29">
        <f ca="1">SUM(AI132:AN132,AP132,AO132)+$A$4</f>
        <v>0.61776370883748655</v>
      </c>
      <c r="G132" s="29">
        <f ca="1">SUM(Y132:AF132)+$A$4</f>
        <v>0.61776370883748655</v>
      </c>
      <c r="H132" s="10">
        <v>1</v>
      </c>
      <c r="I132" s="10">
        <v>0</v>
      </c>
      <c r="J132" t="e">
        <f>VLOOKUP(N132,Schedule!#REF!,2,0)</f>
        <v>#REF!</v>
      </c>
      <c r="K132" s="17">
        <v>127</v>
      </c>
      <c r="L132" s="17" t="s">
        <v>189</v>
      </c>
      <c r="M132" s="17" t="s">
        <v>28</v>
      </c>
      <c r="N132" s="17" t="s">
        <v>49</v>
      </c>
      <c r="O132" s="22">
        <v>14.952933333333334</v>
      </c>
      <c r="P132" s="22">
        <v>2.4514666666666667</v>
      </c>
      <c r="Q132" s="22">
        <v>3.9001333333333341</v>
      </c>
      <c r="R132" s="22">
        <v>4.4756</v>
      </c>
      <c r="S132" s="22">
        <v>0.76719999999999999</v>
      </c>
      <c r="T132" s="22">
        <v>0.12786666666666666</v>
      </c>
      <c r="U132" s="22">
        <v>0.43061333101628091</v>
      </c>
      <c r="V132" s="22">
        <v>12.276133333333334</v>
      </c>
      <c r="W132" s="22">
        <v>0.82701652089407185</v>
      </c>
      <c r="X132" s="22">
        <v>2.3324000000000003</v>
      </c>
      <c r="Y132" s="14">
        <f t="shared" ca="1" si="22"/>
        <v>-0.2062460229482441</v>
      </c>
      <c r="Z132" s="14">
        <f t="shared" ca="1" si="23"/>
        <v>0.72238604602858303</v>
      </c>
      <c r="AA132" s="14">
        <f t="shared" ca="1" si="24"/>
        <v>-0.75575874811707955</v>
      </c>
      <c r="AB132" s="14">
        <f t="shared" ca="1" si="25"/>
        <v>0.40527381626254461</v>
      </c>
      <c r="AC132" s="14">
        <f t="shared" ca="1" si="26"/>
        <v>-0.70891975630888504</v>
      </c>
      <c r="AD132" s="14">
        <f t="shared" ca="1" si="27"/>
        <v>-0.99831501578491777</v>
      </c>
      <c r="AE132" s="14">
        <f ca="1">U$4*AO132</f>
        <v>-0.86606932993845354</v>
      </c>
      <c r="AF132" s="15">
        <f ca="1">AP132*W$4</f>
        <v>0.22541271964393922</v>
      </c>
      <c r="AG132" s="12">
        <f t="shared" ca="1" si="28"/>
        <v>-2.1822362911625133</v>
      </c>
      <c r="AH132" s="14">
        <f t="shared" ca="1" si="29"/>
        <v>-0.71760087810093676</v>
      </c>
      <c r="AI132" s="14">
        <f t="shared" ca="1" si="30"/>
        <v>-0.2062460229482441</v>
      </c>
      <c r="AJ132" s="14">
        <f t="shared" ca="1" si="31"/>
        <v>0.72238604602858303</v>
      </c>
      <c r="AK132" s="14">
        <f t="shared" ca="1" si="32"/>
        <v>-0.75575874811707955</v>
      </c>
      <c r="AL132" s="14">
        <f t="shared" ca="1" si="33"/>
        <v>0.40527381626254461</v>
      </c>
      <c r="AM132" s="14">
        <f t="shared" ca="1" si="34"/>
        <v>-0.70891975630888504</v>
      </c>
      <c r="AN132" s="14">
        <f t="shared" ca="1" si="35"/>
        <v>-0.99831501578491777</v>
      </c>
      <c r="AO132" s="14">
        <f t="shared" ca="1" si="37"/>
        <v>-0.86606932993845354</v>
      </c>
      <c r="AP132" s="14">
        <f ca="1">(AV132-$AP$3)/$AP$4</f>
        <v>0.22541271964393922</v>
      </c>
      <c r="AQ132" s="22">
        <f t="shared" si="38"/>
        <v>5.2862666666666671</v>
      </c>
      <c r="AR132" s="22">
        <f t="shared" si="39"/>
        <v>1.9289333333333334</v>
      </c>
      <c r="AS132" s="22">
        <f ca="1">(U132-AS$3)</f>
        <v>-4.5361374171831059E-2</v>
      </c>
      <c r="AT132" s="22">
        <f ca="1">(W132-AT$3)</f>
        <v>2.6913829153956681E-2</v>
      </c>
      <c r="AU132" s="11">
        <f ca="1">AS132*V132</f>
        <v>-0.55686227751662098</v>
      </c>
      <c r="AV132" s="11">
        <f ca="1">AT132*X132</f>
        <v>6.277381511868857E-2</v>
      </c>
    </row>
    <row r="133" spans="1:48">
      <c r="A133">
        <v>128</v>
      </c>
      <c r="B133" s="27" t="str">
        <f t="shared" si="36"/>
        <v>De'Andre Hunter</v>
      </c>
      <c r="C133" s="21">
        <v>3.2418593319228792</v>
      </c>
      <c r="D133" s="12">
        <f t="shared" ca="1" si="20"/>
        <v>3.1949685201570972</v>
      </c>
      <c r="E133" s="12">
        <f t="shared" ca="1" si="21"/>
        <v>3.1949685201570972</v>
      </c>
      <c r="F133" s="29">
        <f ca="1">SUM(AI133:AN133,AP133,AO133)+$A$4</f>
        <v>0.59760431313781481</v>
      </c>
      <c r="G133" s="29">
        <f ca="1">SUM(Y133:AF133)+$A$4</f>
        <v>0.59760431313781481</v>
      </c>
      <c r="H133" s="10">
        <v>1</v>
      </c>
      <c r="I133" s="10">
        <v>0</v>
      </c>
      <c r="J133" t="e">
        <f>VLOOKUP(N133,Schedule!#REF!,2,0)</f>
        <v>#REF!</v>
      </c>
      <c r="K133" s="17">
        <v>128</v>
      </c>
      <c r="L133" s="17" t="s">
        <v>190</v>
      </c>
      <c r="M133" s="17" t="s">
        <v>33</v>
      </c>
      <c r="N133" s="17" t="s">
        <v>61</v>
      </c>
      <c r="O133" s="22">
        <v>15.777391304347825</v>
      </c>
      <c r="P133" s="22">
        <v>1.7289855072463767</v>
      </c>
      <c r="Q133" s="22">
        <v>5.0666666666666673</v>
      </c>
      <c r="R133" s="22">
        <v>1.8</v>
      </c>
      <c r="S133" s="22">
        <v>0.73333333333333339</v>
      </c>
      <c r="T133" s="22">
        <v>0.4</v>
      </c>
      <c r="U133" s="22">
        <v>0.47125847224766437</v>
      </c>
      <c r="V133" s="22">
        <v>11.867391304347827</v>
      </c>
      <c r="W133" s="22">
        <v>0.8320067382606865</v>
      </c>
      <c r="X133" s="22">
        <v>3.4413043478260867</v>
      </c>
      <c r="Y133" s="14">
        <f t="shared" ca="1" si="22"/>
        <v>-6.2893220669038116E-2</v>
      </c>
      <c r="Z133" s="14">
        <f t="shared" ca="1" si="23"/>
        <v>4.9359232908490463E-3</v>
      </c>
      <c r="AA133" s="14">
        <f t="shared" ca="1" si="24"/>
        <v>-0.26808773295476124</v>
      </c>
      <c r="AB133" s="14">
        <f t="shared" ca="1" si="25"/>
        <v>-0.86867208201396617</v>
      </c>
      <c r="AC133" s="14">
        <f t="shared" ca="1" si="26"/>
        <v>-0.81705336842787002</v>
      </c>
      <c r="AD133" s="14">
        <f t="shared" ca="1" si="27"/>
        <v>-0.49782521142641573</v>
      </c>
      <c r="AE133" s="14">
        <f ca="1">U$4*AO133</f>
        <v>-8.7047313021971995E-2</v>
      </c>
      <c r="AF133" s="15">
        <f ca="1">AP133*W$4</f>
        <v>0.39424731836098936</v>
      </c>
      <c r="AG133" s="12">
        <f t="shared" ca="1" si="28"/>
        <v>-2.202395686862185</v>
      </c>
      <c r="AH133" s="14">
        <f t="shared" ca="1" si="29"/>
        <v>-0.7242300410905973</v>
      </c>
      <c r="AI133" s="14">
        <f t="shared" ca="1" si="30"/>
        <v>-6.2893220669038116E-2</v>
      </c>
      <c r="AJ133" s="14">
        <f t="shared" ca="1" si="31"/>
        <v>4.9359232908490463E-3</v>
      </c>
      <c r="AK133" s="14">
        <f t="shared" ca="1" si="32"/>
        <v>-0.26808773295476124</v>
      </c>
      <c r="AL133" s="14">
        <f t="shared" ca="1" si="33"/>
        <v>-0.86867208201396617</v>
      </c>
      <c r="AM133" s="14">
        <f t="shared" ca="1" si="34"/>
        <v>-0.81705336842787002</v>
      </c>
      <c r="AN133" s="14">
        <f t="shared" ca="1" si="35"/>
        <v>-0.49782521142641573</v>
      </c>
      <c r="AO133" s="14">
        <f t="shared" ca="1" si="37"/>
        <v>-8.7047313021971995E-2</v>
      </c>
      <c r="AP133" s="14">
        <f ca="1">(AV133-$AP$3)/$AP$4</f>
        <v>0.39424731836098936</v>
      </c>
      <c r="AQ133" s="22">
        <f t="shared" si="38"/>
        <v>5.5926086956521734</v>
      </c>
      <c r="AR133" s="22">
        <f t="shared" si="39"/>
        <v>2.8631884057971013</v>
      </c>
      <c r="AS133" s="22">
        <f ca="1">(U133-AS$3)</f>
        <v>-4.7162329404475956E-3</v>
      </c>
      <c r="AT133" s="22">
        <f ca="1">(W133-AT$3)</f>
        <v>3.1904046520571328E-2</v>
      </c>
      <c r="AU133" s="11">
        <f ca="1">AS133*V133</f>
        <v>-5.5969381786746576E-2</v>
      </c>
      <c r="AV133" s="11">
        <f ca="1">AT133*X133</f>
        <v>0.10979153400448785</v>
      </c>
    </row>
    <row r="134" spans="1:48">
      <c r="A134">
        <v>129</v>
      </c>
      <c r="B134" s="27" t="str">
        <f t="shared" si="36"/>
        <v>Jordan Poole</v>
      </c>
      <c r="C134" s="21">
        <v>3.1299266934678425</v>
      </c>
      <c r="D134" s="12">
        <f t="shared" ref="D134:D197" ca="1" si="40">F134*D$4</f>
        <v>3.1910976054766516</v>
      </c>
      <c r="E134" s="12">
        <f t="shared" ref="E134:E197" ca="1" si="41">G134*E$4</f>
        <v>3.1910976054766542</v>
      </c>
      <c r="F134" s="29">
        <f ca="1">SUM(AI134:AN134,AP134,AO134)+$A$4</f>
        <v>0.59688027617337269</v>
      </c>
      <c r="G134" s="29">
        <f ca="1">SUM(Y134:AF134)+$A$4</f>
        <v>0.59688027617337314</v>
      </c>
      <c r="H134" s="10">
        <v>1</v>
      </c>
      <c r="I134" s="10">
        <v>0</v>
      </c>
      <c r="J134" t="e">
        <f>VLOOKUP(N134,Schedule!#REF!,2,0)</f>
        <v>#REF!</v>
      </c>
      <c r="K134" s="17">
        <v>129</v>
      </c>
      <c r="L134" s="17" t="s">
        <v>191</v>
      </c>
      <c r="M134" s="17" t="s">
        <v>25</v>
      </c>
      <c r="N134" s="17" t="s">
        <v>29</v>
      </c>
      <c r="O134" s="22">
        <v>17.293733333333332</v>
      </c>
      <c r="P134" s="22">
        <v>2.8054666666666668</v>
      </c>
      <c r="Q134" s="22">
        <v>2.4913333333333338</v>
      </c>
      <c r="R134" s="22">
        <v>2.8969333333333336</v>
      </c>
      <c r="S134" s="22">
        <v>0.69520000000000004</v>
      </c>
      <c r="T134" s="22">
        <v>0.23173333333333332</v>
      </c>
      <c r="U134" s="22">
        <v>0.43727470826629733</v>
      </c>
      <c r="V134" s="22">
        <v>13.094133333333334</v>
      </c>
      <c r="W134" s="22">
        <v>0.85898547991702812</v>
      </c>
      <c r="X134" s="22">
        <v>3.535333333333333</v>
      </c>
      <c r="Y134" s="14">
        <f t="shared" ref="Y134:Y197" ca="1" si="42">O$4*AI134</f>
        <v>0.20076106700961041</v>
      </c>
      <c r="Z134" s="14">
        <f t="shared" ref="Z134:Z197" ca="1" si="43">P$4*AJ134</f>
        <v>1.0739209478562601</v>
      </c>
      <c r="AA134" s="14">
        <f t="shared" ref="AA134:AA197" ca="1" si="44">Q$4*AK134</f>
        <v>-1.344709707793049</v>
      </c>
      <c r="AB134" s="14">
        <f t="shared" ref="AB134:AB197" ca="1" si="45">R$4*AL134</f>
        <v>-0.34638410149266968</v>
      </c>
      <c r="AC134" s="14">
        <f t="shared" ref="AC134:AC197" ca="1" si="46">S$4*AM134</f>
        <v>-0.93881011278231796</v>
      </c>
      <c r="AD134" s="14">
        <f t="shared" ref="AD134:AD197" ca="1" si="47">T$4*AN134</f>
        <v>-0.80729024479262323</v>
      </c>
      <c r="AE134" s="14">
        <f ca="1">U$4*AO134</f>
        <v>-0.78812036410060471</v>
      </c>
      <c r="AF134" s="15">
        <f ca="1">AP134*W$4</f>
        <v>0.74751279226876688</v>
      </c>
      <c r="AG134" s="12">
        <f t="shared" ref="AG134:AG197" ca="1" si="48">SUM(Y134:AF134)</f>
        <v>-2.2031197238266267</v>
      </c>
      <c r="AH134" s="14">
        <f t="shared" ref="AH134:AH197" ca="1" si="49">(AG134-AG$3)/AG$4</f>
        <v>-0.72446813151351119</v>
      </c>
      <c r="AI134" s="14">
        <f t="shared" ref="AI134:AI197" ca="1" si="50">(O134-AI$3)/AI$4</f>
        <v>0.20076106700961041</v>
      </c>
      <c r="AJ134" s="14">
        <f t="shared" ref="AJ134:AJ197" ca="1" si="51">(P134-AJ$3)/AJ$4</f>
        <v>1.0739209478562601</v>
      </c>
      <c r="AK134" s="14">
        <f t="shared" ref="AK134:AK197" ca="1" si="52">(Q134-AK$3)/AK$4</f>
        <v>-1.344709707793049</v>
      </c>
      <c r="AL134" s="14">
        <f t="shared" ref="AL134:AL197" ca="1" si="53">(R134-AL$3)/AL$4</f>
        <v>-0.34638410149266968</v>
      </c>
      <c r="AM134" s="14">
        <f t="shared" ref="AM134:AM197" ca="1" si="54">(S134-AM$3)/AM$4</f>
        <v>-0.93881011278231796</v>
      </c>
      <c r="AN134" s="14">
        <f t="shared" ref="AN134:AN197" ca="1" si="55">(T134-AN$3)/AN$4</f>
        <v>-0.80729024479262323</v>
      </c>
      <c r="AO134" s="14">
        <f t="shared" ca="1" si="37"/>
        <v>-0.78812036410060471</v>
      </c>
      <c r="AP134" s="14">
        <f ca="1">(AV134-$AP$3)/$AP$4</f>
        <v>0.74751279226876688</v>
      </c>
      <c r="AQ134" s="22">
        <f t="shared" si="38"/>
        <v>5.7257333333333325</v>
      </c>
      <c r="AR134" s="22">
        <f t="shared" si="39"/>
        <v>3.0367999999999999</v>
      </c>
      <c r="AS134" s="22">
        <f ca="1">(U134-AS$3)</f>
        <v>-3.8699996921814639E-2</v>
      </c>
      <c r="AT134" s="22">
        <f ca="1">(W134-AT$3)</f>
        <v>5.8882788176912948E-2</v>
      </c>
      <c r="AU134" s="11">
        <f ca="1">AS134*V134</f>
        <v>-0.50674291969383045</v>
      </c>
      <c r="AV134" s="11">
        <f ca="1">AT134*X134</f>
        <v>0.20817028380144623</v>
      </c>
    </row>
    <row r="135" spans="1:48">
      <c r="A135">
        <v>130</v>
      </c>
      <c r="B135" s="27" t="str">
        <f t="shared" ref="B135:B161" si="56">L135</f>
        <v>Wendell Carter Jr.</v>
      </c>
      <c r="C135" s="21">
        <v>2.4769659304692278</v>
      </c>
      <c r="D135" s="12">
        <f t="shared" ca="1" si="40"/>
        <v>2.2645138172814603</v>
      </c>
      <c r="E135" s="12">
        <f t="shared" ca="1" si="41"/>
        <v>2.2645138172814603</v>
      </c>
      <c r="F135" s="29">
        <f ca="1">SUM(AI135:AN135,AP135,AO135)+$A$4</f>
        <v>0.4235669978685852</v>
      </c>
      <c r="G135" s="29">
        <f ca="1">SUM(Y135:AF135)+$A$4</f>
        <v>0.4235669978685852</v>
      </c>
      <c r="H135" s="10">
        <v>1</v>
      </c>
      <c r="I135" s="10">
        <v>0</v>
      </c>
      <c r="J135" t="e">
        <f>VLOOKUP(N135,Schedule!#REF!,2,0)</f>
        <v>#REF!</v>
      </c>
      <c r="K135" s="17">
        <v>130</v>
      </c>
      <c r="L135" s="17" t="s">
        <v>192</v>
      </c>
      <c r="M135" s="17" t="s">
        <v>22</v>
      </c>
      <c r="N135" s="17" t="s">
        <v>120</v>
      </c>
      <c r="O135" s="22">
        <v>12.366197183098592</v>
      </c>
      <c r="P135" s="22">
        <v>0.34211267605633799</v>
      </c>
      <c r="Q135" s="22">
        <v>8.8930985915492951</v>
      </c>
      <c r="R135" s="22">
        <v>1.9507042253521127</v>
      </c>
      <c r="S135" s="22">
        <v>0.74591549295774651</v>
      </c>
      <c r="T135" s="22">
        <v>0.86056338028169022</v>
      </c>
      <c r="U135" s="22">
        <v>0.5038280374978904</v>
      </c>
      <c r="V135" s="22">
        <v>9.1798591549295772</v>
      </c>
      <c r="W135" s="22">
        <v>0.73700557572128866</v>
      </c>
      <c r="X135" s="22">
        <v>3.7638028169014088</v>
      </c>
      <c r="Y135" s="14">
        <f t="shared" ca="1" si="42"/>
        <v>-0.65601531250558642</v>
      </c>
      <c r="Z135" s="14">
        <f t="shared" ca="1" si="43"/>
        <v>-1.3722793438274068</v>
      </c>
      <c r="AA135" s="14">
        <f t="shared" ca="1" si="44"/>
        <v>1.3315578904796439</v>
      </c>
      <c r="AB135" s="14">
        <f t="shared" ca="1" si="45"/>
        <v>-0.79691657680382155</v>
      </c>
      <c r="AC135" s="14">
        <f t="shared" ca="1" si="46"/>
        <v>-0.77687951896589824</v>
      </c>
      <c r="AD135" s="14">
        <f t="shared" ca="1" si="47"/>
        <v>0.34921279479065986</v>
      </c>
      <c r="AE135" s="14">
        <f ca="1">U$4*AO135</f>
        <v>0.39766561325969518</v>
      </c>
      <c r="AF135" s="15">
        <f ca="1">AP135*W$4</f>
        <v>-0.85277854855870072</v>
      </c>
      <c r="AG135" s="12">
        <f t="shared" ca="1" si="48"/>
        <v>-2.3764330021314146</v>
      </c>
      <c r="AH135" s="14">
        <f t="shared" ca="1" si="49"/>
        <v>-0.78146001694852718</v>
      </c>
      <c r="AI135" s="14">
        <f t="shared" ca="1" si="50"/>
        <v>-0.65601531250558642</v>
      </c>
      <c r="AJ135" s="14">
        <f t="shared" ca="1" si="51"/>
        <v>-1.3722793438274068</v>
      </c>
      <c r="AK135" s="14">
        <f t="shared" ca="1" si="52"/>
        <v>1.3315578904796439</v>
      </c>
      <c r="AL135" s="14">
        <f t="shared" ca="1" si="53"/>
        <v>-0.79691657680382155</v>
      </c>
      <c r="AM135" s="14">
        <f t="shared" ca="1" si="54"/>
        <v>-0.77687951896589824</v>
      </c>
      <c r="AN135" s="14">
        <f t="shared" ca="1" si="55"/>
        <v>0.34921279479065986</v>
      </c>
      <c r="AO135" s="14">
        <f t="shared" ref="AO135:AO198" ca="1" si="57">(AU135-$AO$3)/$AO$4</f>
        <v>0.39766561325969518</v>
      </c>
      <c r="AP135" s="14">
        <f ca="1">(AV135-$AP$3)/$AP$4</f>
        <v>-0.85277854855870072</v>
      </c>
      <c r="AQ135" s="22">
        <f t="shared" ref="AQ135:AQ198" si="58">V135*U135</f>
        <v>4.6250704225352113</v>
      </c>
      <c r="AR135" s="22">
        <f t="shared" ref="AR135:AR198" si="59">W135*X135</f>
        <v>2.7739436619718307</v>
      </c>
      <c r="AS135" s="22">
        <f ca="1">(U135-AS$3)</f>
        <v>2.7853332309778434E-2</v>
      </c>
      <c r="AT135" s="22">
        <f ca="1">(W135-AT$3)</f>
        <v>-6.3097116018826505E-2</v>
      </c>
      <c r="AU135" s="11">
        <f ca="1">AS135*V135</f>
        <v>0.25568966759921535</v>
      </c>
      <c r="AV135" s="11">
        <f ca="1">AT135*X135</f>
        <v>-0.23748510301001421</v>
      </c>
    </row>
    <row r="136" spans="1:48">
      <c r="A136">
        <v>131</v>
      </c>
      <c r="B136" s="27" t="str">
        <f t="shared" si="56"/>
        <v>Malik Beasley</v>
      </c>
      <c r="C136" s="21">
        <v>2.3922844146392879</v>
      </c>
      <c r="D136" s="12">
        <f t="shared" ca="1" si="40"/>
        <v>2.4405882967375541</v>
      </c>
      <c r="E136" s="12">
        <f t="shared" ca="1" si="41"/>
        <v>2.4405882967375541</v>
      </c>
      <c r="F136" s="29">
        <f ca="1">SUM(AI136:AN136,AP136,AO136)+$A$4</f>
        <v>0.45650092748091309</v>
      </c>
      <c r="G136" s="29">
        <f ca="1">SUM(Y136:AF136)+$A$4</f>
        <v>0.45650092748091309</v>
      </c>
      <c r="H136" s="10">
        <v>1</v>
      </c>
      <c r="I136" s="10">
        <v>0</v>
      </c>
      <c r="J136" t="e">
        <f>VLOOKUP(N136,Schedule!#REF!,2,0)</f>
        <v>#REF!</v>
      </c>
      <c r="K136" s="17">
        <v>131</v>
      </c>
      <c r="L136" s="17" t="s">
        <v>193</v>
      </c>
      <c r="M136" s="17" t="s">
        <v>48</v>
      </c>
      <c r="N136" s="17" t="s">
        <v>31</v>
      </c>
      <c r="O136" s="22">
        <v>15.848985507246375</v>
      </c>
      <c r="P136" s="22">
        <v>2.9249275362318841</v>
      </c>
      <c r="Q136" s="22">
        <v>4.1243478260869573</v>
      </c>
      <c r="R136" s="22">
        <v>2.2617391304347825</v>
      </c>
      <c r="S136" s="22">
        <v>0.79826086956521736</v>
      </c>
      <c r="T136" s="22">
        <v>0.19956521739130434</v>
      </c>
      <c r="U136" s="22">
        <v>0.43642978519454489</v>
      </c>
      <c r="V136" s="22">
        <v>13.304927536231883</v>
      </c>
      <c r="W136" s="22">
        <v>0.82098765432098764</v>
      </c>
      <c r="X136" s="22">
        <v>1.5965217391304347</v>
      </c>
      <c r="Y136" s="14">
        <f t="shared" ca="1" si="42"/>
        <v>-5.0444763654516889E-2</v>
      </c>
      <c r="Z136" s="14">
        <f t="shared" ca="1" si="43"/>
        <v>1.1925499451863661</v>
      </c>
      <c r="AA136" s="14">
        <f t="shared" ca="1" si="44"/>
        <v>-0.66202554206901942</v>
      </c>
      <c r="AB136" s="14">
        <f t="shared" ca="1" si="45"/>
        <v>-0.64882207779392065</v>
      </c>
      <c r="AC136" s="14">
        <f t="shared" ca="1" si="46"/>
        <v>-0.60974483440995964</v>
      </c>
      <c r="AD136" s="14">
        <f t="shared" ca="1" si="47"/>
        <v>-0.86645173690828114</v>
      </c>
      <c r="AE136" s="14">
        <f ca="1">U$4*AO136</f>
        <v>-0.81829156548998927</v>
      </c>
      <c r="AF136" s="15">
        <f ca="1">AP136*W$4</f>
        <v>0.11973150262023406</v>
      </c>
      <c r="AG136" s="12">
        <f t="shared" ca="1" si="48"/>
        <v>-2.3434990725190867</v>
      </c>
      <c r="AH136" s="14">
        <f t="shared" ca="1" si="49"/>
        <v>-0.7706301096168463</v>
      </c>
      <c r="AI136" s="14">
        <f t="shared" ca="1" si="50"/>
        <v>-5.0444763654516889E-2</v>
      </c>
      <c r="AJ136" s="14">
        <f t="shared" ca="1" si="51"/>
        <v>1.1925499451863661</v>
      </c>
      <c r="AK136" s="14">
        <f t="shared" ca="1" si="52"/>
        <v>-0.66202554206901942</v>
      </c>
      <c r="AL136" s="14">
        <f t="shared" ca="1" si="53"/>
        <v>-0.64882207779392065</v>
      </c>
      <c r="AM136" s="14">
        <f t="shared" ca="1" si="54"/>
        <v>-0.60974483440995964</v>
      </c>
      <c r="AN136" s="14">
        <f t="shared" ca="1" si="55"/>
        <v>-0.86645173690828114</v>
      </c>
      <c r="AO136" s="14">
        <f t="shared" ca="1" si="57"/>
        <v>-0.81829156548998927</v>
      </c>
      <c r="AP136" s="14">
        <f ca="1">(AV136-$AP$3)/$AP$4</f>
        <v>0.11973150262023406</v>
      </c>
      <c r="AQ136" s="22">
        <f t="shared" si="58"/>
        <v>5.8066666666666658</v>
      </c>
      <c r="AR136" s="22">
        <f t="shared" si="59"/>
        <v>1.3107246376811594</v>
      </c>
      <c r="AS136" s="22">
        <f ca="1">(U136-AS$3)</f>
        <v>-3.9544919993567074E-2</v>
      </c>
      <c r="AT136" s="22">
        <f ca="1">(W136-AT$3)</f>
        <v>2.0884962580872468E-2</v>
      </c>
      <c r="AU136" s="11">
        <f ca="1">AS136*V136</f>
        <v>-0.52614229494049725</v>
      </c>
      <c r="AV136" s="11">
        <f ca="1">AT136*X136</f>
        <v>3.3343296781288563E-2</v>
      </c>
    </row>
    <row r="137" spans="1:48">
      <c r="A137">
        <v>132</v>
      </c>
      <c r="B137" s="27" t="str">
        <f t="shared" si="56"/>
        <v>Dorian Finney-Smith</v>
      </c>
      <c r="C137" s="21">
        <v>1.9615229512238006</v>
      </c>
      <c r="D137" s="12">
        <f t="shared" ca="1" si="40"/>
        <v>1.8512417944458075</v>
      </c>
      <c r="E137" s="12">
        <f t="shared" ca="1" si="41"/>
        <v>1.8512417944458051</v>
      </c>
      <c r="F137" s="29">
        <f ca="1">SUM(AI137:AN137,AP137,AO137)+$A$4</f>
        <v>0.34626634786605193</v>
      </c>
      <c r="G137" s="29">
        <f ca="1">SUM(Y137:AF137)+$A$4</f>
        <v>0.34626634786605148</v>
      </c>
      <c r="H137" s="10">
        <v>1</v>
      </c>
      <c r="I137" s="10">
        <v>0</v>
      </c>
      <c r="J137" t="e">
        <f>VLOOKUP(N137,Schedule!#REF!,2,0)</f>
        <v>#REF!</v>
      </c>
      <c r="K137" s="17">
        <v>132</v>
      </c>
      <c r="L137" s="17" t="s">
        <v>194</v>
      </c>
      <c r="M137" s="17" t="s">
        <v>33</v>
      </c>
      <c r="N137" s="17" t="s">
        <v>51</v>
      </c>
      <c r="O137" s="22">
        <v>11.192857142857143</v>
      </c>
      <c r="P137" s="22">
        <v>2.2597402597402598</v>
      </c>
      <c r="Q137" s="22">
        <v>5.7233766233766241</v>
      </c>
      <c r="R137" s="22">
        <v>1.8853246753246751</v>
      </c>
      <c r="S137" s="22">
        <v>0.80805194805194802</v>
      </c>
      <c r="T137" s="22">
        <v>0.40402597402597401</v>
      </c>
      <c r="U137" s="22">
        <v>0.47348586011454347</v>
      </c>
      <c r="V137" s="22">
        <v>8.7529870129870133</v>
      </c>
      <c r="W137" s="22">
        <v>0.7360534124629079</v>
      </c>
      <c r="X137" s="22">
        <v>0.87532467532467539</v>
      </c>
      <c r="Y137" s="14">
        <f t="shared" ca="1" si="42"/>
        <v>-0.86003005759688189</v>
      </c>
      <c r="Z137" s="14">
        <f t="shared" ca="1" si="43"/>
        <v>0.53199473632053884</v>
      </c>
      <c r="AA137" s="14">
        <f t="shared" ca="1" si="44"/>
        <v>6.4508525315343955E-3</v>
      </c>
      <c r="AB137" s="14">
        <f t="shared" ca="1" si="45"/>
        <v>-0.82804604667548332</v>
      </c>
      <c r="AC137" s="14">
        <f t="shared" ca="1" si="46"/>
        <v>-0.57848268824921134</v>
      </c>
      <c r="AD137" s="14">
        <f t="shared" ca="1" si="47"/>
        <v>-0.4904209036632648</v>
      </c>
      <c r="AE137" s="14">
        <f ca="1">U$4*AO137</f>
        <v>-3.3881217449325034E-2</v>
      </c>
      <c r="AF137" s="15">
        <f ca="1">AP137*W$4</f>
        <v>-0.20131832735185529</v>
      </c>
      <c r="AG137" s="12">
        <f t="shared" ca="1" si="48"/>
        <v>-2.4537336521339483</v>
      </c>
      <c r="AH137" s="14">
        <f t="shared" ca="1" si="49"/>
        <v>-0.80687936064848975</v>
      </c>
      <c r="AI137" s="14">
        <f t="shared" ca="1" si="50"/>
        <v>-0.86003005759688189</v>
      </c>
      <c r="AJ137" s="14">
        <f t="shared" ca="1" si="51"/>
        <v>0.53199473632053884</v>
      </c>
      <c r="AK137" s="14">
        <f t="shared" ca="1" si="52"/>
        <v>6.4508525315343955E-3</v>
      </c>
      <c r="AL137" s="14">
        <f t="shared" ca="1" si="53"/>
        <v>-0.82804604667548332</v>
      </c>
      <c r="AM137" s="14">
        <f t="shared" ca="1" si="54"/>
        <v>-0.57848268824921134</v>
      </c>
      <c r="AN137" s="14">
        <f t="shared" ca="1" si="55"/>
        <v>-0.4904209036632648</v>
      </c>
      <c r="AO137" s="14">
        <f t="shared" ca="1" si="57"/>
        <v>-3.3881217449325034E-2</v>
      </c>
      <c r="AP137" s="14">
        <f ca="1">(AV137-$AP$3)/$AP$4</f>
        <v>-0.20131832735185529</v>
      </c>
      <c r="AQ137" s="22">
        <f t="shared" si="58"/>
        <v>4.1444155844155848</v>
      </c>
      <c r="AR137" s="22">
        <f t="shared" si="59"/>
        <v>0.64428571428571424</v>
      </c>
      <c r="AS137" s="22">
        <f ca="1">(U137-AS$3)</f>
        <v>-2.4888450735685019E-3</v>
      </c>
      <c r="AT137" s="22">
        <f ca="1">(W137-AT$3)</f>
        <v>-6.4049279277207272E-2</v>
      </c>
      <c r="AU137" s="11">
        <f ca="1">AS137*V137</f>
        <v>-2.1784828606281805E-2</v>
      </c>
      <c r="AV137" s="11">
        <f ca="1">AT137*X137</f>
        <v>-5.6063914588100915E-2</v>
      </c>
    </row>
    <row r="138" spans="1:48">
      <c r="A138">
        <v>133</v>
      </c>
      <c r="B138" s="27" t="str">
        <f t="shared" si="56"/>
        <v>Dillon Brooks</v>
      </c>
      <c r="C138" s="21">
        <v>1.5482770428049095</v>
      </c>
      <c r="D138" s="12">
        <f t="shared" ca="1" si="40"/>
        <v>1.6470806609347137</v>
      </c>
      <c r="E138" s="12">
        <f t="shared" ca="1" si="41"/>
        <v>1.6470806609347159</v>
      </c>
      <c r="F138" s="29">
        <f ca="1">SUM(AI138:AN138,AP138,AO138)+$A$4</f>
        <v>0.30807893750767512</v>
      </c>
      <c r="G138" s="29">
        <f ca="1">SUM(Y138:AF138)+$A$4</f>
        <v>0.30807893750767557</v>
      </c>
      <c r="H138" s="10">
        <v>1</v>
      </c>
      <c r="I138" s="10">
        <v>0</v>
      </c>
      <c r="J138" t="e">
        <f>VLOOKUP(N138,Schedule!#REF!,2,0)</f>
        <v>#REF!</v>
      </c>
      <c r="K138" s="17">
        <v>133</v>
      </c>
      <c r="L138" s="17" t="s">
        <v>195</v>
      </c>
      <c r="M138" s="17" t="s">
        <v>48</v>
      </c>
      <c r="N138" s="17" t="s">
        <v>84</v>
      </c>
      <c r="O138" s="22">
        <v>17.503552631578948</v>
      </c>
      <c r="P138" s="22">
        <v>2.0015789473684209</v>
      </c>
      <c r="Q138" s="22">
        <v>2.9269736842105263</v>
      </c>
      <c r="R138" s="22">
        <v>2.1951315789473687</v>
      </c>
      <c r="S138" s="22">
        <v>1.1307894736842106</v>
      </c>
      <c r="T138" s="22">
        <v>0.39907894736842103</v>
      </c>
      <c r="U138" s="22">
        <v>0.42366527601426929</v>
      </c>
      <c r="V138" s="22">
        <v>15.233289473684211</v>
      </c>
      <c r="W138" s="22">
        <v>0.81099868377755835</v>
      </c>
      <c r="X138" s="22">
        <v>3.1989473684210528</v>
      </c>
      <c r="Y138" s="14">
        <f t="shared" ca="1" si="42"/>
        <v>0.23724344140979303</v>
      </c>
      <c r="Z138" s="14">
        <f t="shared" ca="1" si="43"/>
        <v>0.27563114422918672</v>
      </c>
      <c r="AA138" s="14">
        <f t="shared" ca="1" si="44"/>
        <v>-1.1625896036457615</v>
      </c>
      <c r="AB138" s="14">
        <f t="shared" ca="1" si="45"/>
        <v>-0.68053624172411664</v>
      </c>
      <c r="AC138" s="14">
        <f t="shared" ca="1" si="46"/>
        <v>0.45199293418071357</v>
      </c>
      <c r="AD138" s="14">
        <f t="shared" ca="1" si="47"/>
        <v>-0.49951915110567657</v>
      </c>
      <c r="AE138" s="14">
        <f ca="1">U$4*AO138</f>
        <v>-1.2393059526065906</v>
      </c>
      <c r="AF138" s="15">
        <f ca="1">AP138*W$4</f>
        <v>0.12516236677012707</v>
      </c>
      <c r="AG138" s="12">
        <f t="shared" ca="1" si="48"/>
        <v>-2.4919210624923243</v>
      </c>
      <c r="AH138" s="14">
        <f t="shared" ca="1" si="49"/>
        <v>-0.81943680885725967</v>
      </c>
      <c r="AI138" s="14">
        <f t="shared" ca="1" si="50"/>
        <v>0.23724344140979303</v>
      </c>
      <c r="AJ138" s="14">
        <f t="shared" ca="1" si="51"/>
        <v>0.27563114422918672</v>
      </c>
      <c r="AK138" s="14">
        <f t="shared" ca="1" si="52"/>
        <v>-1.1625896036457615</v>
      </c>
      <c r="AL138" s="14">
        <f t="shared" ca="1" si="53"/>
        <v>-0.68053624172411664</v>
      </c>
      <c r="AM138" s="14">
        <f t="shared" ca="1" si="54"/>
        <v>0.45199293418071357</v>
      </c>
      <c r="AN138" s="14">
        <f t="shared" ca="1" si="55"/>
        <v>-0.49951915110567657</v>
      </c>
      <c r="AO138" s="14">
        <f t="shared" ca="1" si="57"/>
        <v>-1.2393059526065906</v>
      </c>
      <c r="AP138" s="14">
        <f ca="1">(AV138-$AP$3)/$AP$4</f>
        <v>0.12516236677012707</v>
      </c>
      <c r="AQ138" s="22">
        <f t="shared" si="58"/>
        <v>6.4538157894736843</v>
      </c>
      <c r="AR138" s="22">
        <f t="shared" si="59"/>
        <v>2.5943421052631579</v>
      </c>
      <c r="AS138" s="22">
        <f ca="1">(U138-AS$3)</f>
        <v>-5.2309429173842681E-2</v>
      </c>
      <c r="AT138" s="22">
        <f ca="1">(W138-AT$3)</f>
        <v>1.0895992037443181E-2</v>
      </c>
      <c r="AU138" s="11">
        <f ca="1">AS138*V138</f>
        <v>-0.79684467680832749</v>
      </c>
      <c r="AV138" s="11">
        <f ca="1">AT138*X138</f>
        <v>3.4855705054515608E-2</v>
      </c>
    </row>
    <row r="139" spans="1:48">
      <c r="A139">
        <v>134</v>
      </c>
      <c r="B139" s="27" t="str">
        <f t="shared" si="56"/>
        <v>Alperen Sengun</v>
      </c>
      <c r="C139" s="21">
        <v>1.5366489720639582</v>
      </c>
      <c r="D139" s="12">
        <f t="shared" ca="1" si="40"/>
        <v>1.3038471811900201</v>
      </c>
      <c r="E139" s="12">
        <f t="shared" ca="1" si="41"/>
        <v>1.3038471811900201</v>
      </c>
      <c r="F139" s="29">
        <f ca="1">SUM(AI139:AN139,AP139,AO139)+$A$4</f>
        <v>0.24387867806391572</v>
      </c>
      <c r="G139" s="29">
        <f ca="1">SUM(Y139:AF139)+$A$4</f>
        <v>0.24387867806391572</v>
      </c>
      <c r="H139" s="10">
        <v>1</v>
      </c>
      <c r="I139" s="10">
        <v>0</v>
      </c>
      <c r="J139" t="e">
        <f>VLOOKUP(N139,Schedule!#REF!,2,0)</f>
        <v>#REF!</v>
      </c>
      <c r="K139" s="17">
        <v>134</v>
      </c>
      <c r="L139" s="17" t="s">
        <v>196</v>
      </c>
      <c r="M139" s="17" t="s">
        <v>22</v>
      </c>
      <c r="N139" s="17" t="s">
        <v>100</v>
      </c>
      <c r="O139" s="22">
        <v>11.187183098591548</v>
      </c>
      <c r="P139" s="22">
        <v>0.30126760563380284</v>
      </c>
      <c r="Q139" s="22">
        <v>6.3666197183098587</v>
      </c>
      <c r="R139" s="22">
        <v>2.1715492957746481</v>
      </c>
      <c r="S139" s="22">
        <v>0.78971830985915492</v>
      </c>
      <c r="T139" s="22">
        <v>0.98704225352112673</v>
      </c>
      <c r="U139" s="22">
        <v>0.51882564248904706</v>
      </c>
      <c r="V139" s="22">
        <v>8.3905633802816908</v>
      </c>
      <c r="W139" s="22">
        <v>0.7639972351140516</v>
      </c>
      <c r="X139" s="22">
        <v>2.8526760563380282</v>
      </c>
      <c r="Y139" s="14">
        <f t="shared" ca="1" si="42"/>
        <v>-0.86101663323120847</v>
      </c>
      <c r="Z139" s="14">
        <f t="shared" ca="1" si="43"/>
        <v>-1.4128399873899222</v>
      </c>
      <c r="AA139" s="14">
        <f t="shared" ca="1" si="44"/>
        <v>0.27535959618987421</v>
      </c>
      <c r="AB139" s="14">
        <f t="shared" ca="1" si="45"/>
        <v>-0.69176458412203956</v>
      </c>
      <c r="AC139" s="14">
        <f t="shared" ca="1" si="46"/>
        <v>-0.63702055796582457</v>
      </c>
      <c r="AD139" s="14">
        <f t="shared" ca="1" si="47"/>
        <v>0.58182445521357518</v>
      </c>
      <c r="AE139" s="14">
        <f ca="1">U$4*AO139</f>
        <v>0.55918602375400639</v>
      </c>
      <c r="AF139" s="15">
        <f ca="1">AP139*W$4</f>
        <v>-0.36984963438454527</v>
      </c>
      <c r="AG139" s="12">
        <f t="shared" ca="1" si="48"/>
        <v>-2.5561213219360841</v>
      </c>
      <c r="AH139" s="14">
        <f t="shared" ca="1" si="49"/>
        <v>-0.84054825436740999</v>
      </c>
      <c r="AI139" s="14">
        <f t="shared" ca="1" si="50"/>
        <v>-0.86101663323120847</v>
      </c>
      <c r="AJ139" s="14">
        <f t="shared" ca="1" si="51"/>
        <v>-1.4128399873899222</v>
      </c>
      <c r="AK139" s="14">
        <f t="shared" ca="1" si="52"/>
        <v>0.27535959618987421</v>
      </c>
      <c r="AL139" s="14">
        <f t="shared" ca="1" si="53"/>
        <v>-0.69176458412203956</v>
      </c>
      <c r="AM139" s="14">
        <f t="shared" ca="1" si="54"/>
        <v>-0.63702055796582457</v>
      </c>
      <c r="AN139" s="14">
        <f t="shared" ca="1" si="55"/>
        <v>0.58182445521357518</v>
      </c>
      <c r="AO139" s="14">
        <f t="shared" ca="1" si="57"/>
        <v>0.55918602375400639</v>
      </c>
      <c r="AP139" s="14">
        <f ca="1">(AV139-$AP$3)/$AP$4</f>
        <v>-0.36984963438454527</v>
      </c>
      <c r="AQ139" s="22">
        <f t="shared" si="58"/>
        <v>4.3532394366197185</v>
      </c>
      <c r="AR139" s="22">
        <f t="shared" si="59"/>
        <v>2.1794366197183099</v>
      </c>
      <c r="AS139" s="22">
        <f ca="1">(U139-AS$3)</f>
        <v>4.2850937300935088E-2</v>
      </c>
      <c r="AT139" s="22">
        <f ca="1">(W139-AT$3)</f>
        <v>-3.610545662606357E-2</v>
      </c>
      <c r="AU139" s="11">
        <f ca="1">AS139*V139</f>
        <v>0.35954350532797269</v>
      </c>
      <c r="AV139" s="11">
        <f ca="1">AT139*X139</f>
        <v>-0.10299717162032275</v>
      </c>
    </row>
    <row r="140" spans="1:48">
      <c r="A140">
        <v>135</v>
      </c>
      <c r="B140" s="27" t="str">
        <f t="shared" si="56"/>
        <v>Chuma Okeke</v>
      </c>
      <c r="C140" s="21">
        <v>1.4675720359392206</v>
      </c>
      <c r="D140" s="12">
        <f t="shared" ca="1" si="40"/>
        <v>1.3720278910608794</v>
      </c>
      <c r="E140" s="12">
        <f t="shared" ca="1" si="41"/>
        <v>1.3720278910608819</v>
      </c>
      <c r="F140" s="29">
        <f ca="1">SUM(AI140:AN140,AP140,AO140)+$A$4</f>
        <v>0.2566315693786696</v>
      </c>
      <c r="G140" s="29">
        <f ca="1">SUM(Y140:AF140)+$A$4</f>
        <v>0.25663156937867004</v>
      </c>
      <c r="H140" s="10">
        <v>1</v>
      </c>
      <c r="I140" s="10">
        <v>0</v>
      </c>
      <c r="J140" t="e">
        <f>VLOOKUP(N140,Schedule!#REF!,2,0)</f>
        <v>#REF!</v>
      </c>
      <c r="K140" s="17">
        <v>135</v>
      </c>
      <c r="L140" s="17" t="s">
        <v>197</v>
      </c>
      <c r="M140" s="17" t="s">
        <v>45</v>
      </c>
      <c r="N140" s="17" t="s">
        <v>120</v>
      </c>
      <c r="O140" s="22">
        <v>9.5304166666666674</v>
      </c>
      <c r="P140" s="22">
        <v>1.2295833333333333</v>
      </c>
      <c r="Q140" s="22">
        <v>4.5815277777777776</v>
      </c>
      <c r="R140" s="22">
        <v>2.3205555555555559</v>
      </c>
      <c r="S140" s="22">
        <v>1.2494444444444444</v>
      </c>
      <c r="T140" s="22">
        <v>0.77347222222222223</v>
      </c>
      <c r="U140" s="22">
        <v>0.43120140703847992</v>
      </c>
      <c r="V140" s="22">
        <v>8.449583333333333</v>
      </c>
      <c r="W140" s="22">
        <v>0.75002568581115792</v>
      </c>
      <c r="X140" s="22">
        <v>1.3518055555555555</v>
      </c>
      <c r="Y140" s="14">
        <f t="shared" ca="1" si="42"/>
        <v>-1.1490872433634727</v>
      </c>
      <c r="Z140" s="14">
        <f t="shared" ca="1" si="43"/>
        <v>-0.49098863653697628</v>
      </c>
      <c r="AA140" s="14">
        <f t="shared" ca="1" si="44"/>
        <v>-0.47090077539318048</v>
      </c>
      <c r="AB140" s="14">
        <f t="shared" ca="1" si="45"/>
        <v>-0.62081753917308913</v>
      </c>
      <c r="AC140" s="14">
        <f t="shared" ca="1" si="46"/>
        <v>0.83084895536703207</v>
      </c>
      <c r="AD140" s="14">
        <f t="shared" ca="1" si="47"/>
        <v>0.18904044058240957</v>
      </c>
      <c r="AE140" s="14">
        <f ca="1">U$4*AO140</f>
        <v>-0.58838181361013953</v>
      </c>
      <c r="AF140" s="15">
        <f ca="1">AP140*W$4</f>
        <v>-0.24308181849391378</v>
      </c>
      <c r="AG140" s="12">
        <f t="shared" ca="1" si="48"/>
        <v>-2.5433684306213298</v>
      </c>
      <c r="AH140" s="14">
        <f t="shared" ca="1" si="49"/>
        <v>-0.83635462692071483</v>
      </c>
      <c r="AI140" s="14">
        <f t="shared" ca="1" si="50"/>
        <v>-1.1490872433634727</v>
      </c>
      <c r="AJ140" s="14">
        <f t="shared" ca="1" si="51"/>
        <v>-0.49098863653697628</v>
      </c>
      <c r="AK140" s="14">
        <f t="shared" ca="1" si="52"/>
        <v>-0.47090077539318048</v>
      </c>
      <c r="AL140" s="14">
        <f t="shared" ca="1" si="53"/>
        <v>-0.62081753917308913</v>
      </c>
      <c r="AM140" s="14">
        <f t="shared" ca="1" si="54"/>
        <v>0.83084895536703207</v>
      </c>
      <c r="AN140" s="14">
        <f t="shared" ca="1" si="55"/>
        <v>0.18904044058240957</v>
      </c>
      <c r="AO140" s="14">
        <f t="shared" ca="1" si="57"/>
        <v>-0.58838181361013953</v>
      </c>
      <c r="AP140" s="14">
        <f ca="1">(AV140-$AP$3)/$AP$4</f>
        <v>-0.24308181849391378</v>
      </c>
      <c r="AQ140" s="22">
        <f t="shared" si="58"/>
        <v>3.6434722222222224</v>
      </c>
      <c r="AR140" s="22">
        <f t="shared" si="59"/>
        <v>1.0138888888888888</v>
      </c>
      <c r="AS140" s="22">
        <f ca="1">(U140-AS$3)</f>
        <v>-4.4773298149632046E-2</v>
      </c>
      <c r="AT140" s="22">
        <f ca="1">(W140-AT$3)</f>
        <v>-5.0077005928957252E-2</v>
      </c>
      <c r="AU140" s="11">
        <f ca="1">AS140*V140</f>
        <v>-0.3783157138234951</v>
      </c>
      <c r="AV140" s="11">
        <f ca="1">AT140*X140</f>
        <v>-6.7694374820352898E-2</v>
      </c>
    </row>
    <row r="141" spans="1:48">
      <c r="A141">
        <v>136</v>
      </c>
      <c r="B141" s="27" t="str">
        <f t="shared" si="56"/>
        <v>Tyler Herro</v>
      </c>
      <c r="C141" s="21">
        <v>1.405100500015372</v>
      </c>
      <c r="D141" s="12">
        <f t="shared" ca="1" si="40"/>
        <v>1.3686267232970644</v>
      </c>
      <c r="E141" s="12">
        <f t="shared" ca="1" si="41"/>
        <v>1.3686267232970619</v>
      </c>
      <c r="F141" s="29">
        <f ca="1">SUM(AI141:AN141,AP141,AO141)+$A$4</f>
        <v>0.25599539643595115</v>
      </c>
      <c r="G141" s="29">
        <f ca="1">SUM(Y141:AF141)+$A$4</f>
        <v>0.25599539643595071</v>
      </c>
      <c r="H141" s="10">
        <v>1</v>
      </c>
      <c r="I141" s="10">
        <v>0</v>
      </c>
      <c r="J141" t="e">
        <f>VLOOKUP(N141,Schedule!#REF!,2,0)</f>
        <v>#REF!</v>
      </c>
      <c r="K141" s="17">
        <v>136</v>
      </c>
      <c r="L141" s="17" t="s">
        <v>198</v>
      </c>
      <c r="M141" s="17" t="s">
        <v>25</v>
      </c>
      <c r="N141" s="17" t="s">
        <v>53</v>
      </c>
      <c r="O141" s="22">
        <v>15.624202898550724</v>
      </c>
      <c r="P141" s="22">
        <v>2.1047826086956518</v>
      </c>
      <c r="Q141" s="22">
        <v>4.6182608695652174</v>
      </c>
      <c r="R141" s="22">
        <v>3.0788405797101448</v>
      </c>
      <c r="S141" s="22">
        <v>0.65130434782608693</v>
      </c>
      <c r="T141" s="22">
        <v>0.35521739130434787</v>
      </c>
      <c r="U141" s="22">
        <v>0.44618856738639806</v>
      </c>
      <c r="V141" s="22">
        <v>12.907391304347826</v>
      </c>
      <c r="W141" s="22">
        <v>0.81597919867627944</v>
      </c>
      <c r="X141" s="22">
        <v>2.4524637681159418</v>
      </c>
      <c r="Y141" s="14">
        <f t="shared" ca="1" si="42"/>
        <v>-8.9528886791201912E-2</v>
      </c>
      <c r="Z141" s="14">
        <f t="shared" ca="1" si="43"/>
        <v>0.37811614127134757</v>
      </c>
      <c r="AA141" s="14">
        <f t="shared" ca="1" si="44"/>
        <v>-0.455544451102949</v>
      </c>
      <c r="AB141" s="14">
        <f t="shared" ca="1" si="45"/>
        <v>-0.25977175645286055</v>
      </c>
      <c r="AC141" s="14">
        <f t="shared" ca="1" si="46"/>
        <v>-1.0789654895308556</v>
      </c>
      <c r="AD141" s="14">
        <f t="shared" ca="1" si="47"/>
        <v>-0.58018645247767842</v>
      </c>
      <c r="AE141" s="14">
        <f ca="1">U$4*AO141</f>
        <v>-0.59793989491740196</v>
      </c>
      <c r="AF141" s="15">
        <f ca="1">AP141*W$4</f>
        <v>0.13981618643755095</v>
      </c>
      <c r="AG141" s="12">
        <f t="shared" ca="1" si="48"/>
        <v>-2.5440046035640491</v>
      </c>
      <c r="AH141" s="14">
        <f t="shared" ca="1" si="49"/>
        <v>-0.83656382436838272</v>
      </c>
      <c r="AI141" s="14">
        <f t="shared" ca="1" si="50"/>
        <v>-8.9528886791201912E-2</v>
      </c>
      <c r="AJ141" s="14">
        <f t="shared" ca="1" si="51"/>
        <v>0.37811614127134757</v>
      </c>
      <c r="AK141" s="14">
        <f t="shared" ca="1" si="52"/>
        <v>-0.455544451102949</v>
      </c>
      <c r="AL141" s="14">
        <f t="shared" ca="1" si="53"/>
        <v>-0.25977175645286055</v>
      </c>
      <c r="AM141" s="14">
        <f t="shared" ca="1" si="54"/>
        <v>-1.0789654895308556</v>
      </c>
      <c r="AN141" s="14">
        <f t="shared" ca="1" si="55"/>
        <v>-0.58018645247767842</v>
      </c>
      <c r="AO141" s="14">
        <f t="shared" ca="1" si="57"/>
        <v>-0.59793989491740196</v>
      </c>
      <c r="AP141" s="14">
        <f ca="1">(AV141-$AP$3)/$AP$4</f>
        <v>0.13981618643755095</v>
      </c>
      <c r="AQ141" s="22">
        <f t="shared" si="58"/>
        <v>5.759130434782608</v>
      </c>
      <c r="AR141" s="22">
        <f t="shared" si="59"/>
        <v>2.0011594202898548</v>
      </c>
      <c r="AS141" s="22">
        <f ca="1">(U141-AS$3)</f>
        <v>-2.9786137801713908E-2</v>
      </c>
      <c r="AT141" s="22">
        <f ca="1">(W141-AT$3)</f>
        <v>1.587650693616427E-2</v>
      </c>
      <c r="AU141" s="11">
        <f ca="1">AS141*V141</f>
        <v>-0.38446133605194815</v>
      </c>
      <c r="AV141" s="11">
        <f ca="1">AT141*X141</f>
        <v>3.8936558025184309E-2</v>
      </c>
    </row>
    <row r="142" spans="1:48">
      <c r="A142">
        <v>137</v>
      </c>
      <c r="B142" s="27" t="str">
        <f t="shared" si="56"/>
        <v>Duncan Robinson</v>
      </c>
      <c r="C142" s="21">
        <v>1.2557408040115834</v>
      </c>
      <c r="D142" s="12">
        <f t="shared" ca="1" si="40"/>
        <v>1.2248238577243542</v>
      </c>
      <c r="E142" s="12">
        <f t="shared" ca="1" si="41"/>
        <v>1.2248238577243542</v>
      </c>
      <c r="F142" s="29">
        <f ca="1">SUM(AI142:AN142,AP142,AO142)+$A$4</f>
        <v>0.22909772524900518</v>
      </c>
      <c r="G142" s="29">
        <f ca="1">SUM(Y142:AF142)+$A$4</f>
        <v>0.22909772524900518</v>
      </c>
      <c r="H142" s="10">
        <v>1</v>
      </c>
      <c r="I142" s="10">
        <v>0</v>
      </c>
      <c r="J142" t="e">
        <f>VLOOKUP(N142,Schedule!#REF!,2,0)</f>
        <v>#REF!</v>
      </c>
      <c r="K142" s="17">
        <v>137</v>
      </c>
      <c r="L142" s="17" t="s">
        <v>199</v>
      </c>
      <c r="M142" s="17" t="s">
        <v>48</v>
      </c>
      <c r="N142" s="17" t="s">
        <v>53</v>
      </c>
      <c r="O142" s="22">
        <v>13.497874999999999</v>
      </c>
      <c r="P142" s="22">
        <v>3.6452499999999999</v>
      </c>
      <c r="Q142" s="22">
        <v>3.2911250000000001</v>
      </c>
      <c r="R142" s="22">
        <v>1.7721250000000002</v>
      </c>
      <c r="S142" s="22">
        <v>0.63287500000000008</v>
      </c>
      <c r="T142" s="22">
        <v>0.3165</v>
      </c>
      <c r="U142" s="22">
        <v>0.44934208902165057</v>
      </c>
      <c r="V142" s="22">
        <v>10.126749999999999</v>
      </c>
      <c r="W142" s="22">
        <v>0.8249897133452202</v>
      </c>
      <c r="X142" s="22">
        <v>0.91137499999999994</v>
      </c>
      <c r="Y142" s="14">
        <f t="shared" ca="1" si="42"/>
        <v>-0.4592445952179498</v>
      </c>
      <c r="Z142" s="14">
        <f t="shared" ca="1" si="43"/>
        <v>1.9078564044660129</v>
      </c>
      <c r="AA142" s="14">
        <f t="shared" ca="1" si="44"/>
        <v>-1.0103555981790682</v>
      </c>
      <c r="AB142" s="14">
        <f t="shared" ca="1" si="45"/>
        <v>-0.88194433568209951</v>
      </c>
      <c r="AC142" s="14">
        <f t="shared" ca="1" si="46"/>
        <v>-1.1378089526046333</v>
      </c>
      <c r="AD142" s="14">
        <f t="shared" ca="1" si="47"/>
        <v>-0.65139294292054206</v>
      </c>
      <c r="AE142" s="14">
        <f ca="1">U$4*AO142</f>
        <v>-0.4194582866798181</v>
      </c>
      <c r="AF142" s="15">
        <f ca="1">AP142*W$4</f>
        <v>8.1446032067103366E-2</v>
      </c>
      <c r="AG142" s="12">
        <f t="shared" ca="1" si="48"/>
        <v>-2.5709022747509946</v>
      </c>
      <c r="AH142" s="14">
        <f t="shared" ca="1" si="49"/>
        <v>-0.84540878425691068</v>
      </c>
      <c r="AI142" s="14">
        <f t="shared" ca="1" si="50"/>
        <v>-0.4592445952179498</v>
      </c>
      <c r="AJ142" s="14">
        <f t="shared" ca="1" si="51"/>
        <v>1.9078564044660129</v>
      </c>
      <c r="AK142" s="14">
        <f t="shared" ca="1" si="52"/>
        <v>-1.0103555981790682</v>
      </c>
      <c r="AL142" s="14">
        <f t="shared" ca="1" si="53"/>
        <v>-0.88194433568209951</v>
      </c>
      <c r="AM142" s="14">
        <f t="shared" ca="1" si="54"/>
        <v>-1.1378089526046333</v>
      </c>
      <c r="AN142" s="14">
        <f t="shared" ca="1" si="55"/>
        <v>-0.65139294292054206</v>
      </c>
      <c r="AO142" s="14">
        <f t="shared" ca="1" si="57"/>
        <v>-0.4194582866798181</v>
      </c>
      <c r="AP142" s="14">
        <f ca="1">(AV142-$AP$3)/$AP$4</f>
        <v>8.1446032067103366E-2</v>
      </c>
      <c r="AQ142" s="22">
        <f t="shared" si="58"/>
        <v>4.5503749999999998</v>
      </c>
      <c r="AR142" s="22">
        <f t="shared" si="59"/>
        <v>0.75187499999999996</v>
      </c>
      <c r="AS142" s="22">
        <f ca="1">(U142-AS$3)</f>
        <v>-2.6632616166461398E-2</v>
      </c>
      <c r="AT142" s="22">
        <f ca="1">(W142-AT$3)</f>
        <v>2.4887021605105031E-2</v>
      </c>
      <c r="AU142" s="11">
        <f ca="1">AS142*V142</f>
        <v>-0.26970184576371292</v>
      </c>
      <c r="AV142" s="11">
        <f ca="1">AT142*X142</f>
        <v>2.2681409315352594E-2</v>
      </c>
    </row>
    <row r="143" spans="1:48">
      <c r="A143">
        <v>138</v>
      </c>
      <c r="B143" s="27" t="str">
        <f t="shared" si="56"/>
        <v>De'Anthony Melton</v>
      </c>
      <c r="C143" s="21">
        <v>1.2147023176030685</v>
      </c>
      <c r="D143" s="12">
        <f t="shared" ca="1" si="40"/>
        <v>1.1657064057155546</v>
      </c>
      <c r="E143" s="12">
        <f t="shared" ca="1" si="41"/>
        <v>1.1657064057155546</v>
      </c>
      <c r="F143" s="29">
        <f ca="1">SUM(AI143:AN143,AP143,AO143)+$A$4</f>
        <v>0.21804007504704348</v>
      </c>
      <c r="G143" s="29">
        <f ca="1">SUM(Y143:AF143)+$A$4</f>
        <v>0.21804007504704348</v>
      </c>
      <c r="H143" s="10">
        <v>1</v>
      </c>
      <c r="I143" s="10">
        <v>0</v>
      </c>
      <c r="J143" t="e">
        <f>VLOOKUP(N143,Schedule!#REF!,2,0)</f>
        <v>#REF!</v>
      </c>
      <c r="K143" s="17">
        <v>138</v>
      </c>
      <c r="L143" s="17" t="s">
        <v>200</v>
      </c>
      <c r="M143" s="17" t="s">
        <v>28</v>
      </c>
      <c r="N143" s="17" t="s">
        <v>84</v>
      </c>
      <c r="O143" s="22">
        <v>9.7188732394366184</v>
      </c>
      <c r="P143" s="22">
        <v>1.8723943661971831</v>
      </c>
      <c r="Q143" s="22">
        <v>3.3346478873239436</v>
      </c>
      <c r="R143" s="22">
        <v>2.7939436619718312</v>
      </c>
      <c r="S143" s="22">
        <v>1.2616901408450705</v>
      </c>
      <c r="T143" s="22">
        <v>0.49563380281690139</v>
      </c>
      <c r="U143" s="22">
        <v>0.41918255194916715</v>
      </c>
      <c r="V143" s="22">
        <v>8.2014084507042249</v>
      </c>
      <c r="W143" s="22">
        <v>0.7890097309673727</v>
      </c>
      <c r="X143" s="22">
        <v>1.2302816901408451</v>
      </c>
      <c r="Y143" s="14">
        <f t="shared" ca="1" si="42"/>
        <v>-1.1163193173268491</v>
      </c>
      <c r="Z143" s="14">
        <f t="shared" ca="1" si="43"/>
        <v>0.14734614688545616</v>
      </c>
      <c r="AA143" s="14">
        <f t="shared" ca="1" si="44"/>
        <v>-0.99216078964889676</v>
      </c>
      <c r="AB143" s="14">
        <f t="shared" ca="1" si="45"/>
        <v>-0.39542105372612457</v>
      </c>
      <c r="AC143" s="14">
        <f t="shared" ca="1" si="46"/>
        <v>0.86994850412821778</v>
      </c>
      <c r="AD143" s="14">
        <f t="shared" ca="1" si="47"/>
        <v>-0.32194178444739613</v>
      </c>
      <c r="AE143" s="14">
        <f ca="1">U$4*AO143</f>
        <v>-0.7244053287383122</v>
      </c>
      <c r="AF143" s="15">
        <f ca="1">AP143*W$4</f>
        <v>-4.9006302079051378E-2</v>
      </c>
      <c r="AG143" s="12">
        <f t="shared" ca="1" si="48"/>
        <v>-2.5819599249529563</v>
      </c>
      <c r="AH143" s="14">
        <f t="shared" ca="1" si="49"/>
        <v>-0.84904495304706196</v>
      </c>
      <c r="AI143" s="14">
        <f t="shared" ca="1" si="50"/>
        <v>-1.1163193173268491</v>
      </c>
      <c r="AJ143" s="14">
        <f t="shared" ca="1" si="51"/>
        <v>0.14734614688545616</v>
      </c>
      <c r="AK143" s="14">
        <f t="shared" ca="1" si="52"/>
        <v>-0.99216078964889676</v>
      </c>
      <c r="AL143" s="14">
        <f t="shared" ca="1" si="53"/>
        <v>-0.39542105372612457</v>
      </c>
      <c r="AM143" s="14">
        <f t="shared" ca="1" si="54"/>
        <v>0.86994850412821778</v>
      </c>
      <c r="AN143" s="14">
        <f t="shared" ca="1" si="55"/>
        <v>-0.32194178444739613</v>
      </c>
      <c r="AO143" s="14">
        <f t="shared" ca="1" si="57"/>
        <v>-0.7244053287383122</v>
      </c>
      <c r="AP143" s="14">
        <f ca="1">(AV143-$AP$3)/$AP$4</f>
        <v>-4.9006302079051378E-2</v>
      </c>
      <c r="AQ143" s="22">
        <f t="shared" si="58"/>
        <v>3.437887323943662</v>
      </c>
      <c r="AR143" s="22">
        <f t="shared" si="59"/>
        <v>0.97070422535211276</v>
      </c>
      <c r="AS143" s="22">
        <f ca="1">(U143-AS$3)</f>
        <v>-5.679215323894482E-2</v>
      </c>
      <c r="AT143" s="22">
        <f ca="1">(W143-AT$3)</f>
        <v>-1.1092960772742466E-2</v>
      </c>
      <c r="AU143" s="11">
        <f ca="1">AS143*V143</f>
        <v>-0.46577564550757139</v>
      </c>
      <c r="AV143" s="11">
        <f ca="1">AT143*X143</f>
        <v>-1.3647466528155697E-2</v>
      </c>
    </row>
    <row r="144" spans="1:48">
      <c r="A144">
        <v>139</v>
      </c>
      <c r="B144" s="27" t="str">
        <f t="shared" si="56"/>
        <v>Patrick Williams</v>
      </c>
      <c r="C144" s="21">
        <v>1.0930771887051143</v>
      </c>
      <c r="D144" s="12">
        <f t="shared" ca="1" si="40"/>
        <v>0.93975014533004064</v>
      </c>
      <c r="E144" s="12">
        <f t="shared" ca="1" si="41"/>
        <v>0.93975014533004064</v>
      </c>
      <c r="F144" s="29">
        <f ca="1">SUM(AI144:AN144,AP144,AO144)+$A$4</f>
        <v>0.17577598545274764</v>
      </c>
      <c r="G144" s="29">
        <f ca="1">SUM(Y144:AF144)+$A$4</f>
        <v>0.17577598545274764</v>
      </c>
      <c r="H144" s="10">
        <v>1</v>
      </c>
      <c r="I144" s="10">
        <v>0</v>
      </c>
      <c r="J144" t="e">
        <f>VLOOKUP(N144,Schedule!#REF!,2,0)</f>
        <v>#REF!</v>
      </c>
      <c r="K144" s="17">
        <v>139</v>
      </c>
      <c r="L144" s="17" t="s">
        <v>201</v>
      </c>
      <c r="M144" s="17" t="s">
        <v>33</v>
      </c>
      <c r="N144" s="17" t="s">
        <v>59</v>
      </c>
      <c r="O144" s="22">
        <v>10.133783783783786</v>
      </c>
      <c r="P144" s="22">
        <v>0.90527027027027018</v>
      </c>
      <c r="Q144" s="22">
        <v>5.2520270270270268</v>
      </c>
      <c r="R144" s="22">
        <v>1.414054054054054</v>
      </c>
      <c r="S144" s="22">
        <v>1.1447297297297296</v>
      </c>
      <c r="T144" s="22">
        <v>0.74067567567567572</v>
      </c>
      <c r="U144" s="22">
        <v>0.4865024922272122</v>
      </c>
      <c r="V144" s="22">
        <v>8.2147297297297293</v>
      </c>
      <c r="W144" s="22">
        <v>0.75201513406810339</v>
      </c>
      <c r="X144" s="22">
        <v>1.642972972972973</v>
      </c>
      <c r="Y144" s="14">
        <f t="shared" ca="1" si="42"/>
        <v>-1.044176659582672</v>
      </c>
      <c r="Z144" s="14">
        <f t="shared" ca="1" si="43"/>
        <v>-0.81304332802089452</v>
      </c>
      <c r="AA144" s="14">
        <f t="shared" ca="1" si="44"/>
        <v>-0.19059755541350826</v>
      </c>
      <c r="AB144" s="14">
        <f t="shared" ca="1" si="45"/>
        <v>-1.0524343240509992</v>
      </c>
      <c r="AC144" s="14">
        <f t="shared" ca="1" si="46"/>
        <v>0.49650307906453733</v>
      </c>
      <c r="AD144" s="14">
        <f t="shared" ca="1" si="47"/>
        <v>0.12872318005552727</v>
      </c>
      <c r="AE144" s="14">
        <f ca="1">U$4*AO144</f>
        <v>0.13450400949111427</v>
      </c>
      <c r="AF144" s="15">
        <f ca="1">AP144*W$4</f>
        <v>-0.2837024160903569</v>
      </c>
      <c r="AG144" s="12">
        <f t="shared" ca="1" si="48"/>
        <v>-2.6242240145472522</v>
      </c>
      <c r="AH144" s="14">
        <f t="shared" ca="1" si="49"/>
        <v>-0.86294296580023033</v>
      </c>
      <c r="AI144" s="14">
        <f t="shared" ca="1" si="50"/>
        <v>-1.044176659582672</v>
      </c>
      <c r="AJ144" s="14">
        <f t="shared" ca="1" si="51"/>
        <v>-0.81304332802089452</v>
      </c>
      <c r="AK144" s="14">
        <f t="shared" ca="1" si="52"/>
        <v>-0.19059755541350826</v>
      </c>
      <c r="AL144" s="14">
        <f t="shared" ca="1" si="53"/>
        <v>-1.0524343240509992</v>
      </c>
      <c r="AM144" s="14">
        <f t="shared" ca="1" si="54"/>
        <v>0.49650307906453733</v>
      </c>
      <c r="AN144" s="14">
        <f t="shared" ca="1" si="55"/>
        <v>0.12872318005552727</v>
      </c>
      <c r="AO144" s="14">
        <f t="shared" ca="1" si="57"/>
        <v>0.13450400949111427</v>
      </c>
      <c r="AP144" s="14">
        <f ca="1">(AV144-$AP$3)/$AP$4</f>
        <v>-0.2837024160903569</v>
      </c>
      <c r="AQ144" s="22">
        <f t="shared" si="58"/>
        <v>3.9964864864864866</v>
      </c>
      <c r="AR144" s="22">
        <f t="shared" si="59"/>
        <v>1.2355405405405406</v>
      </c>
      <c r="AS144" s="22">
        <f ca="1">(U144-AS$3)</f>
        <v>1.0527787039100234E-2</v>
      </c>
      <c r="AT144" s="22">
        <f ca="1">(W144-AT$3)</f>
        <v>-4.8087557672011783E-2</v>
      </c>
      <c r="AU144" s="11">
        <f ca="1">AS144*V144</f>
        <v>8.6482925178360009E-2</v>
      </c>
      <c r="AV144" s="11">
        <f ca="1">AT144*X144</f>
        <v>-7.9006557591394494E-2</v>
      </c>
    </row>
    <row r="145" spans="1:48">
      <c r="A145">
        <v>140</v>
      </c>
      <c r="B145" s="27" t="str">
        <f t="shared" si="56"/>
        <v>Mo Bamba</v>
      </c>
      <c r="C145" s="21">
        <v>1.0586282357950765</v>
      </c>
      <c r="D145" s="12">
        <f t="shared" ca="1" si="40"/>
        <v>0.74467224827800238</v>
      </c>
      <c r="E145" s="12">
        <f t="shared" ca="1" si="41"/>
        <v>0.74467224827800238</v>
      </c>
      <c r="F145" s="29">
        <f ca="1">SUM(AI145:AN145,AP145,AO145)+$A$4</f>
        <v>0.13928755311275687</v>
      </c>
      <c r="G145" s="29">
        <f ca="1">SUM(Y145:AF145)+$A$4</f>
        <v>0.13928755311275687</v>
      </c>
      <c r="H145" s="10">
        <v>1</v>
      </c>
      <c r="I145" s="10">
        <v>0</v>
      </c>
      <c r="J145" t="e">
        <f>VLOOKUP(N145,Schedule!#REF!,2,0)</f>
        <v>#REF!</v>
      </c>
      <c r="K145" s="17">
        <v>140</v>
      </c>
      <c r="L145" s="17" t="s">
        <v>202</v>
      </c>
      <c r="M145" s="17" t="s">
        <v>22</v>
      </c>
      <c r="N145" s="17" t="s">
        <v>120</v>
      </c>
      <c r="O145" s="22">
        <v>9.7120634920634927</v>
      </c>
      <c r="P145" s="22">
        <v>1.0455555555555556</v>
      </c>
      <c r="Q145" s="22">
        <v>7.6755555555555564</v>
      </c>
      <c r="R145" s="22">
        <v>1.1155555555555556</v>
      </c>
      <c r="S145" s="22">
        <v>0.44619047619047619</v>
      </c>
      <c r="T145" s="22">
        <v>1.8296825396825396</v>
      </c>
      <c r="U145" s="22">
        <v>0.47036236131040204</v>
      </c>
      <c r="V145" s="22">
        <v>7.8541269841269834</v>
      </c>
      <c r="W145" s="22">
        <v>0.67797894736842113</v>
      </c>
      <c r="X145" s="22">
        <v>1.8849206349206349</v>
      </c>
      <c r="Y145" s="14">
        <f t="shared" ca="1" si="42"/>
        <v>-1.1175033635767142</v>
      </c>
      <c r="Z145" s="14">
        <f t="shared" ca="1" si="43"/>
        <v>-0.67373492691741865</v>
      </c>
      <c r="AA145" s="14">
        <f t="shared" ca="1" si="44"/>
        <v>0.82256219237110795</v>
      </c>
      <c r="AB145" s="14">
        <f t="shared" ca="1" si="45"/>
        <v>-1.1945598053650446</v>
      </c>
      <c r="AC145" s="14">
        <f t="shared" ca="1" si="46"/>
        <v>-1.7338780043635857</v>
      </c>
      <c r="AD145" s="14">
        <f t="shared" ca="1" si="47"/>
        <v>2.1315532840922535</v>
      </c>
      <c r="AE145" s="14">
        <f ca="1">U$4*AO145</f>
        <v>-6.8556249656757412E-2</v>
      </c>
      <c r="AF145" s="15">
        <f ca="1">AP145*W$4</f>
        <v>-0.82659557347108392</v>
      </c>
      <c r="AG145" s="12">
        <f t="shared" ca="1" si="48"/>
        <v>-2.660712446887243</v>
      </c>
      <c r="AH145" s="14">
        <f t="shared" ca="1" si="49"/>
        <v>-0.8749417265181888</v>
      </c>
      <c r="AI145" s="14">
        <f t="shared" ca="1" si="50"/>
        <v>-1.1175033635767142</v>
      </c>
      <c r="AJ145" s="14">
        <f t="shared" ca="1" si="51"/>
        <v>-0.67373492691741865</v>
      </c>
      <c r="AK145" s="14">
        <f t="shared" ca="1" si="52"/>
        <v>0.82256219237110795</v>
      </c>
      <c r="AL145" s="14">
        <f t="shared" ca="1" si="53"/>
        <v>-1.1945598053650446</v>
      </c>
      <c r="AM145" s="14">
        <f t="shared" ca="1" si="54"/>
        <v>-1.7338780043635857</v>
      </c>
      <c r="AN145" s="14">
        <f t="shared" ca="1" si="55"/>
        <v>2.1315532840922535</v>
      </c>
      <c r="AO145" s="14">
        <f t="shared" ca="1" si="57"/>
        <v>-6.8556249656757412E-2</v>
      </c>
      <c r="AP145" s="14">
        <f ca="1">(AV145-$AP$3)/$AP$4</f>
        <v>-0.82659557347108392</v>
      </c>
      <c r="AQ145" s="22">
        <f t="shared" si="58"/>
        <v>3.6942857142857144</v>
      </c>
      <c r="AR145" s="22">
        <f t="shared" si="59"/>
        <v>1.2779365079365081</v>
      </c>
      <c r="AS145" s="22">
        <f ca="1">(U145-AS$3)</f>
        <v>-5.6123438777099244E-3</v>
      </c>
      <c r="AT145" s="22">
        <f ca="1">(W145-AT$3)</f>
        <v>-0.12212374437169404</v>
      </c>
      <c r="AU145" s="11">
        <f ca="1">AS145*V145</f>
        <v>-4.4080061494121386E-2</v>
      </c>
      <c r="AV145" s="11">
        <f ca="1">AT145*X145</f>
        <v>-0.23019356577997885</v>
      </c>
    </row>
    <row r="146" spans="1:48">
      <c r="A146">
        <v>141</v>
      </c>
      <c r="B146" s="27" t="str">
        <f t="shared" si="56"/>
        <v>Eric Bledsoe</v>
      </c>
      <c r="C146" s="21">
        <v>1</v>
      </c>
      <c r="D146" s="12">
        <f t="shared" ca="1" si="40"/>
        <v>-0.20133373345792446</v>
      </c>
      <c r="E146" s="12">
        <f t="shared" ca="1" si="41"/>
        <v>-0.20133373345792446</v>
      </c>
      <c r="F146" s="29">
        <f ca="1">SUM(AI146:AN146,AP146,AO146)+$A$4</f>
        <v>-3.7658558053235147E-2</v>
      </c>
      <c r="G146" s="29">
        <f ca="1">SUM(Y146:AF146)+$A$4</f>
        <v>-3.7658558053235147E-2</v>
      </c>
      <c r="H146" s="10">
        <v>1</v>
      </c>
      <c r="I146" s="10">
        <v>0</v>
      </c>
      <c r="J146" t="e">
        <f>VLOOKUP(N146,Schedule!#REF!,2,0)</f>
        <v>#REF!</v>
      </c>
      <c r="K146" s="17">
        <v>141</v>
      </c>
      <c r="L146" s="17" t="s">
        <v>203</v>
      </c>
      <c r="M146" s="17" t="s">
        <v>25</v>
      </c>
      <c r="N146" s="17" t="s">
        <v>49</v>
      </c>
      <c r="O146" s="22">
        <v>13.520133333333334</v>
      </c>
      <c r="P146" s="22">
        <v>1.7910666666666668</v>
      </c>
      <c r="Q146" s="22">
        <v>3.4030666666666667</v>
      </c>
      <c r="R146" s="22">
        <v>4.7644000000000002</v>
      </c>
      <c r="S146" s="22">
        <v>0.99</v>
      </c>
      <c r="T146" s="22">
        <v>0.30933333333333335</v>
      </c>
      <c r="U146" s="22">
        <v>0.42958218604094345</v>
      </c>
      <c r="V146" s="22">
        <v>11.137333333333332</v>
      </c>
      <c r="W146" s="22">
        <v>0.7460171286490469</v>
      </c>
      <c r="X146" s="22">
        <v>2.8957333333333333</v>
      </c>
      <c r="Y146" s="14">
        <f t="shared" ca="1" si="42"/>
        <v>-0.45537442285067681</v>
      </c>
      <c r="Z146" s="14">
        <f t="shared" ca="1" si="43"/>
        <v>6.6584777195255976E-2</v>
      </c>
      <c r="AA146" s="14">
        <f t="shared" ca="1" si="44"/>
        <v>-0.96355821600199498</v>
      </c>
      <c r="AB146" s="14">
        <f t="shared" ca="1" si="45"/>
        <v>0.54278150628431787</v>
      </c>
      <c r="AC146" s="14">
        <f t="shared" ca="1" si="46"/>
        <v>2.4631801116830289E-3</v>
      </c>
      <c r="AD146" s="14">
        <f t="shared" ca="1" si="47"/>
        <v>-0.66457340690107591</v>
      </c>
      <c r="AE146" s="14">
        <f ca="1">U$4*AO146</f>
        <v>-0.80358909322276184</v>
      </c>
      <c r="AF146" s="15">
        <f ca="1">AP146*W$4</f>
        <v>-0.56239288266798249</v>
      </c>
      <c r="AG146" s="12">
        <f t="shared" ca="1" si="48"/>
        <v>-2.837658558053235</v>
      </c>
      <c r="AH146" s="14">
        <f t="shared" ca="1" si="49"/>
        <v>-0.9331282232158582</v>
      </c>
      <c r="AI146" s="14">
        <f t="shared" ca="1" si="50"/>
        <v>-0.45537442285067681</v>
      </c>
      <c r="AJ146" s="14">
        <f t="shared" ca="1" si="51"/>
        <v>6.6584777195255976E-2</v>
      </c>
      <c r="AK146" s="14">
        <f t="shared" ca="1" si="52"/>
        <v>-0.96355821600199498</v>
      </c>
      <c r="AL146" s="14">
        <f t="shared" ca="1" si="53"/>
        <v>0.54278150628431787</v>
      </c>
      <c r="AM146" s="14">
        <f t="shared" ca="1" si="54"/>
        <v>2.4631801116830289E-3</v>
      </c>
      <c r="AN146" s="14">
        <f t="shared" ca="1" si="55"/>
        <v>-0.66457340690107591</v>
      </c>
      <c r="AO146" s="14">
        <f t="shared" ca="1" si="57"/>
        <v>-0.80358909322276184</v>
      </c>
      <c r="AP146" s="14">
        <f ca="1">(AV146-$AP$3)/$AP$4</f>
        <v>-0.56239288266798249</v>
      </c>
      <c r="AQ146" s="22">
        <f t="shared" si="58"/>
        <v>4.7844000000000007</v>
      </c>
      <c r="AR146" s="22">
        <f t="shared" si="59"/>
        <v>2.1602666666666668</v>
      </c>
      <c r="AS146" s="22">
        <f ca="1">(U146-AS$3)</f>
        <v>-4.6392519147168521E-2</v>
      </c>
      <c r="AT146" s="22">
        <f ca="1">(W146-AT$3)</f>
        <v>-5.4085563091068267E-2</v>
      </c>
      <c r="AU146" s="11">
        <f ca="1">AS146*V146</f>
        <v>-0.51668894991506487</v>
      </c>
      <c r="AV146" s="11">
        <f ca="1">AT146*X146</f>
        <v>-0.1566173678949094</v>
      </c>
    </row>
    <row r="147" spans="1:48">
      <c r="A147">
        <v>142</v>
      </c>
      <c r="B147" s="27" t="str">
        <f t="shared" si="56"/>
        <v>Ivica Zubac</v>
      </c>
      <c r="C147" s="21">
        <v>1</v>
      </c>
      <c r="D147" s="12">
        <f t="shared" ca="1" si="40"/>
        <v>0.60452683621584868</v>
      </c>
      <c r="E147" s="12">
        <f t="shared" ca="1" si="41"/>
        <v>0.60452683621584868</v>
      </c>
      <c r="F147" s="29">
        <f ca="1">SUM(AI147:AN147,AP147,AO147)+$A$4</f>
        <v>0.11307399195043866</v>
      </c>
      <c r="G147" s="29">
        <f ca="1">SUM(Y147:AF147)+$A$4</f>
        <v>0.11307399195043866</v>
      </c>
      <c r="H147" s="10">
        <v>1</v>
      </c>
      <c r="I147" s="10">
        <v>0</v>
      </c>
      <c r="J147" t="e">
        <f>VLOOKUP(N147,Schedule!#REF!,2,0)</f>
        <v>#REF!</v>
      </c>
      <c r="K147" s="17">
        <v>142</v>
      </c>
      <c r="L147" s="17" t="s">
        <v>204</v>
      </c>
      <c r="M147" s="17" t="s">
        <v>22</v>
      </c>
      <c r="N147" s="17" t="s">
        <v>49</v>
      </c>
      <c r="O147" s="22">
        <v>10.376625000000001</v>
      </c>
      <c r="P147" s="22">
        <v>0</v>
      </c>
      <c r="Q147" s="22">
        <v>8.0952500000000001</v>
      </c>
      <c r="R147" s="22">
        <v>1.4437500000000001</v>
      </c>
      <c r="S147" s="22">
        <v>0.360875</v>
      </c>
      <c r="T147" s="22">
        <v>0.97962500000000008</v>
      </c>
      <c r="U147" s="22">
        <v>0.65300097751710651</v>
      </c>
      <c r="V147" s="22">
        <v>6.3937499999999998</v>
      </c>
      <c r="W147" s="22">
        <v>0.77301988460254645</v>
      </c>
      <c r="X147" s="22">
        <v>2.621375</v>
      </c>
      <c r="Y147" s="14">
        <f t="shared" ca="1" si="42"/>
        <v>-1.0019525922834631</v>
      </c>
      <c r="Z147" s="14">
        <f t="shared" ca="1" si="43"/>
        <v>-1.7120096997355103</v>
      </c>
      <c r="AA147" s="14">
        <f t="shared" ca="1" si="44"/>
        <v>0.99801608634202488</v>
      </c>
      <c r="AB147" s="14">
        <f t="shared" ca="1" si="45"/>
        <v>-1.0382950549026666</v>
      </c>
      <c r="AC147" s="14">
        <f t="shared" ca="1" si="46"/>
        <v>-2.0062836326153812</v>
      </c>
      <c r="AD147" s="14">
        <f t="shared" ca="1" si="47"/>
        <v>0.5681831283015244</v>
      </c>
      <c r="AE147" s="14">
        <f ca="1">U$4*AO147</f>
        <v>1.7603468012465027</v>
      </c>
      <c r="AF147" s="15">
        <f ca="1">AP147*W$4</f>
        <v>-0.25493104440259179</v>
      </c>
      <c r="AG147" s="12">
        <f t="shared" ca="1" si="48"/>
        <v>-2.6869260080495612</v>
      </c>
      <c r="AH147" s="14">
        <f t="shared" ca="1" si="49"/>
        <v>-0.8835617254543312</v>
      </c>
      <c r="AI147" s="14">
        <f t="shared" ca="1" si="50"/>
        <v>-1.0019525922834631</v>
      </c>
      <c r="AJ147" s="14">
        <f t="shared" ca="1" si="51"/>
        <v>-1.7120096997355103</v>
      </c>
      <c r="AK147" s="14">
        <f t="shared" ca="1" si="52"/>
        <v>0.99801608634202488</v>
      </c>
      <c r="AL147" s="14">
        <f t="shared" ca="1" si="53"/>
        <v>-1.0382950549026666</v>
      </c>
      <c r="AM147" s="14">
        <f t="shared" ca="1" si="54"/>
        <v>-2.0062836326153812</v>
      </c>
      <c r="AN147" s="14">
        <f t="shared" ca="1" si="55"/>
        <v>0.5681831283015244</v>
      </c>
      <c r="AO147" s="14">
        <f t="shared" ca="1" si="57"/>
        <v>1.7603468012465027</v>
      </c>
      <c r="AP147" s="14">
        <f ca="1">(AV147-$AP$3)/$AP$4</f>
        <v>-0.25493104440259179</v>
      </c>
      <c r="AQ147" s="22">
        <f t="shared" si="58"/>
        <v>4.1751249999999995</v>
      </c>
      <c r="AR147" s="22">
        <f t="shared" si="59"/>
        <v>2.0263750000000003</v>
      </c>
      <c r="AS147" s="22">
        <f ca="1">(U147-AS$3)</f>
        <v>0.17702627232899454</v>
      </c>
      <c r="AT147" s="22">
        <f ca="1">(W147-AT$3)</f>
        <v>-2.7082807137568721E-2</v>
      </c>
      <c r="AU147" s="11">
        <f ca="1">AS147*V147</f>
        <v>1.1318617287035089</v>
      </c>
      <c r="AV147" s="11">
        <f ca="1">AT147*X147</f>
        <v>-7.0994193560244209E-2</v>
      </c>
    </row>
    <row r="148" spans="1:48">
      <c r="A148">
        <v>143</v>
      </c>
      <c r="B148" s="27" t="str">
        <f t="shared" si="56"/>
        <v>Dennis Schroder</v>
      </c>
      <c r="C148" s="21">
        <v>1</v>
      </c>
      <c r="D148" s="12">
        <f t="shared" ca="1" si="40"/>
        <v>-1.295362905553487</v>
      </c>
      <c r="E148" s="12">
        <f t="shared" ca="1" si="41"/>
        <v>-1.295362905553487</v>
      </c>
      <c r="F148" s="29">
        <f ca="1">SUM(AI148:AN148,AP148,AO148)+$A$4</f>
        <v>-0.24229173293996409</v>
      </c>
      <c r="G148" s="29">
        <f ca="1">SUM(Y148:AF148)+$A$4</f>
        <v>-0.24229173293996409</v>
      </c>
      <c r="H148" s="10">
        <v>1</v>
      </c>
      <c r="I148" s="10">
        <v>0</v>
      </c>
      <c r="J148" t="e">
        <f>VLOOKUP(N148,Schedule!#REF!,2,0)</f>
        <v>#REF!</v>
      </c>
      <c r="K148" s="17">
        <v>143</v>
      </c>
      <c r="L148" s="17" t="s">
        <v>205</v>
      </c>
      <c r="M148" s="17" t="s">
        <v>28</v>
      </c>
      <c r="N148" s="17" t="s">
        <v>42</v>
      </c>
      <c r="O148" s="22">
        <v>13.827027027027025</v>
      </c>
      <c r="P148" s="22">
        <v>1.194864864864865</v>
      </c>
      <c r="Q148" s="22">
        <v>3.0510810810810809</v>
      </c>
      <c r="R148" s="22">
        <v>4.51554054054054</v>
      </c>
      <c r="S148" s="22">
        <v>0.79324324324324325</v>
      </c>
      <c r="T148" s="22">
        <v>0.18310810810810813</v>
      </c>
      <c r="U148" s="22">
        <v>0.44962910926691041</v>
      </c>
      <c r="V148" s="22">
        <v>11.349594594594594</v>
      </c>
      <c r="W148" s="22">
        <v>0.85497928275467927</v>
      </c>
      <c r="X148" s="22">
        <v>2.8374324324324323</v>
      </c>
      <c r="Y148" s="14">
        <f t="shared" ca="1" si="42"/>
        <v>-0.40201321762311076</v>
      </c>
      <c r="Z148" s="14">
        <f t="shared" ca="1" si="43"/>
        <v>-0.52546534106994314</v>
      </c>
      <c r="AA148" s="14">
        <f t="shared" ca="1" si="44"/>
        <v>-1.1107063196524343</v>
      </c>
      <c r="AB148" s="14">
        <f t="shared" ca="1" si="45"/>
        <v>0.42429089198259529</v>
      </c>
      <c r="AC148" s="14">
        <f t="shared" ca="1" si="46"/>
        <v>-0.62576572196286384</v>
      </c>
      <c r="AD148" s="14">
        <f t="shared" ca="1" si="47"/>
        <v>-0.89671857450793824</v>
      </c>
      <c r="AE148" s="14">
        <f ca="1">U$4*AO148</f>
        <v>-0.46504313248806489</v>
      </c>
      <c r="AF148" s="15">
        <f ca="1">AP148*W$4</f>
        <v>0.55912968238179606</v>
      </c>
      <c r="AG148" s="12">
        <f t="shared" ca="1" si="48"/>
        <v>-3.0422917329399639</v>
      </c>
      <c r="AH148" s="14">
        <f t="shared" ca="1" si="49"/>
        <v>-1.0004192615795695</v>
      </c>
      <c r="AI148" s="14">
        <f t="shared" ca="1" si="50"/>
        <v>-0.40201321762311076</v>
      </c>
      <c r="AJ148" s="14">
        <f t="shared" ca="1" si="51"/>
        <v>-0.52546534106994314</v>
      </c>
      <c r="AK148" s="14">
        <f t="shared" ca="1" si="52"/>
        <v>-1.1107063196524343</v>
      </c>
      <c r="AL148" s="14">
        <f t="shared" ca="1" si="53"/>
        <v>0.42429089198259529</v>
      </c>
      <c r="AM148" s="14">
        <f t="shared" ca="1" si="54"/>
        <v>-0.62576572196286384</v>
      </c>
      <c r="AN148" s="14">
        <f t="shared" ca="1" si="55"/>
        <v>-0.89671857450793824</v>
      </c>
      <c r="AO148" s="14">
        <f t="shared" ca="1" si="57"/>
        <v>-0.46504313248806489</v>
      </c>
      <c r="AP148" s="14">
        <f ca="1">(AV148-$AP$3)/$AP$4</f>
        <v>0.55912968238179606</v>
      </c>
      <c r="AQ148" s="22">
        <f t="shared" si="58"/>
        <v>5.103108108108108</v>
      </c>
      <c r="AR148" s="22">
        <f t="shared" si="59"/>
        <v>2.425945945945946</v>
      </c>
      <c r="AS148" s="22">
        <f ca="1">(U148-AS$3)</f>
        <v>-2.6345595921201559E-2</v>
      </c>
      <c r="AT148" s="22">
        <f ca="1">(W148-AT$3)</f>
        <v>5.4876591014564102E-2</v>
      </c>
      <c r="AU148" s="11">
        <f ca="1">AS148*V148</f>
        <v>-0.2990118330586426</v>
      </c>
      <c r="AV148" s="11">
        <f ca="1">AT148*X148</f>
        <v>0.15570861912605438</v>
      </c>
    </row>
    <row r="149" spans="1:48">
      <c r="A149">
        <v>144</v>
      </c>
      <c r="B149" s="27" t="str">
        <f t="shared" si="56"/>
        <v>Tim Hardaway Jr.</v>
      </c>
      <c r="C149" s="21">
        <v>1</v>
      </c>
      <c r="D149" s="12">
        <f t="shared" ca="1" si="40"/>
        <v>-0.19271294436850306</v>
      </c>
      <c r="E149" s="12">
        <f t="shared" ca="1" si="41"/>
        <v>-0.19271294436850306</v>
      </c>
      <c r="F149" s="29">
        <f ca="1">SUM(AI149:AN149,AP149,AO149)+$A$4</f>
        <v>-3.6046078709546236E-2</v>
      </c>
      <c r="G149" s="29">
        <f ca="1">SUM(Y149:AF149)+$A$4</f>
        <v>-3.6046078709546236E-2</v>
      </c>
      <c r="H149" s="10">
        <v>1</v>
      </c>
      <c r="I149" s="10">
        <v>0</v>
      </c>
      <c r="J149" t="e">
        <f>VLOOKUP(N149,Schedule!#REF!,2,0)</f>
        <v>#REF!</v>
      </c>
      <c r="K149" s="17">
        <v>144</v>
      </c>
      <c r="L149" s="17" t="s">
        <v>206</v>
      </c>
      <c r="M149" s="17" t="s">
        <v>48</v>
      </c>
      <c r="N149" s="17" t="s">
        <v>51</v>
      </c>
      <c r="O149" s="22">
        <v>18.460389610389612</v>
      </c>
      <c r="P149" s="22">
        <v>3.265974025974026</v>
      </c>
      <c r="Q149" s="22">
        <v>3.6002597402597405</v>
      </c>
      <c r="R149" s="22">
        <v>2.0136363636363637</v>
      </c>
      <c r="S149" s="22">
        <v>0.42714285714285716</v>
      </c>
      <c r="T149" s="22">
        <v>0.12207792207792208</v>
      </c>
      <c r="U149" s="22">
        <v>0.44647805690894926</v>
      </c>
      <c r="V149" s="22">
        <v>14.340519480519481</v>
      </c>
      <c r="W149" s="22">
        <v>0.83299370556536689</v>
      </c>
      <c r="X149" s="22">
        <v>2.8679220779220782</v>
      </c>
      <c r="Y149" s="14">
        <f t="shared" ca="1" si="42"/>
        <v>0.40361367137809184</v>
      </c>
      <c r="Z149" s="14">
        <f t="shared" ca="1" si="43"/>
        <v>1.5312215392264161</v>
      </c>
      <c r="AA149" s="14">
        <f t="shared" ca="1" si="44"/>
        <v>-0.88112135489034338</v>
      </c>
      <c r="AB149" s="14">
        <f t="shared" ca="1" si="45"/>
        <v>-0.76695240449219371</v>
      </c>
      <c r="AC149" s="14">
        <f t="shared" ca="1" si="46"/>
        <v>-1.7946955589861868</v>
      </c>
      <c r="AD149" s="14">
        <f t="shared" ca="1" si="47"/>
        <v>-1.0089612957213536</v>
      </c>
      <c r="AE149" s="14">
        <f ca="1">U$4*AO149</f>
        <v>-0.65787353118005609</v>
      </c>
      <c r="AF149" s="15">
        <f ca="1">AP149*W$4</f>
        <v>0.33872285595607893</v>
      </c>
      <c r="AG149" s="12">
        <f t="shared" ca="1" si="48"/>
        <v>-2.8360460787095461</v>
      </c>
      <c r="AH149" s="14">
        <f t="shared" ca="1" si="49"/>
        <v>-0.9325979797231454</v>
      </c>
      <c r="AI149" s="14">
        <f t="shared" ca="1" si="50"/>
        <v>0.40361367137809184</v>
      </c>
      <c r="AJ149" s="14">
        <f t="shared" ca="1" si="51"/>
        <v>1.5312215392264161</v>
      </c>
      <c r="AK149" s="14">
        <f t="shared" ca="1" si="52"/>
        <v>-0.88112135489034338</v>
      </c>
      <c r="AL149" s="14">
        <f t="shared" ca="1" si="53"/>
        <v>-0.76695240449219371</v>
      </c>
      <c r="AM149" s="14">
        <f t="shared" ca="1" si="54"/>
        <v>-1.7946955589861868</v>
      </c>
      <c r="AN149" s="14">
        <f t="shared" ca="1" si="55"/>
        <v>-1.0089612957213536</v>
      </c>
      <c r="AO149" s="14">
        <f t="shared" ca="1" si="57"/>
        <v>-0.65787353118005609</v>
      </c>
      <c r="AP149" s="14">
        <f ca="1">(AV149-$AP$3)/$AP$4</f>
        <v>0.33872285595607893</v>
      </c>
      <c r="AQ149" s="22">
        <f t="shared" si="58"/>
        <v>6.4027272727272724</v>
      </c>
      <c r="AR149" s="22">
        <f t="shared" si="59"/>
        <v>2.388961038961039</v>
      </c>
      <c r="AS149" s="22">
        <f ca="1">(U149-AS$3)</f>
        <v>-2.9496648279162707E-2</v>
      </c>
      <c r="AT149" s="22">
        <f ca="1">(W149-AT$3)</f>
        <v>3.2891013825251725E-2</v>
      </c>
      <c r="AU149" s="11">
        <f ca="1">AS149*V149</f>
        <v>-0.4229972592573642</v>
      </c>
      <c r="AV149" s="11">
        <f ca="1">AT149*X149</f>
        <v>9.432886471467973E-2</v>
      </c>
    </row>
    <row r="150" spans="1:48">
      <c r="A150">
        <v>145</v>
      </c>
      <c r="B150" s="27" t="str">
        <f t="shared" si="56"/>
        <v>Keldon Johnson</v>
      </c>
      <c r="C150" s="21">
        <v>1</v>
      </c>
      <c r="D150" s="12">
        <f t="shared" ca="1" si="40"/>
        <v>-2.7443586038754351</v>
      </c>
      <c r="E150" s="12">
        <f t="shared" ca="1" si="41"/>
        <v>-2.7443586038754351</v>
      </c>
      <c r="F150" s="29">
        <f ca="1">SUM(AI150:AN150,AP150,AO150)+$A$4</f>
        <v>-0.51331978018744007</v>
      </c>
      <c r="G150" s="29">
        <f ca="1">SUM(Y150:AF150)+$A$4</f>
        <v>-0.51331978018744007</v>
      </c>
      <c r="H150" s="10">
        <v>1</v>
      </c>
      <c r="I150" s="10">
        <v>0</v>
      </c>
      <c r="J150" t="e">
        <f>VLOOKUP(N150,Schedule!#REF!,2,0)</f>
        <v>#REF!</v>
      </c>
      <c r="K150" s="17">
        <v>145</v>
      </c>
      <c r="L150" s="17" t="s">
        <v>207</v>
      </c>
      <c r="M150" s="17" t="s">
        <v>33</v>
      </c>
      <c r="N150" s="17" t="s">
        <v>108</v>
      </c>
      <c r="O150" s="22">
        <v>16.903116883116883</v>
      </c>
      <c r="P150" s="22">
        <v>1.107012987012987</v>
      </c>
      <c r="Q150" s="22">
        <v>6.4640259740259731</v>
      </c>
      <c r="R150" s="22">
        <v>2.2219480519480519</v>
      </c>
      <c r="S150" s="22">
        <v>0.60597402597402594</v>
      </c>
      <c r="T150" s="22">
        <v>0.33662337662337666</v>
      </c>
      <c r="U150" s="22">
        <v>0.49869340688968627</v>
      </c>
      <c r="V150" s="22">
        <v>12.523896103896103</v>
      </c>
      <c r="W150" s="22">
        <v>0.73301264510182329</v>
      </c>
      <c r="X150" s="22">
        <v>4.5087012987012987</v>
      </c>
      <c r="Y150" s="14">
        <f t="shared" ca="1" si="42"/>
        <v>0.1328425499674607</v>
      </c>
      <c r="Z150" s="14">
        <f t="shared" ca="1" si="43"/>
        <v>-0.61270545761242057</v>
      </c>
      <c r="AA150" s="14">
        <f t="shared" ca="1" si="44"/>
        <v>0.31608042794913632</v>
      </c>
      <c r="AB150" s="14">
        <f t="shared" ca="1" si="45"/>
        <v>-0.66776798944968718</v>
      </c>
      <c r="AC150" s="14">
        <f t="shared" ca="1" si="46"/>
        <v>-1.2237016541089911</v>
      </c>
      <c r="AD150" s="14">
        <f t="shared" ca="1" si="47"/>
        <v>-0.61438334653666327</v>
      </c>
      <c r="AE150" s="14">
        <f ca="1">U$4*AO150</f>
        <v>0.44251482545628495</v>
      </c>
      <c r="AF150" s="15">
        <f ca="1">AP150*W$4</f>
        <v>-1.0861991358525589</v>
      </c>
      <c r="AG150" s="12">
        <f t="shared" ca="1" si="48"/>
        <v>-3.3133197801874399</v>
      </c>
      <c r="AH150" s="14">
        <f t="shared" ca="1" si="49"/>
        <v>-1.0895434162288185</v>
      </c>
      <c r="AI150" s="14">
        <f t="shared" ca="1" si="50"/>
        <v>0.1328425499674607</v>
      </c>
      <c r="AJ150" s="14">
        <f t="shared" ca="1" si="51"/>
        <v>-0.61270545761242057</v>
      </c>
      <c r="AK150" s="14">
        <f t="shared" ca="1" si="52"/>
        <v>0.31608042794913632</v>
      </c>
      <c r="AL150" s="14">
        <f t="shared" ca="1" si="53"/>
        <v>-0.66776798944968718</v>
      </c>
      <c r="AM150" s="14">
        <f t="shared" ca="1" si="54"/>
        <v>-1.2237016541089911</v>
      </c>
      <c r="AN150" s="14">
        <f t="shared" ca="1" si="55"/>
        <v>-0.61438334653666327</v>
      </c>
      <c r="AO150" s="14">
        <f t="shared" ca="1" si="57"/>
        <v>0.44251482545628495</v>
      </c>
      <c r="AP150" s="14">
        <f ca="1">(AV150-$AP$3)/$AP$4</f>
        <v>-1.0861991358525589</v>
      </c>
      <c r="AQ150" s="22">
        <f t="shared" si="58"/>
        <v>6.2455844155844158</v>
      </c>
      <c r="AR150" s="22">
        <f t="shared" si="59"/>
        <v>3.3049350649350648</v>
      </c>
      <c r="AS150" s="22">
        <f ca="1">(U150-AS$3)</f>
        <v>2.2718701701574306E-2</v>
      </c>
      <c r="AT150" s="22">
        <f ca="1">(W150-AT$3)</f>
        <v>-6.7090046638291878E-2</v>
      </c>
      <c r="AU150" s="11">
        <f ca="1">AS150*V150</f>
        <v>0.28452665972592422</v>
      </c>
      <c r="AV150" s="11">
        <f ca="1">AT150*X150</f>
        <v>-0.30248898040799727</v>
      </c>
    </row>
    <row r="151" spans="1:48">
      <c r="A151">
        <v>146</v>
      </c>
      <c r="B151" s="27" t="str">
        <f t="shared" si="56"/>
        <v>Kyle Kuzma</v>
      </c>
      <c r="C151" s="21">
        <v>1</v>
      </c>
      <c r="D151" s="12">
        <f t="shared" ca="1" si="40"/>
        <v>-4.4280547957451475</v>
      </c>
      <c r="E151" s="12">
        <f t="shared" ca="1" si="41"/>
        <v>-4.4280547957451475</v>
      </c>
      <c r="F151" s="29">
        <f ca="1">SUM(AI151:AN151,AP151,AO151)+$A$4</f>
        <v>-0.82824748602461051</v>
      </c>
      <c r="G151" s="29">
        <f ca="1">SUM(Y151:AF151)+$A$4</f>
        <v>-0.82824748602461051</v>
      </c>
      <c r="H151" s="10">
        <v>1</v>
      </c>
      <c r="I151" s="10">
        <v>0</v>
      </c>
      <c r="J151" t="e">
        <f>VLOOKUP(N151,Schedule!#REF!,2,0)</f>
        <v>#REF!</v>
      </c>
      <c r="K151" s="17">
        <v>146</v>
      </c>
      <c r="L151" s="17" t="s">
        <v>208</v>
      </c>
      <c r="M151" s="17" t="s">
        <v>33</v>
      </c>
      <c r="N151" s="17" t="s">
        <v>40</v>
      </c>
      <c r="O151" s="22">
        <v>12.802727272727273</v>
      </c>
      <c r="P151" s="22">
        <v>1.9209090909090909</v>
      </c>
      <c r="Q151" s="22">
        <v>5.9412987012987015</v>
      </c>
      <c r="R151" s="22">
        <v>2.2662337662337664</v>
      </c>
      <c r="S151" s="22">
        <v>0.55129870129870129</v>
      </c>
      <c r="T151" s="22">
        <v>0.55129870129870129</v>
      </c>
      <c r="U151" s="22">
        <v>0.43978967753005921</v>
      </c>
      <c r="V151" s="22">
        <v>10.595974025974026</v>
      </c>
      <c r="W151" s="22">
        <v>0.73697757078073289</v>
      </c>
      <c r="X151" s="22">
        <v>2.1192207792207793</v>
      </c>
      <c r="Y151" s="14">
        <f t="shared" ca="1" si="42"/>
        <v>-0.58011355180035273</v>
      </c>
      <c r="Z151" s="14">
        <f t="shared" ca="1" si="43"/>
        <v>0.1955230366843185</v>
      </c>
      <c r="AA151" s="14">
        <f t="shared" ca="1" si="44"/>
        <v>9.7553505091719561E-2</v>
      </c>
      <c r="AB151" s="14">
        <f t="shared" ca="1" si="45"/>
        <v>-0.64668202590262058</v>
      </c>
      <c r="AC151" s="14">
        <f t="shared" ca="1" si="46"/>
        <v>-1.3982756802188672</v>
      </c>
      <c r="AD151" s="14">
        <f t="shared" ca="1" si="47"/>
        <v>-0.21956654871445183</v>
      </c>
      <c r="AE151" s="14">
        <f ca="1">U$4*AO151</f>
        <v>-0.59631351702908753</v>
      </c>
      <c r="AF151" s="15">
        <f ca="1">AP151*W$4</f>
        <v>-0.48037270413526817</v>
      </c>
      <c r="AG151" s="12">
        <f t="shared" ca="1" si="48"/>
        <v>-3.6282474860246103</v>
      </c>
      <c r="AH151" s="14">
        <f t="shared" ca="1" si="49"/>
        <v>-1.1931034198646655</v>
      </c>
      <c r="AI151" s="14">
        <f t="shared" ca="1" si="50"/>
        <v>-0.58011355180035273</v>
      </c>
      <c r="AJ151" s="14">
        <f t="shared" ca="1" si="51"/>
        <v>0.1955230366843185</v>
      </c>
      <c r="AK151" s="14">
        <f t="shared" ca="1" si="52"/>
        <v>9.7553505091719561E-2</v>
      </c>
      <c r="AL151" s="14">
        <f t="shared" ca="1" si="53"/>
        <v>-0.64668202590262058</v>
      </c>
      <c r="AM151" s="14">
        <f t="shared" ca="1" si="54"/>
        <v>-1.3982756802188672</v>
      </c>
      <c r="AN151" s="14">
        <f t="shared" ca="1" si="55"/>
        <v>-0.21956654871445183</v>
      </c>
      <c r="AO151" s="14">
        <f t="shared" ca="1" si="57"/>
        <v>-0.59631351702908753</v>
      </c>
      <c r="AP151" s="14">
        <f ca="1">(AV151-$AP$3)/$AP$4</f>
        <v>-0.48037270413526817</v>
      </c>
      <c r="AQ151" s="22">
        <f t="shared" si="58"/>
        <v>4.66</v>
      </c>
      <c r="AR151" s="22">
        <f t="shared" si="59"/>
        <v>1.5618181818181818</v>
      </c>
      <c r="AS151" s="22">
        <f ca="1">(U151-AS$3)</f>
        <v>-3.618502765805276E-2</v>
      </c>
      <c r="AT151" s="22">
        <f ca="1">(W151-AT$3)</f>
        <v>-6.3125120959382275E-2</v>
      </c>
      <c r="AU151" s="11">
        <f ca="1">AS151*V151</f>
        <v>-0.38341561319387879</v>
      </c>
      <c r="AV151" s="11">
        <f ca="1">AT151*X151</f>
        <v>-0.13377606802794806</v>
      </c>
    </row>
    <row r="152" spans="1:48">
      <c r="A152">
        <v>147</v>
      </c>
      <c r="B152" s="27" t="str">
        <f t="shared" si="56"/>
        <v>Donte DiVincenzo</v>
      </c>
      <c r="C152" s="21">
        <v>1</v>
      </c>
      <c r="D152" s="12">
        <f t="shared" ca="1" si="40"/>
        <v>-2.3679391174490987</v>
      </c>
      <c r="E152" s="12">
        <f t="shared" ca="1" si="41"/>
        <v>-2.3679391174490987</v>
      </c>
      <c r="F152" s="29">
        <f ca="1">SUM(AI152:AN152,AP152,AO152)+$A$4</f>
        <v>-0.44291222930914875</v>
      </c>
      <c r="G152" s="29">
        <f ca="1">SUM(Y152:AF152)+$A$4</f>
        <v>-0.44291222930914875</v>
      </c>
      <c r="H152" s="10">
        <v>1</v>
      </c>
      <c r="I152" s="10">
        <v>0</v>
      </c>
      <c r="J152" t="e">
        <f>VLOOKUP(N152,Schedule!#REF!,2,0)</f>
        <v>#REF!</v>
      </c>
      <c r="K152" s="17">
        <v>147</v>
      </c>
      <c r="L152" s="17" t="s">
        <v>209</v>
      </c>
      <c r="M152" s="17" t="s">
        <v>25</v>
      </c>
      <c r="N152" s="17" t="s">
        <v>46</v>
      </c>
      <c r="O152" s="22">
        <v>10.053114754098361</v>
      </c>
      <c r="P152" s="22">
        <v>1.7834426229508198</v>
      </c>
      <c r="Q152" s="22">
        <v>5.8022950819672126</v>
      </c>
      <c r="R152" s="22">
        <v>2.929344262295082</v>
      </c>
      <c r="S152" s="22">
        <v>0.9577049180327869</v>
      </c>
      <c r="T152" s="22">
        <v>0.22540983606557377</v>
      </c>
      <c r="U152" s="22">
        <v>0.42963260773840306</v>
      </c>
      <c r="V152" s="22">
        <v>8.5627868852459006</v>
      </c>
      <c r="W152" s="22">
        <v>0.71001914486279527</v>
      </c>
      <c r="X152" s="22">
        <v>1.2844262295081967</v>
      </c>
      <c r="Y152" s="14">
        <f t="shared" ca="1" si="42"/>
        <v>-1.0582030040042323</v>
      </c>
      <c r="Z152" s="14">
        <f t="shared" ca="1" si="43"/>
        <v>5.901382392073564E-2</v>
      </c>
      <c r="AA152" s="14">
        <f t="shared" ca="1" si="44"/>
        <v>3.9442832885790008E-2</v>
      </c>
      <c r="AB152" s="14">
        <f t="shared" ca="1" si="45"/>
        <v>-0.33095213482719249</v>
      </c>
      <c r="AC152" s="14">
        <f t="shared" ca="1" si="46"/>
        <v>-0.10065248524639141</v>
      </c>
      <c r="AD152" s="14">
        <f t="shared" ca="1" si="47"/>
        <v>-0.81892000683476873</v>
      </c>
      <c r="AE152" s="14">
        <f ca="1">U$4*AO152</f>
        <v>-0.61715703130368238</v>
      </c>
      <c r="AF152" s="15">
        <f ca="1">AP152*W$4</f>
        <v>-0.4154842238994067</v>
      </c>
      <c r="AG152" s="12">
        <f t="shared" ca="1" si="48"/>
        <v>-3.2429122293091486</v>
      </c>
      <c r="AH152" s="14">
        <f t="shared" ca="1" si="49"/>
        <v>-1.066390781227829</v>
      </c>
      <c r="AI152" s="14">
        <f t="shared" ca="1" si="50"/>
        <v>-1.0582030040042323</v>
      </c>
      <c r="AJ152" s="14">
        <f t="shared" ca="1" si="51"/>
        <v>5.901382392073564E-2</v>
      </c>
      <c r="AK152" s="14">
        <f t="shared" ca="1" si="52"/>
        <v>3.9442832885790008E-2</v>
      </c>
      <c r="AL152" s="14">
        <f t="shared" ca="1" si="53"/>
        <v>-0.33095213482719249</v>
      </c>
      <c r="AM152" s="14">
        <f t="shared" ca="1" si="54"/>
        <v>-0.10065248524639141</v>
      </c>
      <c r="AN152" s="14">
        <f t="shared" ca="1" si="55"/>
        <v>-0.81892000683476873</v>
      </c>
      <c r="AO152" s="14">
        <f t="shared" ca="1" si="57"/>
        <v>-0.61715703130368238</v>
      </c>
      <c r="AP152" s="14">
        <f ca="1">(AV152-$AP$3)/$AP$4</f>
        <v>-0.4154842238994067</v>
      </c>
      <c r="AQ152" s="22">
        <f t="shared" si="58"/>
        <v>3.6788524590163942</v>
      </c>
      <c r="AR152" s="22">
        <f t="shared" si="59"/>
        <v>0.91196721311475426</v>
      </c>
      <c r="AS152" s="22">
        <f ca="1">(U152-AS$3)</f>
        <v>-4.6342097449708908E-2</v>
      </c>
      <c r="AT152" s="22">
        <f ca="1">(W152-AT$3)</f>
        <v>-9.0083546877319898E-2</v>
      </c>
      <c r="AU152" s="11">
        <f ca="1">AS152*V152</f>
        <v>-0.39681750427715495</v>
      </c>
      <c r="AV152" s="11">
        <f ca="1">AT152*X152</f>
        <v>-0.11570567045636089</v>
      </c>
    </row>
    <row r="153" spans="1:48">
      <c r="A153">
        <v>148</v>
      </c>
      <c r="B153" s="27" t="str">
        <f t="shared" si="56"/>
        <v>Joe Harris</v>
      </c>
      <c r="C153" s="21">
        <v>1</v>
      </c>
      <c r="D153" s="12">
        <f t="shared" ca="1" si="40"/>
        <v>-3.9009309848733418</v>
      </c>
      <c r="E153" s="12">
        <f t="shared" ca="1" si="41"/>
        <v>-3.9009309848733418</v>
      </c>
      <c r="F153" s="29">
        <f ca="1">SUM(AI153:AN153,AP153,AO153)+$A$4</f>
        <v>-0.72965137750359643</v>
      </c>
      <c r="G153" s="29">
        <f ca="1">SUM(Y153:AF153)+$A$4</f>
        <v>-0.72965137750359643</v>
      </c>
      <c r="H153" s="10">
        <v>1</v>
      </c>
      <c r="I153" s="10">
        <v>0</v>
      </c>
      <c r="J153" t="e">
        <f>VLOOKUP(N153,Schedule!#REF!,2,0)</f>
        <v>#REF!</v>
      </c>
      <c r="K153" s="17">
        <v>148</v>
      </c>
      <c r="L153" s="17" t="s">
        <v>210</v>
      </c>
      <c r="M153" s="17" t="s">
        <v>48</v>
      </c>
      <c r="N153" s="17" t="s">
        <v>26</v>
      </c>
      <c r="O153" s="22">
        <v>11.395063291139241</v>
      </c>
      <c r="P153" s="22">
        <v>2.3665822784810127</v>
      </c>
      <c r="Q153" s="22">
        <v>3.6812658227848098</v>
      </c>
      <c r="R153" s="22">
        <v>2.002025316455696</v>
      </c>
      <c r="S153" s="22">
        <v>0.71037974683544303</v>
      </c>
      <c r="T153" s="22">
        <v>0.19379746835443037</v>
      </c>
      <c r="U153" s="22">
        <v>0.4822794623136894</v>
      </c>
      <c r="V153" s="22">
        <v>8.6540506329113924</v>
      </c>
      <c r="W153" s="22">
        <v>0.78704109989761595</v>
      </c>
      <c r="X153" s="22">
        <v>0.86544303797468358</v>
      </c>
      <c r="Y153" s="14">
        <f t="shared" ca="1" si="42"/>
        <v>-0.82487142124013069</v>
      </c>
      <c r="Z153" s="14">
        <f t="shared" ca="1" si="43"/>
        <v>0.63809275487732231</v>
      </c>
      <c r="AA153" s="14">
        <f t="shared" ca="1" si="44"/>
        <v>-0.84725664020924574</v>
      </c>
      <c r="AB153" s="14">
        <f t="shared" ca="1" si="45"/>
        <v>-0.77248082650239946</v>
      </c>
      <c r="AC153" s="14">
        <f t="shared" ca="1" si="46"/>
        <v>-0.89034237096042268</v>
      </c>
      <c r="AD153" s="14">
        <f t="shared" ca="1" si="47"/>
        <v>-0.87705940320073827</v>
      </c>
      <c r="AE153" s="14">
        <f ca="1">U$4*AO153</f>
        <v>8.4857972875201249E-2</v>
      </c>
      <c r="AF153" s="15">
        <f ca="1">AP153*W$4</f>
        <v>-4.0591443143182998E-2</v>
      </c>
      <c r="AG153" s="12">
        <f t="shared" ca="1" si="48"/>
        <v>-3.5296513775035963</v>
      </c>
      <c r="AH153" s="14">
        <f t="shared" ca="1" si="49"/>
        <v>-1.1606813332471233</v>
      </c>
      <c r="AI153" s="14">
        <f t="shared" ca="1" si="50"/>
        <v>-0.82487142124013069</v>
      </c>
      <c r="AJ153" s="14">
        <f t="shared" ca="1" si="51"/>
        <v>0.63809275487732231</v>
      </c>
      <c r="AK153" s="14">
        <f t="shared" ca="1" si="52"/>
        <v>-0.84725664020924574</v>
      </c>
      <c r="AL153" s="14">
        <f t="shared" ca="1" si="53"/>
        <v>-0.77248082650239946</v>
      </c>
      <c r="AM153" s="14">
        <f t="shared" ca="1" si="54"/>
        <v>-0.89034237096042268</v>
      </c>
      <c r="AN153" s="14">
        <f t="shared" ca="1" si="55"/>
        <v>-0.87705940320073827</v>
      </c>
      <c r="AO153" s="14">
        <f t="shared" ca="1" si="57"/>
        <v>8.4857972875201249E-2</v>
      </c>
      <c r="AP153" s="14">
        <f ca="1">(AV153-$AP$3)/$AP$4</f>
        <v>-4.0591443143182998E-2</v>
      </c>
      <c r="AQ153" s="22">
        <f t="shared" si="58"/>
        <v>4.1736708860759499</v>
      </c>
      <c r="AR153" s="22">
        <f t="shared" si="59"/>
        <v>0.68113924050632912</v>
      </c>
      <c r="AS153" s="22">
        <f ca="1">(U153-AS$3)</f>
        <v>6.3047571255774315E-3</v>
      </c>
      <c r="AT153" s="22">
        <f ca="1">(W153-AT$3)</f>
        <v>-1.3061591842499221E-2</v>
      </c>
      <c r="AU153" s="11">
        <f ca="1">AS153*V153</f>
        <v>5.4561687392955985E-2</v>
      </c>
      <c r="AV153" s="11">
        <f ca="1">AT153*X153</f>
        <v>-1.1304063724957869E-2</v>
      </c>
    </row>
    <row r="154" spans="1:48">
      <c r="A154">
        <v>149</v>
      </c>
      <c r="B154" s="27" t="str">
        <f t="shared" si="56"/>
        <v>Killian Hayes</v>
      </c>
      <c r="C154" s="21">
        <v>1</v>
      </c>
      <c r="D154" s="12">
        <f t="shared" ca="1" si="40"/>
        <v>-0.29950358451993142</v>
      </c>
      <c r="E154" s="12">
        <f t="shared" ca="1" si="41"/>
        <v>-0.29950358451993142</v>
      </c>
      <c r="F154" s="29">
        <f ca="1">SUM(AI154:AN154,AP154,AO154)+$A$4</f>
        <v>-5.6020781669719355E-2</v>
      </c>
      <c r="G154" s="29">
        <f ca="1">SUM(Y154:AF154)+$A$4</f>
        <v>-5.6020781669719355E-2</v>
      </c>
      <c r="H154" s="10">
        <v>1</v>
      </c>
      <c r="I154" s="10">
        <v>0</v>
      </c>
      <c r="J154" t="e">
        <f>VLOOKUP(N154,Schedule!#REF!,2,0)</f>
        <v>#REF!</v>
      </c>
      <c r="K154" s="17">
        <v>149</v>
      </c>
      <c r="L154" s="17" t="s">
        <v>211</v>
      </c>
      <c r="M154" s="17" t="s">
        <v>28</v>
      </c>
      <c r="N154" s="17" t="s">
        <v>115</v>
      </c>
      <c r="O154" s="22">
        <v>8.4395945945945936</v>
      </c>
      <c r="P154" s="22">
        <v>0.95783783783783782</v>
      </c>
      <c r="Q154" s="22">
        <v>3.1198648648648648</v>
      </c>
      <c r="R154" s="22">
        <v>6.041621621621621</v>
      </c>
      <c r="S154" s="22">
        <v>1.1877027027027027</v>
      </c>
      <c r="T154" s="22">
        <v>0.38310810810810814</v>
      </c>
      <c r="U154" s="22">
        <v>0.39820097244732577</v>
      </c>
      <c r="V154" s="22">
        <v>8.3378378378378386</v>
      </c>
      <c r="W154" s="22">
        <v>0.82139559424877984</v>
      </c>
      <c r="X154" s="22">
        <v>1.0244594594594596</v>
      </c>
      <c r="Y154" s="14">
        <f t="shared" ca="1" si="42"/>
        <v>-1.3387541594673058</v>
      </c>
      <c r="Z154" s="14">
        <f t="shared" ca="1" si="43"/>
        <v>-0.76084181755709601</v>
      </c>
      <c r="AA154" s="14">
        <f t="shared" ca="1" si="44"/>
        <v>-1.0819511553497625</v>
      </c>
      <c r="AB154" s="14">
        <f t="shared" ca="1" si="45"/>
        <v>1.1509109897851915</v>
      </c>
      <c r="AC154" s="14">
        <f t="shared" ca="1" si="46"/>
        <v>0.63371241344620388</v>
      </c>
      <c r="AD154" s="14">
        <f t="shared" ca="1" si="47"/>
        <v>-0.52889167272559967</v>
      </c>
      <c r="AE154" s="14">
        <f ca="1">U$4*AO154</f>
        <v>-1.0085356342758063</v>
      </c>
      <c r="AF154" s="15">
        <f ca="1">AP154*W$4</f>
        <v>7.8330254474455963E-2</v>
      </c>
      <c r="AG154" s="12">
        <f t="shared" ca="1" si="48"/>
        <v>-2.8560207816697192</v>
      </c>
      <c r="AH154" s="14">
        <f t="shared" ca="1" si="49"/>
        <v>-0.93916640883509539</v>
      </c>
      <c r="AI154" s="14">
        <f t="shared" ca="1" si="50"/>
        <v>-1.3387541594673058</v>
      </c>
      <c r="AJ154" s="14">
        <f t="shared" ca="1" si="51"/>
        <v>-0.76084181755709601</v>
      </c>
      <c r="AK154" s="14">
        <f t="shared" ca="1" si="52"/>
        <v>-1.0819511553497625</v>
      </c>
      <c r="AL154" s="14">
        <f t="shared" ca="1" si="53"/>
        <v>1.1509109897851915</v>
      </c>
      <c r="AM154" s="14">
        <f t="shared" ca="1" si="54"/>
        <v>0.63371241344620388</v>
      </c>
      <c r="AN154" s="14">
        <f t="shared" ca="1" si="55"/>
        <v>-0.52889167272559967</v>
      </c>
      <c r="AO154" s="14">
        <f t="shared" ca="1" si="57"/>
        <v>-1.0085356342758063</v>
      </c>
      <c r="AP154" s="14">
        <f ca="1">(AV154-$AP$3)/$AP$4</f>
        <v>7.8330254474455963E-2</v>
      </c>
      <c r="AQ154" s="22">
        <f t="shared" si="58"/>
        <v>3.3201351351351356</v>
      </c>
      <c r="AR154" s="22">
        <f t="shared" si="59"/>
        <v>0.84148648648648661</v>
      </c>
      <c r="AS154" s="22">
        <f ca="1">(U154-AS$3)</f>
        <v>-7.7773732740786194E-2</v>
      </c>
      <c r="AT154" s="22">
        <f ca="1">(W154-AT$3)</f>
        <v>2.1292902508664668E-2</v>
      </c>
      <c r="AU154" s="11">
        <f ca="1">AS154*V154</f>
        <v>-0.64846477163601468</v>
      </c>
      <c r="AV154" s="11">
        <f ca="1">AT154*X154</f>
        <v>2.1813715394349578E-2</v>
      </c>
    </row>
    <row r="155" spans="1:48">
      <c r="A155">
        <v>150</v>
      </c>
      <c r="B155" s="27" t="str">
        <f t="shared" si="56"/>
        <v>Lauri Markkanen</v>
      </c>
      <c r="C155" s="21">
        <v>1</v>
      </c>
      <c r="D155" s="12">
        <f t="shared" ca="1" si="40"/>
        <v>0.42457741129604709</v>
      </c>
      <c r="E155" s="12">
        <f t="shared" ca="1" si="41"/>
        <v>0.42457741129604709</v>
      </c>
      <c r="F155" s="29">
        <f ca="1">SUM(AI155:AN155,AP155,AO155)+$A$4</f>
        <v>7.9415271434013945E-2</v>
      </c>
      <c r="G155" s="29">
        <f ca="1">SUM(Y155:AF155)+$A$4</f>
        <v>7.9415271434013945E-2</v>
      </c>
      <c r="H155" s="10">
        <v>1</v>
      </c>
      <c r="I155" s="10">
        <v>0</v>
      </c>
      <c r="J155" t="e">
        <f>VLOOKUP(N155,Schedule!#REF!,2,0)</f>
        <v>#REF!</v>
      </c>
      <c r="K155" s="17">
        <v>150</v>
      </c>
      <c r="L155" s="17" t="s">
        <v>212</v>
      </c>
      <c r="M155" s="17" t="s">
        <v>45</v>
      </c>
      <c r="N155" s="17" t="s">
        <v>118</v>
      </c>
      <c r="O155" s="22">
        <v>14.36681818181818</v>
      </c>
      <c r="P155" s="22">
        <v>2.627121212121212</v>
      </c>
      <c r="Q155" s="22">
        <v>5.6583333333333332</v>
      </c>
      <c r="R155" s="22">
        <v>1.05</v>
      </c>
      <c r="S155" s="22">
        <v>0.58333333333333337</v>
      </c>
      <c r="T155" s="22">
        <v>0.35000000000000003</v>
      </c>
      <c r="U155" s="22">
        <v>0.45847086196634373</v>
      </c>
      <c r="V155" s="22">
        <v>11.200606060606061</v>
      </c>
      <c r="W155" s="22">
        <v>0.81998816267861674</v>
      </c>
      <c r="X155" s="22">
        <v>1.791969696969697</v>
      </c>
      <c r="Y155" s="14">
        <f t="shared" ca="1" si="42"/>
        <v>-0.30815691759895747</v>
      </c>
      <c r="Z155" s="14">
        <f t="shared" ca="1" si="43"/>
        <v>0.89681741154256267</v>
      </c>
      <c r="AA155" s="14">
        <f t="shared" ca="1" si="44"/>
        <v>-2.0740592734989311E-2</v>
      </c>
      <c r="AB155" s="14">
        <f t="shared" ca="1" si="45"/>
        <v>-1.2257730775691249</v>
      </c>
      <c r="AC155" s="14">
        <f t="shared" ca="1" si="46"/>
        <v>-1.2959916110808558</v>
      </c>
      <c r="AD155" s="14">
        <f t="shared" ca="1" si="47"/>
        <v>-0.58978193687200031</v>
      </c>
      <c r="AE155" s="14">
        <f ca="1">U$4*AO155</f>
        <v>-0.30491570768099002</v>
      </c>
      <c r="AF155" s="15">
        <f ca="1">AP155*W$4</f>
        <v>0.12795770342836929</v>
      </c>
      <c r="AG155" s="12">
        <f t="shared" ca="1" si="48"/>
        <v>-2.7205847285659859</v>
      </c>
      <c r="AH155" s="14">
        <f t="shared" ca="1" si="49"/>
        <v>-0.89462997113247145</v>
      </c>
      <c r="AI155" s="14">
        <f t="shared" ca="1" si="50"/>
        <v>-0.30815691759895747</v>
      </c>
      <c r="AJ155" s="14">
        <f t="shared" ca="1" si="51"/>
        <v>0.89681741154256267</v>
      </c>
      <c r="AK155" s="14">
        <f t="shared" ca="1" si="52"/>
        <v>-2.0740592734989311E-2</v>
      </c>
      <c r="AL155" s="14">
        <f t="shared" ca="1" si="53"/>
        <v>-1.2257730775691249</v>
      </c>
      <c r="AM155" s="14">
        <f t="shared" ca="1" si="54"/>
        <v>-1.2959916110808558</v>
      </c>
      <c r="AN155" s="14">
        <f t="shared" ca="1" si="55"/>
        <v>-0.58978193687200031</v>
      </c>
      <c r="AO155" s="14">
        <f t="shared" ca="1" si="57"/>
        <v>-0.30491570768099002</v>
      </c>
      <c r="AP155" s="14">
        <f ca="1">(AV155-$AP$3)/$AP$4</f>
        <v>0.12795770342836929</v>
      </c>
      <c r="AQ155" s="22">
        <f t="shared" si="58"/>
        <v>5.1351515151515148</v>
      </c>
      <c r="AR155" s="22">
        <f t="shared" si="59"/>
        <v>1.4693939393939395</v>
      </c>
      <c r="AS155" s="22">
        <f ca="1">(U155-AS$3)</f>
        <v>-1.7503843221768234E-2</v>
      </c>
      <c r="AT155" s="22">
        <f ca="1">(W155-AT$3)</f>
        <v>1.988547093850157E-2</v>
      </c>
      <c r="AU155" s="11">
        <f ca="1">AS155*V155</f>
        <v>-0.1960536524736356</v>
      </c>
      <c r="AV155" s="11">
        <f ca="1">AT155*X155</f>
        <v>3.5634161331766376E-2</v>
      </c>
    </row>
    <row r="156" spans="1:48">
      <c r="A156">
        <v>151</v>
      </c>
      <c r="B156" s="27" t="str">
        <f t="shared" si="56"/>
        <v>Derrick Rose</v>
      </c>
      <c r="C156" s="21">
        <v>1</v>
      </c>
      <c r="D156" s="12">
        <f t="shared" ca="1" si="40"/>
        <v>-1.8380126105883867</v>
      </c>
      <c r="E156" s="12">
        <f t="shared" ca="1" si="41"/>
        <v>-1.8380126105883867</v>
      </c>
      <c r="F156" s="29">
        <f ca="1">SUM(AI156:AN156,AP156,AO156)+$A$4</f>
        <v>-0.34379188926572146</v>
      </c>
      <c r="G156" s="29">
        <f ca="1">SUM(Y156:AF156)+$A$4</f>
        <v>-0.34379188926572146</v>
      </c>
      <c r="H156" s="10">
        <v>1</v>
      </c>
      <c r="I156" s="10">
        <v>0</v>
      </c>
      <c r="J156" t="e">
        <f>VLOOKUP(N156,Schedule!#REF!,2,0)</f>
        <v>#REF!</v>
      </c>
      <c r="K156" s="17">
        <v>151</v>
      </c>
      <c r="L156" s="17" t="s">
        <v>213</v>
      </c>
      <c r="M156" s="17" t="s">
        <v>28</v>
      </c>
      <c r="N156" s="17" t="s">
        <v>88</v>
      </c>
      <c r="O156" s="22">
        <v>12.844666666666667</v>
      </c>
      <c r="P156" s="22">
        <v>0.84916666666666674</v>
      </c>
      <c r="Q156" s="22">
        <v>2.5765000000000002</v>
      </c>
      <c r="R156" s="22">
        <v>3.8901666666666666</v>
      </c>
      <c r="S156" s="22">
        <v>0.85883333333333334</v>
      </c>
      <c r="T156" s="22">
        <v>0.35366666666666663</v>
      </c>
      <c r="U156" s="22">
        <v>0.47670797878899984</v>
      </c>
      <c r="V156" s="22">
        <v>10.812000000000001</v>
      </c>
      <c r="W156" s="22">
        <v>0.86699212058924291</v>
      </c>
      <c r="X156" s="22">
        <v>1.9460000000000002</v>
      </c>
      <c r="Y156" s="14">
        <f t="shared" ca="1" si="42"/>
        <v>-0.5728213309007163</v>
      </c>
      <c r="Z156" s="14">
        <f t="shared" ca="1" si="43"/>
        <v>-0.86875625114228339</v>
      </c>
      <c r="AA156" s="14">
        <f t="shared" ca="1" si="44"/>
        <v>-1.3091056546515552</v>
      </c>
      <c r="AB156" s="14">
        <f t="shared" ca="1" si="45"/>
        <v>0.12652871470986654</v>
      </c>
      <c r="AC156" s="14">
        <f t="shared" ca="1" si="46"/>
        <v>-0.41634170540820548</v>
      </c>
      <c r="AD156" s="14">
        <f t="shared" ca="1" si="47"/>
        <v>-0.58303844367265756</v>
      </c>
      <c r="AE156" s="14">
        <f ca="1">U$4*AO156</f>
        <v>1.2330393796300798E-2</v>
      </c>
      <c r="AF156" s="15">
        <f ca="1">AP156*W$4</f>
        <v>0.4674123880035293</v>
      </c>
      <c r="AG156" s="12">
        <f t="shared" ca="1" si="48"/>
        <v>-3.1437918892657213</v>
      </c>
      <c r="AH156" s="14">
        <f t="shared" ca="1" si="49"/>
        <v>-1.0337963076866823</v>
      </c>
      <c r="AI156" s="14">
        <f t="shared" ca="1" si="50"/>
        <v>-0.5728213309007163</v>
      </c>
      <c r="AJ156" s="14">
        <f t="shared" ca="1" si="51"/>
        <v>-0.86875625114228339</v>
      </c>
      <c r="AK156" s="14">
        <f t="shared" ca="1" si="52"/>
        <v>-1.3091056546515552</v>
      </c>
      <c r="AL156" s="14">
        <f t="shared" ca="1" si="53"/>
        <v>0.12652871470986654</v>
      </c>
      <c r="AM156" s="14">
        <f t="shared" ca="1" si="54"/>
        <v>-0.41634170540820548</v>
      </c>
      <c r="AN156" s="14">
        <f t="shared" ca="1" si="55"/>
        <v>-0.58303844367265756</v>
      </c>
      <c r="AO156" s="14">
        <f t="shared" ca="1" si="57"/>
        <v>1.2330393796300798E-2</v>
      </c>
      <c r="AP156" s="14">
        <f ca="1">(AV156-$AP$3)/$AP$4</f>
        <v>0.4674123880035293</v>
      </c>
      <c r="AQ156" s="22">
        <f t="shared" si="58"/>
        <v>5.1541666666666668</v>
      </c>
      <c r="AR156" s="22">
        <f t="shared" si="59"/>
        <v>1.6871666666666669</v>
      </c>
      <c r="AS156" s="22">
        <f ca="1">(U156-AS$3)</f>
        <v>7.3327360088787374E-4</v>
      </c>
      <c r="AT156" s="22">
        <f ca="1">(W156-AT$3)</f>
        <v>6.6889428849127741E-2</v>
      </c>
      <c r="AU156" s="11">
        <f ca="1">AS156*V156</f>
        <v>7.928154172799691E-3</v>
      </c>
      <c r="AV156" s="11">
        <f ca="1">AT156*X156</f>
        <v>0.1301668285404026</v>
      </c>
    </row>
    <row r="157" spans="1:48">
      <c r="A157">
        <v>152</v>
      </c>
      <c r="B157" s="27" t="str">
        <f t="shared" si="56"/>
        <v>Seth Curry</v>
      </c>
      <c r="C157" s="21">
        <v>1</v>
      </c>
      <c r="D157" s="12">
        <f t="shared" ca="1" si="40"/>
        <v>-4.6439277190446155</v>
      </c>
      <c r="E157" s="12">
        <f t="shared" ca="1" si="41"/>
        <v>-4.6439277190446155</v>
      </c>
      <c r="F157" s="29">
        <f ca="1">SUM(AI157:AN157,AP157,AO157)+$A$4</f>
        <v>-0.86862553333228387</v>
      </c>
      <c r="G157" s="29">
        <f ca="1">SUM(Y157:AF157)+$A$4</f>
        <v>-0.86862553333228387</v>
      </c>
      <c r="H157" s="10">
        <v>1</v>
      </c>
      <c r="I157" s="10">
        <v>0</v>
      </c>
      <c r="J157" t="e">
        <f>VLOOKUP(N157,Schedule!#REF!,2,0)</f>
        <v>#REF!</v>
      </c>
      <c r="K157" s="17">
        <v>152</v>
      </c>
      <c r="L157" s="17" t="s">
        <v>214</v>
      </c>
      <c r="M157" s="17" t="s">
        <v>25</v>
      </c>
      <c r="N157" s="17" t="s">
        <v>37</v>
      </c>
      <c r="O157" s="22">
        <v>11.716849315068494</v>
      </c>
      <c r="P157" s="22">
        <v>2.2563013698630137</v>
      </c>
      <c r="Q157" s="22">
        <v>2.7143835616438352</v>
      </c>
      <c r="R157" s="22">
        <v>2.7143835616438357</v>
      </c>
      <c r="S157" s="22">
        <v>0.75753424657534241</v>
      </c>
      <c r="T157" s="22">
        <v>6.3150684931506856E-2</v>
      </c>
      <c r="U157" s="22">
        <v>0.46974391211291222</v>
      </c>
      <c r="V157" s="22">
        <v>9.1524657534246572</v>
      </c>
      <c r="W157" s="22">
        <v>0.8560544217687075</v>
      </c>
      <c r="X157" s="22">
        <v>1.0068493150684932</v>
      </c>
      <c r="Y157" s="14">
        <f t="shared" ca="1" si="42"/>
        <v>-0.76892080897571091</v>
      </c>
      <c r="Z157" s="14">
        <f t="shared" ca="1" si="43"/>
        <v>0.52857979333920002</v>
      </c>
      <c r="AA157" s="14">
        <f t="shared" ca="1" si="44"/>
        <v>-1.2514632242471846</v>
      </c>
      <c r="AB157" s="14">
        <f t="shared" ca="1" si="45"/>
        <v>-0.4333023751042519</v>
      </c>
      <c r="AC157" s="14">
        <f t="shared" ca="1" si="46"/>
        <v>-0.7397817493697022</v>
      </c>
      <c r="AD157" s="14">
        <f t="shared" ca="1" si="47"/>
        <v>-1.1173364110721489</v>
      </c>
      <c r="AE157" s="14">
        <f ca="1">U$4*AO157</f>
        <v>-8.8692378360799656E-2</v>
      </c>
      <c r="AF157" s="15">
        <f ca="1">AP157*W$4</f>
        <v>0.20229162045831495</v>
      </c>
      <c r="AG157" s="12">
        <f t="shared" ca="1" si="48"/>
        <v>-3.6686255333322837</v>
      </c>
      <c r="AH157" s="14">
        <f t="shared" ca="1" si="49"/>
        <v>-1.2063812314020002</v>
      </c>
      <c r="AI157" s="14">
        <f t="shared" ca="1" si="50"/>
        <v>-0.76892080897571091</v>
      </c>
      <c r="AJ157" s="14">
        <f t="shared" ca="1" si="51"/>
        <v>0.52857979333920002</v>
      </c>
      <c r="AK157" s="14">
        <f t="shared" ca="1" si="52"/>
        <v>-1.2514632242471846</v>
      </c>
      <c r="AL157" s="14">
        <f t="shared" ca="1" si="53"/>
        <v>-0.4333023751042519</v>
      </c>
      <c r="AM157" s="14">
        <f t="shared" ca="1" si="54"/>
        <v>-0.7397817493697022</v>
      </c>
      <c r="AN157" s="14">
        <f t="shared" ca="1" si="55"/>
        <v>-1.1173364110721489</v>
      </c>
      <c r="AO157" s="14">
        <f t="shared" ca="1" si="57"/>
        <v>-8.8692378360799656E-2</v>
      </c>
      <c r="AP157" s="14">
        <f ca="1">(AV157-$AP$3)/$AP$4</f>
        <v>0.20229162045831495</v>
      </c>
      <c r="AQ157" s="22">
        <f t="shared" si="58"/>
        <v>4.2993150684931507</v>
      </c>
      <c r="AR157" s="22">
        <f t="shared" si="59"/>
        <v>0.86191780821917807</v>
      </c>
      <c r="AS157" s="22">
        <f ca="1">(U157-AS$3)</f>
        <v>-6.2307930751997476E-3</v>
      </c>
      <c r="AT157" s="22">
        <f ca="1">(W157-AT$3)</f>
        <v>5.5951730028592328E-2</v>
      </c>
      <c r="AU157" s="11">
        <f ca="1">AS157*V157</f>
        <v>-5.7027120237441192E-2</v>
      </c>
      <c r="AV157" s="11">
        <f ca="1">AT157*X157</f>
        <v>5.6334961056185427E-2</v>
      </c>
    </row>
    <row r="158" spans="1:48">
      <c r="A158">
        <v>153</v>
      </c>
      <c r="B158" s="27" t="str">
        <f t="shared" si="56"/>
        <v>T.J. McConnell</v>
      </c>
      <c r="C158" s="21">
        <v>1</v>
      </c>
      <c r="D158" s="12">
        <f t="shared" ca="1" si="40"/>
        <v>-4.9177798168586664</v>
      </c>
      <c r="E158" s="12">
        <f t="shared" ca="1" si="41"/>
        <v>-4.9177798168586691</v>
      </c>
      <c r="F158" s="29">
        <f ca="1">SUM(AI158:AN158,AP158,AO158)+$A$4</f>
        <v>-0.91984832121986804</v>
      </c>
      <c r="G158" s="29">
        <f ca="1">SUM(Y158:AF158)+$A$4</f>
        <v>-0.91984832121986848</v>
      </c>
      <c r="H158" s="10">
        <v>1</v>
      </c>
      <c r="I158" s="10">
        <v>0</v>
      </c>
      <c r="J158" t="e">
        <f>VLOOKUP(N158,Schedule!#REF!,2,0)</f>
        <v>#REF!</v>
      </c>
      <c r="K158" s="17">
        <v>153</v>
      </c>
      <c r="L158" s="17" t="s">
        <v>215</v>
      </c>
      <c r="M158" s="17" t="s">
        <v>28</v>
      </c>
      <c r="N158" s="17" t="s">
        <v>75</v>
      </c>
      <c r="O158" s="22">
        <v>6.3631168831168834</v>
      </c>
      <c r="P158" s="22">
        <v>0.17155844155844158</v>
      </c>
      <c r="Q158" s="22">
        <v>2.9163636363636365</v>
      </c>
      <c r="R158" s="22">
        <v>5.0815584415584416</v>
      </c>
      <c r="S158" s="22">
        <v>1.1488311688311688</v>
      </c>
      <c r="T158" s="22">
        <v>0.22090909090909092</v>
      </c>
      <c r="U158" s="22">
        <v>0.52276147479307755</v>
      </c>
      <c r="V158" s="22">
        <v>5.5231168831168826</v>
      </c>
      <c r="W158" s="22">
        <v>0.75499647307782736</v>
      </c>
      <c r="X158" s="22">
        <v>0.55233766233766235</v>
      </c>
      <c r="Y158" s="14">
        <f t="shared" ca="1" si="42"/>
        <v>-1.6998021561824836</v>
      </c>
      <c r="Z158" s="14">
        <f t="shared" ca="1" si="43"/>
        <v>-1.5416459146763124</v>
      </c>
      <c r="AA158" s="14">
        <f t="shared" ca="1" si="44"/>
        <v>-1.1670251501119979</v>
      </c>
      <c r="AB158" s="14">
        <f t="shared" ca="1" si="45"/>
        <v>0.69379163325664073</v>
      </c>
      <c r="AC158" s="14">
        <f t="shared" ca="1" si="46"/>
        <v>0.50959865263514725</v>
      </c>
      <c r="AD158" s="14">
        <f t="shared" ca="1" si="47"/>
        <v>-0.8271974825678734</v>
      </c>
      <c r="AE158" s="14">
        <f ca="1">U$4*AO158</f>
        <v>0.40189458471271367</v>
      </c>
      <c r="AF158" s="15">
        <f ca="1">AP158*W$4</f>
        <v>-8.9462488285702038E-2</v>
      </c>
      <c r="AG158" s="12">
        <f t="shared" ca="1" si="48"/>
        <v>-3.7198483212198683</v>
      </c>
      <c r="AH158" s="14">
        <f t="shared" ca="1" si="49"/>
        <v>-1.2232251990858696</v>
      </c>
      <c r="AI158" s="14">
        <f t="shared" ca="1" si="50"/>
        <v>-1.6998021561824836</v>
      </c>
      <c r="AJ158" s="14">
        <f t="shared" ca="1" si="51"/>
        <v>-1.5416459146763124</v>
      </c>
      <c r="AK158" s="14">
        <f t="shared" ca="1" si="52"/>
        <v>-1.1670251501119979</v>
      </c>
      <c r="AL158" s="14">
        <f t="shared" ca="1" si="53"/>
        <v>0.69379163325664073</v>
      </c>
      <c r="AM158" s="14">
        <f t="shared" ca="1" si="54"/>
        <v>0.50959865263514725</v>
      </c>
      <c r="AN158" s="14">
        <f t="shared" ca="1" si="55"/>
        <v>-0.8271974825678734</v>
      </c>
      <c r="AO158" s="14">
        <f t="shared" ca="1" si="57"/>
        <v>0.40189458471271367</v>
      </c>
      <c r="AP158" s="14">
        <f ca="1">(AV158-$AP$3)/$AP$4</f>
        <v>-8.9462488285702038E-2</v>
      </c>
      <c r="AQ158" s="22">
        <f t="shared" si="58"/>
        <v>2.8872727272727272</v>
      </c>
      <c r="AR158" s="22">
        <f t="shared" si="59"/>
        <v>0.417012987012987</v>
      </c>
      <c r="AS158" s="22">
        <f ca="1">(U158-AS$3)</f>
        <v>4.6786769604965583E-2</v>
      </c>
      <c r="AT158" s="22">
        <f ca="1">(W158-AT$3)</f>
        <v>-4.5106218662287811E-2</v>
      </c>
      <c r="AU158" s="11">
        <f ca="1">AS158*V158</f>
        <v>0.25840879711168524</v>
      </c>
      <c r="AV158" s="11">
        <f ca="1">AT158*X158</f>
        <v>-2.4913863372819488E-2</v>
      </c>
    </row>
    <row r="159" spans="1:48">
      <c r="A159">
        <v>154</v>
      </c>
      <c r="B159" s="27" t="str">
        <f t="shared" si="56"/>
        <v>Aaron Gordon</v>
      </c>
      <c r="C159" s="21">
        <v>1</v>
      </c>
      <c r="D159" s="12">
        <f t="shared" ca="1" si="40"/>
        <v>-4.6100133364232159</v>
      </c>
      <c r="E159" s="12">
        <f t="shared" ca="1" si="41"/>
        <v>-4.6100133364232159</v>
      </c>
      <c r="F159" s="29">
        <f ca="1">SUM(AI159:AN159,AP159,AO159)+$A$4</f>
        <v>-0.86228200249494158</v>
      </c>
      <c r="G159" s="29">
        <f ca="1">SUM(Y159:AF159)+$A$4</f>
        <v>-0.86228200249494158</v>
      </c>
      <c r="H159" s="10">
        <v>1</v>
      </c>
      <c r="I159" s="10">
        <v>0</v>
      </c>
      <c r="J159" t="e">
        <f>VLOOKUP(N159,Schedule!#REF!,2,0)</f>
        <v>#REF!</v>
      </c>
      <c r="K159" s="17">
        <v>154</v>
      </c>
      <c r="L159" s="17" t="s">
        <v>216</v>
      </c>
      <c r="M159" s="17" t="s">
        <v>45</v>
      </c>
      <c r="N159" s="17" t="s">
        <v>23</v>
      </c>
      <c r="O159" s="22">
        <v>12.443333333333333</v>
      </c>
      <c r="P159" s="22">
        <v>1.0702898550724638</v>
      </c>
      <c r="Q159" s="22">
        <v>6.3298550724637677</v>
      </c>
      <c r="R159" s="22">
        <v>2.9411594202898552</v>
      </c>
      <c r="S159" s="22">
        <v>0.70333333333333337</v>
      </c>
      <c r="T159" s="22">
        <v>0.70333333333333337</v>
      </c>
      <c r="U159" s="22">
        <v>0.47462125559508789</v>
      </c>
      <c r="V159" s="22">
        <v>10.102028985507246</v>
      </c>
      <c r="W159" s="22">
        <v>0.65398512221041449</v>
      </c>
      <c r="X159" s="22">
        <v>2.7275362318840579</v>
      </c>
      <c r="Y159" s="14">
        <f t="shared" ca="1" si="42"/>
        <v>-0.64260324823798809</v>
      </c>
      <c r="Z159" s="14">
        <f t="shared" ca="1" si="43"/>
        <v>-0.64917286603478397</v>
      </c>
      <c r="AA159" s="14">
        <f t="shared" ca="1" si="44"/>
        <v>0.25999008067794743</v>
      </c>
      <c r="AB159" s="14">
        <f t="shared" ca="1" si="45"/>
        <v>-0.32532652858375916</v>
      </c>
      <c r="AC159" s="14">
        <f t="shared" ca="1" si="46"/>
        <v>-0.9128410169584672</v>
      </c>
      <c r="AD159" s="14">
        <f t="shared" ca="1" si="47"/>
        <v>6.0045589610131157E-2</v>
      </c>
      <c r="AE159" s="14">
        <f ca="1">U$4*AO159</f>
        <v>-2.1264518636476389E-2</v>
      </c>
      <c r="AF159" s="15">
        <f ca="1">AP159*W$4</f>
        <v>-1.4311094943315448</v>
      </c>
      <c r="AG159" s="12">
        <f t="shared" ca="1" si="48"/>
        <v>-3.6622820024949414</v>
      </c>
      <c r="AH159" s="14">
        <f t="shared" ca="1" si="49"/>
        <v>-1.2042952413020407</v>
      </c>
      <c r="AI159" s="14">
        <f t="shared" ca="1" si="50"/>
        <v>-0.64260324823798809</v>
      </c>
      <c r="AJ159" s="14">
        <f t="shared" ca="1" si="51"/>
        <v>-0.64917286603478397</v>
      </c>
      <c r="AK159" s="14">
        <f t="shared" ca="1" si="52"/>
        <v>0.25999008067794743</v>
      </c>
      <c r="AL159" s="14">
        <f t="shared" ca="1" si="53"/>
        <v>-0.32532652858375916</v>
      </c>
      <c r="AM159" s="14">
        <f t="shared" ca="1" si="54"/>
        <v>-0.9128410169584672</v>
      </c>
      <c r="AN159" s="14">
        <f t="shared" ca="1" si="55"/>
        <v>6.0045589610131157E-2</v>
      </c>
      <c r="AO159" s="14">
        <f t="shared" ca="1" si="57"/>
        <v>-2.1264518636476389E-2</v>
      </c>
      <c r="AP159" s="14">
        <f ca="1">(AV159-$AP$3)/$AP$4</f>
        <v>-1.4311094943315448</v>
      </c>
      <c r="AQ159" s="22">
        <f t="shared" si="58"/>
        <v>4.7946376811594211</v>
      </c>
      <c r="AR159" s="22">
        <f t="shared" si="59"/>
        <v>1.7837681159420291</v>
      </c>
      <c r="AS159" s="22">
        <f ca="1">(U159-AS$3)</f>
        <v>-1.3534495930240809E-3</v>
      </c>
      <c r="AT159" s="22">
        <f ca="1">(W159-AT$3)</f>
        <v>-0.14611756952970067</v>
      </c>
      <c r="AU159" s="11">
        <f ca="1">AS159*V159</f>
        <v>-1.3672587019152251E-2</v>
      </c>
      <c r="AV159" s="11">
        <f ca="1">AT159*X159</f>
        <v>-0.39854096500709663</v>
      </c>
    </row>
    <row r="160" spans="1:48">
      <c r="A160">
        <v>155</v>
      </c>
      <c r="B160" s="27" t="str">
        <f t="shared" si="56"/>
        <v>Kelly Oubre Jr.</v>
      </c>
      <c r="C160" s="21">
        <v>1</v>
      </c>
      <c r="D160" s="12">
        <f t="shared" ca="1" si="40"/>
        <v>-2.4689812616618769</v>
      </c>
      <c r="E160" s="12">
        <f t="shared" ca="1" si="41"/>
        <v>-2.4689812616618769</v>
      </c>
      <c r="F160" s="29">
        <f ca="1">SUM(AI160:AN160,AP160,AO160)+$A$4</f>
        <v>-0.46181170228025659</v>
      </c>
      <c r="G160" s="29">
        <f ca="1">SUM(Y160:AF160)+$A$4</f>
        <v>-0.46181170228025659</v>
      </c>
      <c r="H160" s="10">
        <v>1</v>
      </c>
      <c r="I160" s="10">
        <v>0</v>
      </c>
      <c r="J160" t="e">
        <f>VLOOKUP(N160,Schedule!#REF!,2,0)</f>
        <v>#REF!</v>
      </c>
      <c r="K160" s="17">
        <v>155</v>
      </c>
      <c r="L160" s="17" t="s">
        <v>217</v>
      </c>
      <c r="M160" s="17" t="s">
        <v>33</v>
      </c>
      <c r="N160" s="17" t="s">
        <v>65</v>
      </c>
      <c r="O160" s="22">
        <v>13.992236842105264</v>
      </c>
      <c r="P160" s="22">
        <v>1.4230263157894738</v>
      </c>
      <c r="Q160" s="22">
        <v>5.25</v>
      </c>
      <c r="R160" s="22">
        <v>1.1667105263157895</v>
      </c>
      <c r="S160" s="22">
        <v>0.875</v>
      </c>
      <c r="T160" s="22">
        <v>0.58328947368421047</v>
      </c>
      <c r="U160" s="22">
        <v>0.45536350254048147</v>
      </c>
      <c r="V160" s="22">
        <v>11.083684210526318</v>
      </c>
      <c r="W160" s="22">
        <v>0.77001801211724252</v>
      </c>
      <c r="X160" s="22">
        <v>3.2142105263157896</v>
      </c>
      <c r="Y160" s="14">
        <f t="shared" ca="1" si="42"/>
        <v>-0.37328732644596224</v>
      </c>
      <c r="Z160" s="14">
        <f t="shared" ca="1" si="43"/>
        <v>-0.29889270476586777</v>
      </c>
      <c r="AA160" s="14">
        <f t="shared" ca="1" si="44"/>
        <v>-0.1914449571120152</v>
      </c>
      <c r="AB160" s="14">
        <f t="shared" ca="1" si="45"/>
        <v>-1.170203150716945</v>
      </c>
      <c r="AC160" s="14">
        <f t="shared" ca="1" si="46"/>
        <v>-0.36472280592227263</v>
      </c>
      <c r="AD160" s="14">
        <f t="shared" ca="1" si="47"/>
        <v>-0.16073121525352266</v>
      </c>
      <c r="AE160" s="14">
        <f ca="1">U$4*AO160</f>
        <v>-0.3552976515083322</v>
      </c>
      <c r="AF160" s="15">
        <f ca="1">AP160*W$4</f>
        <v>-0.34723189055533876</v>
      </c>
      <c r="AG160" s="12">
        <f t="shared" ca="1" si="48"/>
        <v>-3.2618117022802564</v>
      </c>
      <c r="AH160" s="14">
        <f t="shared" ca="1" si="49"/>
        <v>-1.0726056345205892</v>
      </c>
      <c r="AI160" s="14">
        <f t="shared" ca="1" si="50"/>
        <v>-0.37328732644596224</v>
      </c>
      <c r="AJ160" s="14">
        <f t="shared" ca="1" si="51"/>
        <v>-0.29889270476586777</v>
      </c>
      <c r="AK160" s="14">
        <f t="shared" ca="1" si="52"/>
        <v>-0.1914449571120152</v>
      </c>
      <c r="AL160" s="14">
        <f t="shared" ca="1" si="53"/>
        <v>-1.170203150716945</v>
      </c>
      <c r="AM160" s="14">
        <f t="shared" ca="1" si="54"/>
        <v>-0.36472280592227263</v>
      </c>
      <c r="AN160" s="14">
        <f t="shared" ca="1" si="55"/>
        <v>-0.16073121525352266</v>
      </c>
      <c r="AO160" s="14">
        <f t="shared" ca="1" si="57"/>
        <v>-0.3552976515083322</v>
      </c>
      <c r="AP160" s="14">
        <f ca="1">(AV160-$AP$3)/$AP$4</f>
        <v>-0.34723189055533876</v>
      </c>
      <c r="AQ160" s="22">
        <f t="shared" si="58"/>
        <v>5.0471052631578956</v>
      </c>
      <c r="AR160" s="22">
        <f t="shared" si="59"/>
        <v>2.4750000000000001</v>
      </c>
      <c r="AS160" s="22">
        <f ca="1">(U160-AS$3)</f>
        <v>-2.06112026476305E-2</v>
      </c>
      <c r="AT160" s="22">
        <f ca="1">(W160-AT$3)</f>
        <v>-3.0084679622872645E-2</v>
      </c>
      <c r="AU160" s="11">
        <f ca="1">AS160*V160</f>
        <v>-0.22844806134550041</v>
      </c>
      <c r="AV160" s="11">
        <f ca="1">AT160*X160</f>
        <v>-9.6698493924675402E-2</v>
      </c>
    </row>
    <row r="161" spans="1:48">
      <c r="A161">
        <v>156</v>
      </c>
      <c r="B161" s="27" t="str">
        <f t="shared" si="56"/>
        <v>Bobby Portis</v>
      </c>
      <c r="C161" s="21">
        <v>1</v>
      </c>
      <c r="D161" s="12">
        <f t="shared" ca="1" si="40"/>
        <v>-1.1712069329159727</v>
      </c>
      <c r="E161" s="12">
        <f t="shared" ca="1" si="41"/>
        <v>-1.1712069329159727</v>
      </c>
      <c r="F161" s="29">
        <f ca="1">SUM(AI161:AN161,AP161,AO161)+$A$4</f>
        <v>-0.21906892361276897</v>
      </c>
      <c r="G161" s="29">
        <f ca="1">SUM(Y161:AF161)+$A$4</f>
        <v>-0.21906892361276897</v>
      </c>
      <c r="H161" s="10">
        <v>1</v>
      </c>
      <c r="I161" s="10">
        <v>0</v>
      </c>
      <c r="J161" t="e">
        <f>VLOOKUP(N161,Schedule!#REF!,2,0)</f>
        <v>#REF!</v>
      </c>
      <c r="K161" s="17">
        <v>156</v>
      </c>
      <c r="L161" s="17" t="s">
        <v>218</v>
      </c>
      <c r="M161" s="17" t="s">
        <v>45</v>
      </c>
      <c r="N161" s="17" t="s">
        <v>46</v>
      </c>
      <c r="O161" s="22">
        <v>11.39175</v>
      </c>
      <c r="P161" s="22">
        <v>0.99787499999999996</v>
      </c>
      <c r="Q161" s="22">
        <v>7.2453750000000001</v>
      </c>
      <c r="R161" s="22">
        <v>1.1916249999999999</v>
      </c>
      <c r="S161" s="22">
        <v>0.81037499999999996</v>
      </c>
      <c r="T161" s="22">
        <v>0.42899999999999999</v>
      </c>
      <c r="U161" s="22">
        <v>0.49676142025489062</v>
      </c>
      <c r="V161" s="22">
        <v>9.5335000000000001</v>
      </c>
      <c r="W161" s="22">
        <v>0.7440242057488653</v>
      </c>
      <c r="X161" s="22">
        <v>1.2393750000000001</v>
      </c>
      <c r="Y161" s="14">
        <f t="shared" ca="1" si="42"/>
        <v>-0.8254475204304782</v>
      </c>
      <c r="Z161" s="14">
        <f t="shared" ca="1" si="43"/>
        <v>-0.72108345634202697</v>
      </c>
      <c r="AA161" s="14">
        <f t="shared" ca="1" si="44"/>
        <v>0.64272456387282106</v>
      </c>
      <c r="AB161" s="14">
        <f t="shared" ca="1" si="45"/>
        <v>-1.1583405062417926</v>
      </c>
      <c r="AC161" s="14">
        <f t="shared" ca="1" si="46"/>
        <v>-0.57106536546526743</v>
      </c>
      <c r="AD161" s="14">
        <f t="shared" ca="1" si="47"/>
        <v>-0.44449031066797667</v>
      </c>
      <c r="AE161" s="14">
        <f ca="1">U$4*AO161</f>
        <v>0.30820742273072577</v>
      </c>
      <c r="AF161" s="15">
        <f ca="1">AP161*W$4</f>
        <v>-0.24957375106877375</v>
      </c>
      <c r="AG161" s="12">
        <f t="shared" ca="1" si="48"/>
        <v>-3.0190689236127688</v>
      </c>
      <c r="AH161" s="14">
        <f t="shared" ca="1" si="49"/>
        <v>-0.99278273365972247</v>
      </c>
      <c r="AI161" s="14">
        <f t="shared" ca="1" si="50"/>
        <v>-0.8254475204304782</v>
      </c>
      <c r="AJ161" s="14">
        <f t="shared" ca="1" si="51"/>
        <v>-0.72108345634202697</v>
      </c>
      <c r="AK161" s="14">
        <f t="shared" ca="1" si="52"/>
        <v>0.64272456387282106</v>
      </c>
      <c r="AL161" s="14">
        <f t="shared" ca="1" si="53"/>
        <v>-1.1583405062417926</v>
      </c>
      <c r="AM161" s="14">
        <f t="shared" ca="1" si="54"/>
        <v>-0.57106536546526743</v>
      </c>
      <c r="AN161" s="14">
        <f t="shared" ca="1" si="55"/>
        <v>-0.44449031066797667</v>
      </c>
      <c r="AO161" s="14">
        <f t="shared" ca="1" si="57"/>
        <v>0.30820742273072577</v>
      </c>
      <c r="AP161" s="14">
        <f ca="1">(AV161-$AP$3)/$AP$4</f>
        <v>-0.24957375106877375</v>
      </c>
      <c r="AQ161" s="22">
        <f t="shared" si="58"/>
        <v>4.7358750000000001</v>
      </c>
      <c r="AR161" s="22">
        <f t="shared" si="59"/>
        <v>0.92212499999999997</v>
      </c>
      <c r="AS161" s="22">
        <f ca="1">(U161-AS$3)</f>
        <v>2.0786715066778649E-2</v>
      </c>
      <c r="AT161" s="22">
        <f ca="1">(W161-AT$3)</f>
        <v>-5.6078485991249871E-2</v>
      </c>
      <c r="AU161" s="11">
        <f ca="1">AS161*V161</f>
        <v>0.19817014808913425</v>
      </c>
      <c r="AV161" s="11">
        <f ca="1">AT161*X161</f>
        <v>-6.950227357540531E-2</v>
      </c>
    </row>
    <row r="162" spans="1:48">
      <c r="A162">
        <v>157</v>
      </c>
      <c r="B162" s="27" t="str">
        <f t="shared" ref="B162:B224" si="60">L162</f>
        <v>Ricky Rubio</v>
      </c>
      <c r="C162" s="21">
        <v>1</v>
      </c>
      <c r="D162" s="12">
        <f t="shared" ca="1" si="40"/>
        <v>-1.5045627963540587</v>
      </c>
      <c r="E162" s="12">
        <f t="shared" ca="1" si="41"/>
        <v>-1.5045627963540587</v>
      </c>
      <c r="F162" s="29">
        <f ca="1">SUM(AI162:AN162,AP162,AO162)+$A$4</f>
        <v>-0.28142161990493308</v>
      </c>
      <c r="G162" s="29">
        <f ca="1">SUM(Y162:AF162)+$A$4</f>
        <v>-0.28142161990493308</v>
      </c>
      <c r="H162" s="10">
        <v>1</v>
      </c>
      <c r="I162" s="10">
        <v>0</v>
      </c>
      <c r="J162" t="e">
        <f>VLOOKUP(N162,Schedule!#REF!,2,0)</f>
        <v>#REF!</v>
      </c>
      <c r="K162" s="17">
        <v>157</v>
      </c>
      <c r="L162" s="17" t="s">
        <v>219</v>
      </c>
      <c r="M162" s="17" t="s">
        <v>28</v>
      </c>
      <c r="N162" s="17" t="s">
        <v>118</v>
      </c>
      <c r="O162" s="22">
        <v>7.6573611111111104</v>
      </c>
      <c r="P162" s="22">
        <v>1.0859722222222221</v>
      </c>
      <c r="Q162" s="22">
        <v>2.8270833333333334</v>
      </c>
      <c r="R162" s="22">
        <v>5.4625000000000004</v>
      </c>
      <c r="S162" s="22">
        <v>1.2458333333333333</v>
      </c>
      <c r="T162" s="22">
        <v>9.583333333333334E-2</v>
      </c>
      <c r="U162" s="22">
        <v>0.39036555472663326</v>
      </c>
      <c r="V162" s="22">
        <v>6.5159722222222216</v>
      </c>
      <c r="W162" s="22">
        <v>0.87597344044593828</v>
      </c>
      <c r="X162" s="22">
        <v>1.6943055555555555</v>
      </c>
      <c r="Y162" s="14">
        <f t="shared" ca="1" si="42"/>
        <v>-1.4747651701389597</v>
      </c>
      <c r="Z162" s="14">
        <f t="shared" ca="1" si="43"/>
        <v>-0.6335997038980159</v>
      </c>
      <c r="AA162" s="14">
        <f t="shared" ca="1" si="44"/>
        <v>-1.2043489151246742</v>
      </c>
      <c r="AB162" s="14">
        <f t="shared" ca="1" si="45"/>
        <v>0.87517111294705985</v>
      </c>
      <c r="AC162" s="14">
        <f t="shared" ca="1" si="46"/>
        <v>0.81931896063649756</v>
      </c>
      <c r="AD162" s="14">
        <f t="shared" ca="1" si="47"/>
        <v>-1.0572286245537224</v>
      </c>
      <c r="AE162" s="14">
        <f ca="1">U$4*AO162</f>
        <v>-0.86756949171743802</v>
      </c>
      <c r="AF162" s="15">
        <f ca="1">AP162*W$4</f>
        <v>0.46160021194431961</v>
      </c>
      <c r="AG162" s="12">
        <f t="shared" ca="1" si="48"/>
        <v>-3.0814216199049329</v>
      </c>
      <c r="AH162" s="14">
        <f t="shared" ca="1" si="49"/>
        <v>-1.0132866313322253</v>
      </c>
      <c r="AI162" s="14">
        <f t="shared" ca="1" si="50"/>
        <v>-1.4747651701389597</v>
      </c>
      <c r="AJ162" s="14">
        <f t="shared" ca="1" si="51"/>
        <v>-0.6335997038980159</v>
      </c>
      <c r="AK162" s="14">
        <f t="shared" ca="1" si="52"/>
        <v>-1.2043489151246742</v>
      </c>
      <c r="AL162" s="14">
        <f t="shared" ca="1" si="53"/>
        <v>0.87517111294705985</v>
      </c>
      <c r="AM162" s="14">
        <f t="shared" ca="1" si="54"/>
        <v>0.81931896063649756</v>
      </c>
      <c r="AN162" s="14">
        <f t="shared" ca="1" si="55"/>
        <v>-1.0572286245537224</v>
      </c>
      <c r="AO162" s="14">
        <f t="shared" ca="1" si="57"/>
        <v>-0.86756949171743802</v>
      </c>
      <c r="AP162" s="14">
        <f ca="1">(AV162-$AP$3)/$AP$4</f>
        <v>0.46160021194431961</v>
      </c>
      <c r="AQ162" s="22">
        <f t="shared" si="58"/>
        <v>2.5436111111111108</v>
      </c>
      <c r="AR162" s="22">
        <f t="shared" si="59"/>
        <v>1.4841666666666669</v>
      </c>
      <c r="AS162" s="22">
        <f ca="1">(U162-AS$3)</f>
        <v>-8.5609150461478711E-2</v>
      </c>
      <c r="AT162" s="22">
        <f ca="1">(W162-AT$3)</f>
        <v>7.587074870582311E-2</v>
      </c>
      <c r="AU162" s="11">
        <f ca="1">AS162*V162</f>
        <v>-0.55782684637503799</v>
      </c>
      <c r="AV162" s="11">
        <f ca="1">AT162*X162</f>
        <v>0.12854823103643556</v>
      </c>
    </row>
    <row r="163" spans="1:48">
      <c r="A163">
        <v>158</v>
      </c>
      <c r="B163" s="27" t="str">
        <f t="shared" si="60"/>
        <v>Jae Crowder</v>
      </c>
      <c r="C163" s="21">
        <v>1</v>
      </c>
      <c r="D163" s="12">
        <f t="shared" ca="1" si="40"/>
        <v>-0.64357088760810777</v>
      </c>
      <c r="E163" s="12">
        <f t="shared" ca="1" si="41"/>
        <v>-0.64357088760810532</v>
      </c>
      <c r="F163" s="29">
        <f ca="1">SUM(AI163:AN163,AP163,AO163)+$A$4</f>
        <v>-0.12037700397299256</v>
      </c>
      <c r="G163" s="29">
        <f ca="1">SUM(Y163:AF163)+$A$4</f>
        <v>-0.12037700397299211</v>
      </c>
      <c r="H163" s="10">
        <v>1</v>
      </c>
      <c r="I163" s="10">
        <v>0</v>
      </c>
      <c r="J163" t="e">
        <f>VLOOKUP(N163,Schedule!#REF!,2,0)</f>
        <v>#REF!</v>
      </c>
      <c r="K163" s="17">
        <v>158</v>
      </c>
      <c r="L163" s="17" t="s">
        <v>220</v>
      </c>
      <c r="M163" s="17" t="s">
        <v>33</v>
      </c>
      <c r="N163" s="17" t="s">
        <v>72</v>
      </c>
      <c r="O163" s="22">
        <v>10.145714285714286</v>
      </c>
      <c r="P163" s="22">
        <v>2.5367142857142855</v>
      </c>
      <c r="Q163" s="22">
        <v>4.851</v>
      </c>
      <c r="R163" s="22">
        <v>2.1367142857142856</v>
      </c>
      <c r="S163" s="22">
        <v>0.86628571428571433</v>
      </c>
      <c r="T163" s="22">
        <v>0.57757142857142851</v>
      </c>
      <c r="U163" s="22">
        <v>0.40994838939313044</v>
      </c>
      <c r="V163" s="22">
        <v>8.0271428571428576</v>
      </c>
      <c r="W163" s="22">
        <v>0.7530360134003351</v>
      </c>
      <c r="X163" s="22">
        <v>1.3645714285714285</v>
      </c>
      <c r="Y163" s="14">
        <f t="shared" ca="1" si="42"/>
        <v>-1.0421022410623073</v>
      </c>
      <c r="Z163" s="14">
        <f t="shared" ca="1" si="43"/>
        <v>0.80704003866402907</v>
      </c>
      <c r="AA163" s="14">
        <f t="shared" ca="1" si="44"/>
        <v>-0.3582475074461377</v>
      </c>
      <c r="AB163" s="14">
        <f t="shared" ca="1" si="45"/>
        <v>-0.70835073981901209</v>
      </c>
      <c r="AC163" s="14">
        <f t="shared" ca="1" si="46"/>
        <v>-0.39254683716211258</v>
      </c>
      <c r="AD163" s="14">
        <f t="shared" ca="1" si="47"/>
        <v>-0.17124746934395382</v>
      </c>
      <c r="AE163" s="14">
        <f ca="1">U$4*AO163</f>
        <v>-0.8242954768664208</v>
      </c>
      <c r="AF163" s="15">
        <f ca="1">AP163*W$4</f>
        <v>-0.23062677093707698</v>
      </c>
      <c r="AG163" s="12">
        <f t="shared" ca="1" si="48"/>
        <v>-2.9203770039729919</v>
      </c>
      <c r="AH163" s="14">
        <f t="shared" ca="1" si="49"/>
        <v>-0.96032914076431541</v>
      </c>
      <c r="AI163" s="14">
        <f t="shared" ca="1" si="50"/>
        <v>-1.0421022410623073</v>
      </c>
      <c r="AJ163" s="14">
        <f t="shared" ca="1" si="51"/>
        <v>0.80704003866402907</v>
      </c>
      <c r="AK163" s="14">
        <f t="shared" ca="1" si="52"/>
        <v>-0.3582475074461377</v>
      </c>
      <c r="AL163" s="14">
        <f t="shared" ca="1" si="53"/>
        <v>-0.70835073981901209</v>
      </c>
      <c r="AM163" s="14">
        <f t="shared" ca="1" si="54"/>
        <v>-0.39254683716211258</v>
      </c>
      <c r="AN163" s="14">
        <f t="shared" ca="1" si="55"/>
        <v>-0.17124746934395382</v>
      </c>
      <c r="AO163" s="14">
        <f t="shared" ca="1" si="57"/>
        <v>-0.8242954768664208</v>
      </c>
      <c r="AP163" s="14">
        <f ca="1">(AV163-$AP$3)/$AP$4</f>
        <v>-0.23062677093707698</v>
      </c>
      <c r="AQ163" s="22">
        <f t="shared" si="58"/>
        <v>3.2907142857142859</v>
      </c>
      <c r="AR163" s="22">
        <f t="shared" si="59"/>
        <v>1.0275714285714286</v>
      </c>
      <c r="AS163" s="22">
        <f ca="1">(U163-AS$3)</f>
        <v>-6.6026315794981527E-2</v>
      </c>
      <c r="AT163" s="22">
        <f ca="1">(W163-AT$3)</f>
        <v>-4.7066678339780066E-2</v>
      </c>
      <c r="AU163" s="11">
        <f ca="1">AS163*V163</f>
        <v>-0.53000266921714456</v>
      </c>
      <c r="AV163" s="11">
        <f ca="1">AT163*X163</f>
        <v>-6.4225844500225601E-2</v>
      </c>
    </row>
    <row r="164" spans="1:48">
      <c r="A164">
        <v>159</v>
      </c>
      <c r="B164" s="27" t="str">
        <f t="shared" si="60"/>
        <v>Cole Anthony</v>
      </c>
      <c r="C164" s="21">
        <v>1</v>
      </c>
      <c r="D164" s="12">
        <f t="shared" ca="1" si="40"/>
        <v>-3.8081889666866369</v>
      </c>
      <c r="E164" s="12">
        <f t="shared" ca="1" si="41"/>
        <v>-3.8081889666866369</v>
      </c>
      <c r="F164" s="29">
        <f ca="1">SUM(AI164:AN164,AP164,AO164)+$A$4</f>
        <v>-0.71230440531034445</v>
      </c>
      <c r="G164" s="29">
        <f ca="1">SUM(Y164:AF164)+$A$4</f>
        <v>-0.71230440531034445</v>
      </c>
      <c r="H164" s="10">
        <v>1</v>
      </c>
      <c r="I164" s="10">
        <v>0</v>
      </c>
      <c r="J164" t="e">
        <f>VLOOKUP(N164,Schedule!#REF!,2,0)</f>
        <v>#REF!</v>
      </c>
      <c r="K164" s="17">
        <v>159</v>
      </c>
      <c r="L164" s="17" t="s">
        <v>221</v>
      </c>
      <c r="M164" s="17" t="s">
        <v>28</v>
      </c>
      <c r="N164" s="17" t="s">
        <v>120</v>
      </c>
      <c r="O164" s="22">
        <v>13.662533333333334</v>
      </c>
      <c r="P164" s="22">
        <v>1.2948</v>
      </c>
      <c r="Q164" s="22">
        <v>4.4752000000000001</v>
      </c>
      <c r="R164" s="22">
        <v>3.8674666666666666</v>
      </c>
      <c r="S164" s="22">
        <v>0.60773333333333335</v>
      </c>
      <c r="T164" s="22">
        <v>0.38680000000000003</v>
      </c>
      <c r="U164" s="22">
        <v>0.42899007079157858</v>
      </c>
      <c r="V164" s="22">
        <v>11.602133333333333</v>
      </c>
      <c r="W164" s="22">
        <v>0.83199264536888062</v>
      </c>
      <c r="X164" s="22">
        <v>2.9006666666666669</v>
      </c>
      <c r="Y164" s="14">
        <f t="shared" ca="1" si="42"/>
        <v>-0.43061459304462818</v>
      </c>
      <c r="Z164" s="14">
        <f t="shared" ca="1" si="43"/>
        <v>-0.42622610966071917</v>
      </c>
      <c r="AA164" s="14">
        <f t="shared" ca="1" si="44"/>
        <v>-0.51535126287361444</v>
      </c>
      <c r="AB164" s="14">
        <f t="shared" ca="1" si="45"/>
        <v>0.11572045791106376</v>
      </c>
      <c r="AC164" s="14">
        <f t="shared" ca="1" si="46"/>
        <v>-1.2180843236093035</v>
      </c>
      <c r="AD164" s="14">
        <f t="shared" ca="1" si="47"/>
        <v>-0.52210178694405007</v>
      </c>
      <c r="AE164" s="14">
        <f ca="1">U$4*AO164</f>
        <v>-0.84781005676907961</v>
      </c>
      <c r="AF164" s="15">
        <f ca="1">AP164*W$4</f>
        <v>0.33216326967998666</v>
      </c>
      <c r="AG164" s="12">
        <f t="shared" ca="1" si="48"/>
        <v>-3.5123044053103443</v>
      </c>
      <c r="AH164" s="14">
        <f t="shared" ca="1" si="49"/>
        <v>-1.1549770002522584</v>
      </c>
      <c r="AI164" s="14">
        <f t="shared" ca="1" si="50"/>
        <v>-0.43061459304462818</v>
      </c>
      <c r="AJ164" s="14">
        <f t="shared" ca="1" si="51"/>
        <v>-0.42622610966071917</v>
      </c>
      <c r="AK164" s="14">
        <f t="shared" ca="1" si="52"/>
        <v>-0.51535126287361444</v>
      </c>
      <c r="AL164" s="14">
        <f t="shared" ca="1" si="53"/>
        <v>0.11572045791106376</v>
      </c>
      <c r="AM164" s="14">
        <f t="shared" ca="1" si="54"/>
        <v>-1.2180843236093035</v>
      </c>
      <c r="AN164" s="14">
        <f t="shared" ca="1" si="55"/>
        <v>-0.52210178694405007</v>
      </c>
      <c r="AO164" s="14">
        <f t="shared" ca="1" si="57"/>
        <v>-0.84781005676907961</v>
      </c>
      <c r="AP164" s="14">
        <f ca="1">(AV164-$AP$3)/$AP$4</f>
        <v>0.33216326967998666</v>
      </c>
      <c r="AQ164" s="22">
        <f t="shared" si="58"/>
        <v>4.9771999999999998</v>
      </c>
      <c r="AR164" s="22">
        <f t="shared" si="59"/>
        <v>2.4133333333333331</v>
      </c>
      <c r="AS164" s="22">
        <f ca="1">(U164-AS$3)</f>
        <v>-4.6984634396533387E-2</v>
      </c>
      <c r="AT164" s="22">
        <f ca="1">(W164-AT$3)</f>
        <v>3.1889953628765455E-2</v>
      </c>
      <c r="AU164" s="11">
        <f ca="1">AS164*V164</f>
        <v>-0.54512199288649987</v>
      </c>
      <c r="AV164" s="11">
        <f ca="1">AT164*X164</f>
        <v>9.2502125492505666E-2</v>
      </c>
    </row>
    <row r="165" spans="1:48">
      <c r="A165">
        <v>160</v>
      </c>
      <c r="B165" s="27" t="str">
        <f t="shared" si="60"/>
        <v>Rui Hachimura</v>
      </c>
      <c r="C165" s="21">
        <v>1</v>
      </c>
      <c r="D165" s="12">
        <f t="shared" ca="1" si="40"/>
        <v>-2.9083643662553236</v>
      </c>
      <c r="E165" s="12">
        <f t="shared" ca="1" si="41"/>
        <v>-2.9083643662553236</v>
      </c>
      <c r="F165" s="29">
        <f ca="1">SUM(AI165:AN165,AP165,AO165)+$A$4</f>
        <v>-0.54399631122658088</v>
      </c>
      <c r="G165" s="29">
        <f ca="1">SUM(Y165:AF165)+$A$4</f>
        <v>-0.54399631122658088</v>
      </c>
      <c r="H165" s="10">
        <v>1</v>
      </c>
      <c r="I165" s="10">
        <v>0</v>
      </c>
      <c r="J165" t="e">
        <f>VLOOKUP(N165,Schedule!#REF!,2,0)</f>
        <v>#REF!</v>
      </c>
      <c r="K165" s="17">
        <v>160</v>
      </c>
      <c r="L165" s="17" t="s">
        <v>222</v>
      </c>
      <c r="M165" s="17" t="s">
        <v>33</v>
      </c>
      <c r="N165" s="17" t="s">
        <v>40</v>
      </c>
      <c r="O165" s="22">
        <v>14.3855223880597</v>
      </c>
      <c r="P165" s="22">
        <v>0.98044776119402977</v>
      </c>
      <c r="Q165" s="22">
        <v>6.374328358208956</v>
      </c>
      <c r="R165" s="22">
        <v>2.0343283582089553</v>
      </c>
      <c r="S165" s="22">
        <v>0.8137313432835821</v>
      </c>
      <c r="T165" s="22">
        <v>0.13567164179104477</v>
      </c>
      <c r="U165" s="22">
        <v>0.47095370451887159</v>
      </c>
      <c r="V165" s="22">
        <v>11.867313432835822</v>
      </c>
      <c r="W165" s="22">
        <v>0.78199350172937854</v>
      </c>
      <c r="X165" s="22">
        <v>2.8480597014925371</v>
      </c>
      <c r="Y165" s="14">
        <f t="shared" ca="1" si="42"/>
        <v>-0.30490471982369588</v>
      </c>
      <c r="Z165" s="14">
        <f t="shared" ca="1" si="43"/>
        <v>-0.73838933962672815</v>
      </c>
      <c r="AA165" s="14">
        <f t="shared" ca="1" si="44"/>
        <v>0.27858220469808676</v>
      </c>
      <c r="AB165" s="14">
        <f t="shared" ca="1" si="45"/>
        <v>-0.75710022867633442</v>
      </c>
      <c r="AC165" s="14">
        <f t="shared" ca="1" si="46"/>
        <v>-0.5603488244387409</v>
      </c>
      <c r="AD165" s="14">
        <f t="shared" ca="1" si="47"/>
        <v>-0.9839606166924767</v>
      </c>
      <c r="AE165" s="14">
        <f ca="1">U$4*AO165</f>
        <v>-9.26717900758455E-2</v>
      </c>
      <c r="AF165" s="15">
        <f ca="1">AP165*W$4</f>
        <v>-0.18520299659084621</v>
      </c>
      <c r="AG165" s="12">
        <f t="shared" ca="1" si="48"/>
        <v>-3.3439963112265807</v>
      </c>
      <c r="AH165" s="14">
        <f t="shared" ca="1" si="49"/>
        <v>-1.0996310065140351</v>
      </c>
      <c r="AI165" s="14">
        <f t="shared" ca="1" si="50"/>
        <v>-0.30490471982369588</v>
      </c>
      <c r="AJ165" s="14">
        <f t="shared" ca="1" si="51"/>
        <v>-0.73838933962672815</v>
      </c>
      <c r="AK165" s="14">
        <f t="shared" ca="1" si="52"/>
        <v>0.27858220469808676</v>
      </c>
      <c r="AL165" s="14">
        <f t="shared" ca="1" si="53"/>
        <v>-0.75710022867633442</v>
      </c>
      <c r="AM165" s="14">
        <f t="shared" ca="1" si="54"/>
        <v>-0.5603488244387409</v>
      </c>
      <c r="AN165" s="14">
        <f t="shared" ca="1" si="55"/>
        <v>-0.9839606166924767</v>
      </c>
      <c r="AO165" s="14">
        <f t="shared" ca="1" si="57"/>
        <v>-9.26717900758455E-2</v>
      </c>
      <c r="AP165" s="14">
        <f ca="1">(AV165-$AP$3)/$AP$4</f>
        <v>-0.18520299659084621</v>
      </c>
      <c r="AQ165" s="22">
        <f t="shared" si="58"/>
        <v>5.5889552238805971</v>
      </c>
      <c r="AR165" s="22">
        <f t="shared" si="59"/>
        <v>2.2271641791044776</v>
      </c>
      <c r="AS165" s="22">
        <f ca="1">(U165-AS$3)</f>
        <v>-5.021000669240383E-3</v>
      </c>
      <c r="AT165" s="22">
        <f ca="1">(W165-AT$3)</f>
        <v>-1.8109190010736631E-2</v>
      </c>
      <c r="AU165" s="11">
        <f ca="1">AS165*V165</f>
        <v>-5.9585788688354048E-2</v>
      </c>
      <c r="AV165" s="11">
        <f ca="1">AT165*X165</f>
        <v>-5.1576054296250201E-2</v>
      </c>
    </row>
    <row r="166" spans="1:48">
      <c r="A166">
        <v>161</v>
      </c>
      <c r="B166" s="27" t="str">
        <f t="shared" si="60"/>
        <v>LaMarcus Aldridge</v>
      </c>
      <c r="C166" s="21">
        <v>1</v>
      </c>
      <c r="D166" s="12">
        <f t="shared" ca="1" si="40"/>
        <v>-1.9148432812420322</v>
      </c>
      <c r="E166" s="12">
        <f t="shared" ca="1" si="41"/>
        <v>-1.9148432812420322</v>
      </c>
      <c r="F166" s="29">
        <f ca="1">SUM(AI166:AN166,AP166,AO166)+$A$4</f>
        <v>-0.35816271635657237</v>
      </c>
      <c r="G166" s="29">
        <f ca="1">SUM(Y166:AF166)+$A$4</f>
        <v>-0.35816271635657237</v>
      </c>
      <c r="H166" s="10">
        <v>1</v>
      </c>
      <c r="I166" s="10">
        <v>0</v>
      </c>
      <c r="J166" t="e">
        <f>VLOOKUP(N166,Schedule!#REF!,2,0)</f>
        <v>#REF!</v>
      </c>
      <c r="K166" s="17">
        <v>161</v>
      </c>
      <c r="L166" s="17" t="s">
        <v>223</v>
      </c>
      <c r="M166" s="17" t="s">
        <v>45</v>
      </c>
      <c r="N166" s="17" t="s">
        <v>26</v>
      </c>
      <c r="O166" s="22">
        <v>10.717272727272729</v>
      </c>
      <c r="P166" s="22">
        <v>0.8545454545454545</v>
      </c>
      <c r="Q166" s="22">
        <v>5.2</v>
      </c>
      <c r="R166" s="22">
        <v>1.9499999999999997</v>
      </c>
      <c r="S166" s="22">
        <v>0.54166666666666663</v>
      </c>
      <c r="T166" s="22">
        <v>1.1374242424242422</v>
      </c>
      <c r="U166" s="22">
        <v>0.47544646664506118</v>
      </c>
      <c r="V166" s="22">
        <v>8.8828787878787878</v>
      </c>
      <c r="W166" s="22">
        <v>0.83895870736086164</v>
      </c>
      <c r="X166" s="22">
        <v>1.687878787878788</v>
      </c>
      <c r="Y166" s="14">
        <f t="shared" ca="1" si="42"/>
        <v>-0.9427223974022132</v>
      </c>
      <c r="Z166" s="14">
        <f t="shared" ca="1" si="43"/>
        <v>-0.86341491874419984</v>
      </c>
      <c r="AA166" s="14">
        <f t="shared" ca="1" si="44"/>
        <v>-0.21234753234185502</v>
      </c>
      <c r="AB166" s="14">
        <f t="shared" ca="1" si="45"/>
        <v>-0.79725188290293458</v>
      </c>
      <c r="AC166" s="14">
        <f t="shared" ca="1" si="46"/>
        <v>-1.4290300118177963</v>
      </c>
      <c r="AD166" s="14">
        <f t="shared" ca="1" si="47"/>
        <v>0.85839716052407011</v>
      </c>
      <c r="AE166" s="14">
        <f ca="1">U$4*AO166</f>
        <v>-7.2977449709348934E-3</v>
      </c>
      <c r="AF166" s="15">
        <f ca="1">AP166*W$4</f>
        <v>0.23550461129929151</v>
      </c>
      <c r="AG166" s="12">
        <f t="shared" ca="1" si="48"/>
        <v>-3.1581627163565722</v>
      </c>
      <c r="AH166" s="14">
        <f t="shared" ca="1" si="49"/>
        <v>-1.0385219729050614</v>
      </c>
      <c r="AI166" s="14">
        <f t="shared" ca="1" si="50"/>
        <v>-0.9427223974022132</v>
      </c>
      <c r="AJ166" s="14">
        <f t="shared" ca="1" si="51"/>
        <v>-0.86341491874419984</v>
      </c>
      <c r="AK166" s="14">
        <f t="shared" ca="1" si="52"/>
        <v>-0.21234753234185502</v>
      </c>
      <c r="AL166" s="14">
        <f t="shared" ca="1" si="53"/>
        <v>-0.79725188290293458</v>
      </c>
      <c r="AM166" s="14">
        <f t="shared" ca="1" si="54"/>
        <v>-1.4290300118177963</v>
      </c>
      <c r="AN166" s="14">
        <f t="shared" ca="1" si="55"/>
        <v>0.85839716052407011</v>
      </c>
      <c r="AO166" s="14">
        <f t="shared" ca="1" si="57"/>
        <v>-7.2977449709348934E-3</v>
      </c>
      <c r="AP166" s="14">
        <f ca="1">(AV166-$AP$3)/$AP$4</f>
        <v>0.23550461129929151</v>
      </c>
      <c r="AQ166" s="22">
        <f t="shared" si="58"/>
        <v>4.2233333333333336</v>
      </c>
      <c r="AR166" s="22">
        <f t="shared" si="59"/>
        <v>1.416060606060606</v>
      </c>
      <c r="AS166" s="22">
        <f ca="1">(U166-AS$3)</f>
        <v>-5.2823854305078521E-4</v>
      </c>
      <c r="AT166" s="22">
        <f ca="1">(W166-AT$3)</f>
        <v>3.8856015620746476E-2</v>
      </c>
      <c r="AU166" s="11">
        <f ca="1">AS166*V166</f>
        <v>-4.692278949005816E-3</v>
      </c>
      <c r="AV166" s="11">
        <f ca="1">AT166*X166</f>
        <v>6.5584244547744808E-2</v>
      </c>
    </row>
    <row r="167" spans="1:48">
      <c r="A167">
        <v>162</v>
      </c>
      <c r="B167" s="27" t="str">
        <f t="shared" si="60"/>
        <v>Victor Oladipo</v>
      </c>
      <c r="C167" s="21">
        <v>1</v>
      </c>
      <c r="D167" s="12">
        <f t="shared" ca="1" si="40"/>
        <v>-2.7197759421739272</v>
      </c>
      <c r="E167" s="12">
        <f t="shared" ca="1" si="41"/>
        <v>-2.7197759421739272</v>
      </c>
      <c r="F167" s="29">
        <f ca="1">SUM(AI167:AN167,AP167,AO167)+$A$4</f>
        <v>-0.50872170525538829</v>
      </c>
      <c r="G167" s="29">
        <f ca="1">SUM(Y167:AF167)+$A$4</f>
        <v>-0.50872170525538829</v>
      </c>
      <c r="H167" s="10">
        <v>1</v>
      </c>
      <c r="I167" s="10">
        <v>0</v>
      </c>
      <c r="J167" t="e">
        <f>VLOOKUP(N167,Schedule!#REF!,2,0)</f>
        <v>#REF!</v>
      </c>
      <c r="K167" s="17">
        <v>162</v>
      </c>
      <c r="L167" s="17" t="s">
        <v>224</v>
      </c>
      <c r="M167" s="17" t="s">
        <v>39</v>
      </c>
      <c r="N167" s="17" t="s">
        <v>53</v>
      </c>
      <c r="O167" s="22">
        <v>14.6</v>
      </c>
      <c r="P167" s="22">
        <v>1.7402564102564104</v>
      </c>
      <c r="Q167" s="22">
        <v>3.8751282051282052</v>
      </c>
      <c r="R167" s="22">
        <v>3.1848717948717948</v>
      </c>
      <c r="S167" s="22">
        <v>1.0615384615384615</v>
      </c>
      <c r="T167" s="22">
        <v>0.26538461538461539</v>
      </c>
      <c r="U167" s="22">
        <v>0.41810441865700659</v>
      </c>
      <c r="V167" s="22">
        <v>12.528461538461539</v>
      </c>
      <c r="W167" s="22">
        <v>0.76101195349598827</v>
      </c>
      <c r="X167" s="22">
        <v>3.1317948717948716</v>
      </c>
      <c r="Y167" s="14">
        <f t="shared" ca="1" si="42"/>
        <v>-0.26761238015480854</v>
      </c>
      <c r="Z167" s="14">
        <f t="shared" ca="1" si="43"/>
        <v>1.612834075735041E-2</v>
      </c>
      <c r="AA167" s="14">
        <f t="shared" ca="1" si="44"/>
        <v>-0.76621217958586951</v>
      </c>
      <c r="AB167" s="14">
        <f t="shared" ca="1" si="45"/>
        <v>-0.2092866197939959</v>
      </c>
      <c r="AC167" s="14">
        <f t="shared" ca="1" si="46"/>
        <v>0.23087988045387622</v>
      </c>
      <c r="AD167" s="14">
        <f t="shared" ca="1" si="47"/>
        <v>-0.74540101070298981</v>
      </c>
      <c r="AE167" s="14">
        <f ca="1">U$4*AO167</f>
        <v>-1.1276082292734717</v>
      </c>
      <c r="AF167" s="15">
        <f ca="1">AP167*W$4</f>
        <v>-0.43960950695547935</v>
      </c>
      <c r="AG167" s="12">
        <f t="shared" ca="1" si="48"/>
        <v>-3.3087217052553881</v>
      </c>
      <c r="AH167" s="14">
        <f t="shared" ca="1" si="49"/>
        <v>-1.0880313972865174</v>
      </c>
      <c r="AI167" s="14">
        <f t="shared" ca="1" si="50"/>
        <v>-0.26761238015480854</v>
      </c>
      <c r="AJ167" s="14">
        <f t="shared" ca="1" si="51"/>
        <v>1.612834075735041E-2</v>
      </c>
      <c r="AK167" s="14">
        <f t="shared" ca="1" si="52"/>
        <v>-0.76621217958586951</v>
      </c>
      <c r="AL167" s="14">
        <f t="shared" ca="1" si="53"/>
        <v>-0.2092866197939959</v>
      </c>
      <c r="AM167" s="14">
        <f t="shared" ca="1" si="54"/>
        <v>0.23087988045387622</v>
      </c>
      <c r="AN167" s="14">
        <f t="shared" ca="1" si="55"/>
        <v>-0.74540101070298981</v>
      </c>
      <c r="AO167" s="14">
        <f t="shared" ca="1" si="57"/>
        <v>-1.1276082292734717</v>
      </c>
      <c r="AP167" s="14">
        <f ca="1">(AV167-$AP$3)/$AP$4</f>
        <v>-0.43960950695547935</v>
      </c>
      <c r="AQ167" s="22">
        <f t="shared" si="58"/>
        <v>5.2382051282051281</v>
      </c>
      <c r="AR167" s="22">
        <f t="shared" si="59"/>
        <v>2.3833333333333333</v>
      </c>
      <c r="AS167" s="22">
        <f ca="1">(U167-AS$3)</f>
        <v>-5.7870286531105375E-2</v>
      </c>
      <c r="AT167" s="22">
        <f ca="1">(W167-AT$3)</f>
        <v>-3.9090738244126899E-2</v>
      </c>
      <c r="AU167" s="11">
        <f ca="1">AS167*V167</f>
        <v>-0.72502565902470251</v>
      </c>
      <c r="AV167" s="11">
        <f ca="1">AT167*X167</f>
        <v>-0.12242417356763229</v>
      </c>
    </row>
    <row r="168" spans="1:48">
      <c r="A168">
        <v>163</v>
      </c>
      <c r="B168" s="27" t="str">
        <f t="shared" si="60"/>
        <v>Gary Trent Jr.</v>
      </c>
      <c r="C168" s="21">
        <v>1</v>
      </c>
      <c r="D168" s="12">
        <f t="shared" ca="1" si="40"/>
        <v>-2.1639639937359156</v>
      </c>
      <c r="E168" s="12">
        <f t="shared" ca="1" si="41"/>
        <v>-2.1639639937359156</v>
      </c>
      <c r="F168" s="29">
        <f ca="1">SUM(AI168:AN168,AP168,AO168)+$A$4</f>
        <v>-0.40475961123645998</v>
      </c>
      <c r="G168" s="29">
        <f ca="1">SUM(Y168:AF168)+$A$4</f>
        <v>-0.40475961123645998</v>
      </c>
      <c r="H168" s="10">
        <v>1</v>
      </c>
      <c r="I168" s="10">
        <v>0</v>
      </c>
      <c r="J168" t="e">
        <f>VLOOKUP(N168,Schedule!#REF!,2,0)</f>
        <v>#REF!</v>
      </c>
      <c r="K168" s="17">
        <v>163</v>
      </c>
      <c r="L168" s="17" t="s">
        <v>225</v>
      </c>
      <c r="M168" s="17" t="s">
        <v>48</v>
      </c>
      <c r="N168" s="17" t="s">
        <v>57</v>
      </c>
      <c r="O168" s="22">
        <v>16.478243243243242</v>
      </c>
      <c r="P168" s="22">
        <v>3.0377027027027026</v>
      </c>
      <c r="Q168" s="22">
        <v>2.7395945945945943</v>
      </c>
      <c r="R168" s="22">
        <v>1.369864864864865</v>
      </c>
      <c r="S168" s="22">
        <v>1.0436486486486487</v>
      </c>
      <c r="T168" s="22">
        <v>0.19567567567567568</v>
      </c>
      <c r="U168" s="22">
        <v>0.40880242565773367</v>
      </c>
      <c r="V168" s="22">
        <v>14.351081081081082</v>
      </c>
      <c r="W168" s="22">
        <v>0.7930190219097244</v>
      </c>
      <c r="X168" s="22">
        <v>2.1525675675675675</v>
      </c>
      <c r="Y168" s="14">
        <f t="shared" ca="1" si="42"/>
        <v>5.896755690322087E-2</v>
      </c>
      <c r="Z168" s="14">
        <f t="shared" ca="1" si="43"/>
        <v>1.3045397956776632</v>
      </c>
      <c r="AA168" s="14">
        <f t="shared" ca="1" si="44"/>
        <v>-1.2409237139896803</v>
      </c>
      <c r="AB168" s="14">
        <f t="shared" ca="1" si="45"/>
        <v>-1.0734743286539787</v>
      </c>
      <c r="AC168" s="14">
        <f t="shared" ca="1" si="46"/>
        <v>0.17375911014162496</v>
      </c>
      <c r="AD168" s="14">
        <f t="shared" ca="1" si="47"/>
        <v>-0.87360512730134543</v>
      </c>
      <c r="AE168" s="14">
        <f ca="1">U$4*AO168</f>
        <v>-1.4992690116393284</v>
      </c>
      <c r="AF168" s="15">
        <f ca="1">AP168*W$4</f>
        <v>-5.4753892374636119E-2</v>
      </c>
      <c r="AG168" s="12">
        <f t="shared" ca="1" si="48"/>
        <v>-3.2047596112364598</v>
      </c>
      <c r="AH168" s="14">
        <f t="shared" ca="1" si="49"/>
        <v>-1.0538447740233452</v>
      </c>
      <c r="AI168" s="14">
        <f t="shared" ca="1" si="50"/>
        <v>5.896755690322087E-2</v>
      </c>
      <c r="AJ168" s="14">
        <f t="shared" ca="1" si="51"/>
        <v>1.3045397956776632</v>
      </c>
      <c r="AK168" s="14">
        <f t="shared" ca="1" si="52"/>
        <v>-1.2409237139896803</v>
      </c>
      <c r="AL168" s="14">
        <f t="shared" ca="1" si="53"/>
        <v>-1.0734743286539787</v>
      </c>
      <c r="AM168" s="14">
        <f t="shared" ca="1" si="54"/>
        <v>0.17375911014162496</v>
      </c>
      <c r="AN168" s="14">
        <f t="shared" ca="1" si="55"/>
        <v>-0.87360512730134543</v>
      </c>
      <c r="AO168" s="14">
        <f t="shared" ca="1" si="57"/>
        <v>-1.4992690116393284</v>
      </c>
      <c r="AP168" s="14">
        <f ca="1">(AV168-$AP$3)/$AP$4</f>
        <v>-5.4753892374636119E-2</v>
      </c>
      <c r="AQ168" s="22">
        <f t="shared" si="58"/>
        <v>5.8667567567567573</v>
      </c>
      <c r="AR168" s="22">
        <f t="shared" si="59"/>
        <v>1.7070270270270269</v>
      </c>
      <c r="AS168" s="22">
        <f ca="1">(U168-AS$3)</f>
        <v>-6.7172279530378298E-2</v>
      </c>
      <c r="AT168" s="22">
        <f ca="1">(W168-AT$3)</f>
        <v>-7.0836698303907708E-3</v>
      </c>
      <c r="AU168" s="11">
        <f ca="1">AS168*V168</f>
        <v>-0.96399482994150199</v>
      </c>
      <c r="AV168" s="11">
        <f ca="1">AT168*X168</f>
        <v>-1.5248077936256025E-2</v>
      </c>
    </row>
    <row r="169" spans="1:48">
      <c r="A169">
        <v>164</v>
      </c>
      <c r="B169" s="27" t="str">
        <f t="shared" si="60"/>
        <v>Monte Morris</v>
      </c>
      <c r="C169" s="21">
        <v>1</v>
      </c>
      <c r="D169" s="12">
        <f t="shared" ca="1" si="40"/>
        <v>-2.1490625253698217</v>
      </c>
      <c r="E169" s="12">
        <f t="shared" ca="1" si="41"/>
        <v>-2.1490625253698217</v>
      </c>
      <c r="F169" s="29">
        <f ca="1">SUM(AI169:AN169,AP169,AO169)+$A$4</f>
        <v>-0.40197235943367016</v>
      </c>
      <c r="G169" s="29">
        <f ca="1">SUM(Y169:AF169)+$A$4</f>
        <v>-0.40197235943367016</v>
      </c>
      <c r="H169" s="10">
        <v>1</v>
      </c>
      <c r="I169" s="10">
        <v>0</v>
      </c>
      <c r="J169" t="e">
        <f>VLOOKUP(N169,Schedule!#REF!,2,0)</f>
        <v>#REF!</v>
      </c>
      <c r="K169" s="17">
        <v>164</v>
      </c>
      <c r="L169" s="17" t="s">
        <v>226</v>
      </c>
      <c r="M169" s="17" t="s">
        <v>28</v>
      </c>
      <c r="N169" s="17" t="s">
        <v>23</v>
      </c>
      <c r="O169" s="22">
        <v>12.605416666666667</v>
      </c>
      <c r="P169" s="22">
        <v>1.2588888888888889</v>
      </c>
      <c r="Q169" s="22">
        <v>2.4749999999999996</v>
      </c>
      <c r="R169" s="22">
        <v>3.7743055555555554</v>
      </c>
      <c r="S169" s="22">
        <v>0.86624999999999996</v>
      </c>
      <c r="T169" s="22">
        <v>0.30944444444444447</v>
      </c>
      <c r="U169" s="22">
        <v>0.48296937326752759</v>
      </c>
      <c r="V169" s="22">
        <v>10.271527777777777</v>
      </c>
      <c r="W169" s="22">
        <v>0.8160197263760739</v>
      </c>
      <c r="X169" s="22">
        <v>1.7461111111111112</v>
      </c>
      <c r="Y169" s="14">
        <f t="shared" ca="1" si="42"/>
        <v>-0.61442097472864554</v>
      </c>
      <c r="Z169" s="14">
        <f t="shared" ca="1" si="43"/>
        <v>-0.46188715180469431</v>
      </c>
      <c r="AA169" s="14">
        <f t="shared" ca="1" si="44"/>
        <v>-1.3515378823681303</v>
      </c>
      <c r="AB169" s="14">
        <f t="shared" ca="1" si="45"/>
        <v>7.1363223877993626E-2</v>
      </c>
      <c r="AC169" s="14">
        <f t="shared" ca="1" si="46"/>
        <v>-0.39266087007703021</v>
      </c>
      <c r="AD169" s="14">
        <f t="shared" ca="1" si="47"/>
        <v>-0.66436905862230788</v>
      </c>
      <c r="AE169" s="14">
        <f ca="1">U$4*AO169</f>
        <v>0.1117395750772544</v>
      </c>
      <c r="AF169" s="15">
        <f ca="1">AP169*W$4</f>
        <v>9.9800779211890803E-2</v>
      </c>
      <c r="AG169" s="12">
        <f t="shared" ca="1" si="48"/>
        <v>-3.20197235943367</v>
      </c>
      <c r="AH169" s="14">
        <f t="shared" ca="1" si="49"/>
        <v>-1.052928221425778</v>
      </c>
      <c r="AI169" s="14">
        <f t="shared" ca="1" si="50"/>
        <v>-0.61442097472864554</v>
      </c>
      <c r="AJ169" s="14">
        <f t="shared" ca="1" si="51"/>
        <v>-0.46188715180469431</v>
      </c>
      <c r="AK169" s="14">
        <f t="shared" ca="1" si="52"/>
        <v>-1.3515378823681303</v>
      </c>
      <c r="AL169" s="14">
        <f t="shared" ca="1" si="53"/>
        <v>7.1363223877993626E-2</v>
      </c>
      <c r="AM169" s="14">
        <f t="shared" ca="1" si="54"/>
        <v>-0.39266087007703021</v>
      </c>
      <c r="AN169" s="14">
        <f t="shared" ca="1" si="55"/>
        <v>-0.66436905862230788</v>
      </c>
      <c r="AO169" s="14">
        <f t="shared" ca="1" si="57"/>
        <v>0.1117395750772544</v>
      </c>
      <c r="AP169" s="14">
        <f ca="1">(AV169-$AP$3)/$AP$4</f>
        <v>9.9800779211890803E-2</v>
      </c>
      <c r="AQ169" s="22">
        <f t="shared" si="58"/>
        <v>4.9608333333333334</v>
      </c>
      <c r="AR169" s="22">
        <f t="shared" si="59"/>
        <v>1.4248611111111114</v>
      </c>
      <c r="AS169" s="22">
        <f ca="1">(U169-AS$3)</f>
        <v>6.9946680794156224E-3</v>
      </c>
      <c r="AT169" s="22">
        <f ca="1">(W169-AT$3)</f>
        <v>1.5917034635958727E-2</v>
      </c>
      <c r="AU169" s="11">
        <f ca="1">AS169*V169</f>
        <v>7.1845927474053106E-2</v>
      </c>
      <c r="AV169" s="11">
        <f ca="1">AT169*X169</f>
        <v>2.7792911033787934E-2</v>
      </c>
    </row>
    <row r="170" spans="1:48">
      <c r="A170">
        <v>165</v>
      </c>
      <c r="B170" s="27" t="str">
        <f t="shared" si="60"/>
        <v>Serge Ibaka</v>
      </c>
      <c r="C170" s="21">
        <v>1</v>
      </c>
      <c r="D170" s="12">
        <f t="shared" ca="1" si="40"/>
        <v>-4.8511397240335983</v>
      </c>
      <c r="E170" s="12">
        <f t="shared" ca="1" si="41"/>
        <v>-4.8511397240335965</v>
      </c>
      <c r="F170" s="29">
        <f ca="1">SUM(AI170:AN170,AP170,AO170)+$A$4</f>
        <v>-0.90738359530820034</v>
      </c>
      <c r="G170" s="29">
        <f ca="1">SUM(Y170:AF170)+$A$4</f>
        <v>-0.9073835953081999</v>
      </c>
      <c r="H170" s="10">
        <v>1</v>
      </c>
      <c r="I170" s="10">
        <v>0</v>
      </c>
      <c r="J170" t="e">
        <f>VLOOKUP(N170,Schedule!#REF!,2,0)</f>
        <v>#REF!</v>
      </c>
      <c r="K170" s="17">
        <v>165</v>
      </c>
      <c r="L170" s="17" t="s">
        <v>227</v>
      </c>
      <c r="M170" s="17" t="s">
        <v>63</v>
      </c>
      <c r="N170" s="17" t="s">
        <v>49</v>
      </c>
      <c r="O170" s="22">
        <v>11.211774193548386</v>
      </c>
      <c r="P170" s="22">
        <v>1.0458064516129033</v>
      </c>
      <c r="Q170" s="22">
        <v>6.6412903225806454</v>
      </c>
      <c r="R170" s="22">
        <v>1.8025806451612905</v>
      </c>
      <c r="S170" s="22">
        <v>0.23725806451612905</v>
      </c>
      <c r="T170" s="22">
        <v>0.99612903225806448</v>
      </c>
      <c r="U170" s="22">
        <v>0.49998247335950646</v>
      </c>
      <c r="V170" s="22">
        <v>9.202580645161289</v>
      </c>
      <c r="W170" s="22">
        <v>0.74799699549323995</v>
      </c>
      <c r="X170" s="22">
        <v>1.2883870967741935</v>
      </c>
      <c r="Y170" s="14">
        <f t="shared" ca="1" si="42"/>
        <v>-0.85674085144837353</v>
      </c>
      <c r="Z170" s="14">
        <f t="shared" ca="1" si="43"/>
        <v>-0.67348577798835463</v>
      </c>
      <c r="AA170" s="14">
        <f t="shared" ca="1" si="44"/>
        <v>0.39018605557378838</v>
      </c>
      <c r="AB170" s="14">
        <f t="shared" ca="1" si="45"/>
        <v>-0.86744334740560425</v>
      </c>
      <c r="AC170" s="14">
        <f t="shared" ca="1" si="46"/>
        <v>-2.4009828182339987</v>
      </c>
      <c r="AD170" s="14">
        <f t="shared" ca="1" si="47"/>
        <v>0.59853626356352241</v>
      </c>
      <c r="AE170" s="14">
        <f ca="1">U$4*AO170</f>
        <v>0.3436103846335028</v>
      </c>
      <c r="AF170" s="15">
        <f ca="1">AP170*W$4</f>
        <v>-0.24106350400268248</v>
      </c>
      <c r="AG170" s="12">
        <f t="shared" ca="1" si="48"/>
        <v>-3.7073835953081997</v>
      </c>
      <c r="AH170" s="14">
        <f t="shared" ca="1" si="49"/>
        <v>-1.2191263311971243</v>
      </c>
      <c r="AI170" s="14">
        <f t="shared" ca="1" si="50"/>
        <v>-0.85674085144837353</v>
      </c>
      <c r="AJ170" s="14">
        <f t="shared" ca="1" si="51"/>
        <v>-0.67348577798835463</v>
      </c>
      <c r="AK170" s="14">
        <f t="shared" ca="1" si="52"/>
        <v>0.39018605557378838</v>
      </c>
      <c r="AL170" s="14">
        <f t="shared" ca="1" si="53"/>
        <v>-0.86744334740560425</v>
      </c>
      <c r="AM170" s="14">
        <f t="shared" ca="1" si="54"/>
        <v>-2.4009828182339987</v>
      </c>
      <c r="AN170" s="14">
        <f t="shared" ca="1" si="55"/>
        <v>0.59853626356352241</v>
      </c>
      <c r="AO170" s="14">
        <f t="shared" ca="1" si="57"/>
        <v>0.3436103846335028</v>
      </c>
      <c r="AP170" s="14">
        <f ca="1">(AV170-$AP$3)/$AP$4</f>
        <v>-0.24106350400268248</v>
      </c>
      <c r="AQ170" s="22">
        <f t="shared" si="58"/>
        <v>4.601129032258064</v>
      </c>
      <c r="AR170" s="22">
        <f t="shared" si="59"/>
        <v>0.96370967741935487</v>
      </c>
      <c r="AS170" s="22">
        <f ca="1">(U170-AS$3)</f>
        <v>2.4007768171394495E-2</v>
      </c>
      <c r="AT170" s="22">
        <f ca="1">(W170-AT$3)</f>
        <v>-5.2105696246875222E-2</v>
      </c>
      <c r="AU170" s="11">
        <f ca="1">AS170*V170</f>
        <v>0.2209334227075942</v>
      </c>
      <c r="AV170" s="11">
        <f ca="1">AT170*X170</f>
        <v>-6.7132306712909554E-2</v>
      </c>
    </row>
    <row r="171" spans="1:48">
      <c r="A171">
        <v>166</v>
      </c>
      <c r="B171" s="27" t="str">
        <f t="shared" si="60"/>
        <v>Marcus Morris</v>
      </c>
      <c r="C171" s="21">
        <v>1</v>
      </c>
      <c r="D171" s="12">
        <f t="shared" ca="1" si="40"/>
        <v>-2.3664293977127064</v>
      </c>
      <c r="E171" s="12">
        <f t="shared" ca="1" si="41"/>
        <v>-2.3664293977127064</v>
      </c>
      <c r="F171" s="29">
        <f ca="1">SUM(AI171:AN171,AP171,AO171)+$A$4</f>
        <v>-0.4426298431070923</v>
      </c>
      <c r="G171" s="29">
        <f ca="1">SUM(Y171:AF171)+$A$4</f>
        <v>-0.4426298431070923</v>
      </c>
      <c r="H171" s="10">
        <v>1</v>
      </c>
      <c r="I171" s="10">
        <v>0</v>
      </c>
      <c r="J171" t="e">
        <f>VLOOKUP(N171,Schedule!#REF!,2,0)</f>
        <v>#REF!</v>
      </c>
      <c r="K171" s="17">
        <v>166</v>
      </c>
      <c r="L171" s="17" t="s">
        <v>228</v>
      </c>
      <c r="M171" s="17" t="s">
        <v>33</v>
      </c>
      <c r="N171" s="17" t="s">
        <v>49</v>
      </c>
      <c r="O171" s="22">
        <v>14.723142857142856</v>
      </c>
      <c r="P171" s="22">
        <v>2.375</v>
      </c>
      <c r="Q171" s="22">
        <v>4.5457142857142854</v>
      </c>
      <c r="R171" s="22">
        <v>1.1364285714285713</v>
      </c>
      <c r="S171" s="22">
        <v>0.65800000000000003</v>
      </c>
      <c r="T171" s="22">
        <v>0.35885714285714287</v>
      </c>
      <c r="U171" s="22">
        <v>0.45065862366120896</v>
      </c>
      <c r="V171" s="22">
        <v>11.604285714285714</v>
      </c>
      <c r="W171" s="22">
        <v>0.81397353031702058</v>
      </c>
      <c r="X171" s="22">
        <v>2.3207142857142857</v>
      </c>
      <c r="Y171" s="14">
        <f t="shared" ca="1" si="42"/>
        <v>-0.24620089009379964</v>
      </c>
      <c r="Z171" s="14">
        <f t="shared" ca="1" si="43"/>
        <v>0.64645185913661596</v>
      </c>
      <c r="AA171" s="14">
        <f t="shared" ca="1" si="44"/>
        <v>-0.48587265963518894</v>
      </c>
      <c r="AB171" s="14">
        <f t="shared" ca="1" si="45"/>
        <v>-1.1846214390337213</v>
      </c>
      <c r="AC171" s="14">
        <f t="shared" ca="1" si="46"/>
        <v>-1.0575867969602584</v>
      </c>
      <c r="AD171" s="14">
        <f t="shared" ca="1" si="47"/>
        <v>-0.57349245979306818</v>
      </c>
      <c r="AE171" s="14">
        <f ca="1">U$4*AO171</f>
        <v>-0.45689852786450075</v>
      </c>
      <c r="AF171" s="15">
        <f ca="1">AP171*W$4</f>
        <v>0.11559107113682922</v>
      </c>
      <c r="AG171" s="12">
        <f t="shared" ca="1" si="48"/>
        <v>-3.2426298431070921</v>
      </c>
      <c r="AH171" s="14">
        <f t="shared" ca="1" si="49"/>
        <v>-1.0662979220872402</v>
      </c>
      <c r="AI171" s="14">
        <f t="shared" ca="1" si="50"/>
        <v>-0.24620089009379964</v>
      </c>
      <c r="AJ171" s="14">
        <f t="shared" ca="1" si="51"/>
        <v>0.64645185913661596</v>
      </c>
      <c r="AK171" s="14">
        <f t="shared" ca="1" si="52"/>
        <v>-0.48587265963518894</v>
      </c>
      <c r="AL171" s="14">
        <f t="shared" ca="1" si="53"/>
        <v>-1.1846214390337213</v>
      </c>
      <c r="AM171" s="14">
        <f t="shared" ca="1" si="54"/>
        <v>-1.0575867969602584</v>
      </c>
      <c r="AN171" s="14">
        <f t="shared" ca="1" si="55"/>
        <v>-0.57349245979306818</v>
      </c>
      <c r="AO171" s="14">
        <f t="shared" ca="1" si="57"/>
        <v>-0.45689852786450075</v>
      </c>
      <c r="AP171" s="14">
        <f ca="1">(AV171-$AP$3)/$AP$4</f>
        <v>0.11559107113682922</v>
      </c>
      <c r="AQ171" s="22">
        <f t="shared" si="58"/>
        <v>5.229571428571429</v>
      </c>
      <c r="AR171" s="22">
        <f t="shared" si="59"/>
        <v>1.889</v>
      </c>
      <c r="AS171" s="22">
        <f ca="1">(U171-AS$3)</f>
        <v>-2.5316081526903012E-2</v>
      </c>
      <c r="AT171" s="22">
        <f ca="1">(W171-AT$3)</f>
        <v>1.3870838576905409E-2</v>
      </c>
      <c r="AU171" s="11">
        <f ca="1">AS171*V171</f>
        <v>-0.29377504320433306</v>
      </c>
      <c r="AV171" s="11">
        <f ca="1">AT171*X171</f>
        <v>3.2190253240261195E-2</v>
      </c>
    </row>
    <row r="172" spans="1:48">
      <c r="A172">
        <v>167</v>
      </c>
      <c r="B172" s="27" t="str">
        <f t="shared" si="60"/>
        <v>Luguentz Dort</v>
      </c>
      <c r="C172" s="21">
        <v>1</v>
      </c>
      <c r="D172" s="12">
        <f t="shared" ca="1" si="40"/>
        <v>-1.4918967283111813</v>
      </c>
      <c r="E172" s="12">
        <f t="shared" ca="1" si="41"/>
        <v>-1.4918967283111788</v>
      </c>
      <c r="F172" s="29">
        <f ca="1">SUM(AI172:AN172,AP172,AO172)+$A$4</f>
        <v>-0.2790524895535178</v>
      </c>
      <c r="G172" s="29">
        <f ca="1">SUM(Y172:AF172)+$A$4</f>
        <v>-0.27905248955351736</v>
      </c>
      <c r="H172" s="10">
        <v>1</v>
      </c>
      <c r="I172" s="10">
        <v>0</v>
      </c>
      <c r="J172" t="e">
        <f>VLOOKUP(N172,Schedule!#REF!,2,0)</f>
        <v>#REF!</v>
      </c>
      <c r="K172" s="17">
        <v>167</v>
      </c>
      <c r="L172" s="17" t="s">
        <v>229</v>
      </c>
      <c r="M172" s="17" t="s">
        <v>48</v>
      </c>
      <c r="N172" s="17" t="s">
        <v>70</v>
      </c>
      <c r="O172" s="22">
        <v>16.359436619718309</v>
      </c>
      <c r="P172" s="22">
        <v>2.3845070422535213</v>
      </c>
      <c r="Q172" s="22">
        <v>3.8826760563380285</v>
      </c>
      <c r="R172" s="22">
        <v>1.6639436619718311</v>
      </c>
      <c r="S172" s="22">
        <v>1.2480281690140844</v>
      </c>
      <c r="T172" s="22">
        <v>0.34661971830985916</v>
      </c>
      <c r="U172" s="22">
        <v>0.40333770098830896</v>
      </c>
      <c r="V172" s="22">
        <v>13.866338028169015</v>
      </c>
      <c r="W172" s="22">
        <v>0.7450154239711082</v>
      </c>
      <c r="X172" s="22">
        <v>3.7439436619718309</v>
      </c>
      <c r="Y172" s="14">
        <f t="shared" ca="1" si="42"/>
        <v>3.8310030370154777E-2</v>
      </c>
      <c r="Z172" s="14">
        <f t="shared" ca="1" si="43"/>
        <v>0.65589269858651189</v>
      </c>
      <c r="AA172" s="14">
        <f t="shared" ca="1" si="44"/>
        <v>-0.76305678903113017</v>
      </c>
      <c r="AB172" s="14">
        <f t="shared" ca="1" si="45"/>
        <v>-0.93345322036256395</v>
      </c>
      <c r="AC172" s="14">
        <f t="shared" ca="1" si="46"/>
        <v>0.82632689892883748</v>
      </c>
      <c r="AD172" s="14">
        <f t="shared" ca="1" si="47"/>
        <v>-0.59599872957818079</v>
      </c>
      <c r="AE172" s="14">
        <f ca="1">U$4*AO172</f>
        <v>-1.5664789636190306</v>
      </c>
      <c r="AF172" s="15">
        <f ca="1">AP172*W$4</f>
        <v>-0.74059441484811595</v>
      </c>
      <c r="AG172" s="12">
        <f t="shared" ca="1" si="48"/>
        <v>-3.0790524895535172</v>
      </c>
      <c r="AH172" s="14">
        <f t="shared" ca="1" si="49"/>
        <v>-1.0125075726998505</v>
      </c>
      <c r="AI172" s="14">
        <f t="shared" ca="1" si="50"/>
        <v>3.8310030370154777E-2</v>
      </c>
      <c r="AJ172" s="14">
        <f t="shared" ca="1" si="51"/>
        <v>0.65589269858651189</v>
      </c>
      <c r="AK172" s="14">
        <f t="shared" ca="1" si="52"/>
        <v>-0.76305678903113017</v>
      </c>
      <c r="AL172" s="14">
        <f t="shared" ca="1" si="53"/>
        <v>-0.93345322036256395</v>
      </c>
      <c r="AM172" s="14">
        <f t="shared" ca="1" si="54"/>
        <v>0.82632689892883748</v>
      </c>
      <c r="AN172" s="14">
        <f t="shared" ca="1" si="55"/>
        <v>-0.59599872957818079</v>
      </c>
      <c r="AO172" s="14">
        <f t="shared" ca="1" si="57"/>
        <v>-1.5664789636190306</v>
      </c>
      <c r="AP172" s="14">
        <f ca="1">(AV172-$AP$3)/$AP$4</f>
        <v>-0.74059441484811595</v>
      </c>
      <c r="AQ172" s="22">
        <f t="shared" si="58"/>
        <v>5.5928169014084519</v>
      </c>
      <c r="AR172" s="22">
        <f t="shared" si="59"/>
        <v>2.7892957746478872</v>
      </c>
      <c r="AS172" s="22">
        <f ca="1">(U172-AS$3)</f>
        <v>-7.2637004199803012E-2</v>
      </c>
      <c r="AT172" s="22">
        <f ca="1">(W172-AT$3)</f>
        <v>-5.5087267769006965E-2</v>
      </c>
      <c r="AU172" s="11">
        <f ca="1">AS172*V172</f>
        <v>-1.0072092535880008</v>
      </c>
      <c r="AV172" s="11">
        <f ca="1">AT172*X172</f>
        <v>-0.20624362701911875</v>
      </c>
    </row>
    <row r="173" spans="1:48">
      <c r="A173">
        <v>168</v>
      </c>
      <c r="B173" s="27" t="str">
        <f t="shared" si="60"/>
        <v>Goran Dragic</v>
      </c>
      <c r="C173" s="21">
        <v>1</v>
      </c>
      <c r="D173" s="12">
        <f t="shared" ca="1" si="40"/>
        <v>-4.632776162018228</v>
      </c>
      <c r="E173" s="12">
        <f t="shared" ca="1" si="41"/>
        <v>-4.632776162018228</v>
      </c>
      <c r="F173" s="29">
        <f ca="1">SUM(AI173:AN173,AP173,AO173)+$A$4</f>
        <v>-0.86653968537004999</v>
      </c>
      <c r="G173" s="29">
        <f ca="1">SUM(Y173:AF173)+$A$4</f>
        <v>-0.86653968537004999</v>
      </c>
      <c r="H173" s="10">
        <v>1</v>
      </c>
      <c r="I173" s="10">
        <v>0</v>
      </c>
      <c r="J173" t="e">
        <f>VLOOKUP(N173,Schedule!#REF!,2,0)</f>
        <v>#REF!</v>
      </c>
      <c r="K173" s="17">
        <v>168</v>
      </c>
      <c r="L173" s="17" t="s">
        <v>230</v>
      </c>
      <c r="M173" s="17" t="s">
        <v>28</v>
      </c>
      <c r="N173" s="17" t="s">
        <v>57</v>
      </c>
      <c r="O173" s="22">
        <v>12.213870967741936</v>
      </c>
      <c r="P173" s="22">
        <v>1.714032258064516</v>
      </c>
      <c r="Q173" s="22">
        <v>3.4466129032258066</v>
      </c>
      <c r="R173" s="22">
        <v>4.2672580645161293</v>
      </c>
      <c r="S173" s="22">
        <v>0.71112903225806456</v>
      </c>
      <c r="T173" s="22">
        <v>0.16419354838709677</v>
      </c>
      <c r="U173" s="22">
        <v>0.43318106715910204</v>
      </c>
      <c r="V173" s="22">
        <v>9.9570967741935466</v>
      </c>
      <c r="W173" s="22">
        <v>0.81801535319388685</v>
      </c>
      <c r="X173" s="22">
        <v>2.290161290322581</v>
      </c>
      <c r="Y173" s="14">
        <f t="shared" ca="1" si="42"/>
        <v>-0.68250106508445085</v>
      </c>
      <c r="Z173" s="14">
        <f t="shared" ca="1" si="43"/>
        <v>-9.9131981304791741E-3</v>
      </c>
      <c r="AA173" s="14">
        <f t="shared" ca="1" si="44"/>
        <v>-0.94535364628891849</v>
      </c>
      <c r="AB173" s="14">
        <f t="shared" ca="1" si="45"/>
        <v>0.30607499949297273</v>
      </c>
      <c r="AC173" s="14">
        <f t="shared" ca="1" si="46"/>
        <v>-0.887949961336717</v>
      </c>
      <c r="AD173" s="14">
        <f t="shared" ca="1" si="47"/>
        <v>-0.93150499401172138</v>
      </c>
      <c r="AE173" s="14">
        <f ca="1">U$4*AO173</f>
        <v>-0.66269973498862889</v>
      </c>
      <c r="AF173" s="15">
        <f ca="1">AP173*W$4</f>
        <v>0.14730791497789311</v>
      </c>
      <c r="AG173" s="12">
        <f t="shared" ca="1" si="48"/>
        <v>-3.6665396853700498</v>
      </c>
      <c r="AH173" s="14">
        <f t="shared" ca="1" si="49"/>
        <v>-1.2056953266100461</v>
      </c>
      <c r="AI173" s="14">
        <f t="shared" ca="1" si="50"/>
        <v>-0.68250106508445085</v>
      </c>
      <c r="AJ173" s="14">
        <f t="shared" ca="1" si="51"/>
        <v>-9.9131981304791741E-3</v>
      </c>
      <c r="AK173" s="14">
        <f t="shared" ca="1" si="52"/>
        <v>-0.94535364628891849</v>
      </c>
      <c r="AL173" s="14">
        <f t="shared" ca="1" si="53"/>
        <v>0.30607499949297273</v>
      </c>
      <c r="AM173" s="14">
        <f t="shared" ca="1" si="54"/>
        <v>-0.887949961336717</v>
      </c>
      <c r="AN173" s="14">
        <f t="shared" ca="1" si="55"/>
        <v>-0.93150499401172138</v>
      </c>
      <c r="AO173" s="14">
        <f t="shared" ca="1" si="57"/>
        <v>-0.66269973498862889</v>
      </c>
      <c r="AP173" s="14">
        <f ca="1">(AV173-$AP$3)/$AP$4</f>
        <v>0.14730791497789311</v>
      </c>
      <c r="AQ173" s="22">
        <f t="shared" si="58"/>
        <v>4.3132258064516131</v>
      </c>
      <c r="AR173" s="22">
        <f t="shared" si="59"/>
        <v>1.8733870967741937</v>
      </c>
      <c r="AS173" s="22">
        <f ca="1">(U173-AS$3)</f>
        <v>-4.2793638029009928E-2</v>
      </c>
      <c r="AT173" s="22">
        <f ca="1">(W173-AT$3)</f>
        <v>1.7912661453771683E-2</v>
      </c>
      <c r="AU173" s="11">
        <f ca="1">AS173*V173</f>
        <v>-0.42610039517466103</v>
      </c>
      <c r="AV173" s="11">
        <f ca="1">AT173*X173</f>
        <v>4.1022883868081318E-2</v>
      </c>
    </row>
    <row r="174" spans="1:48">
      <c r="A174">
        <v>169</v>
      </c>
      <c r="B174" s="27" t="str">
        <f t="shared" si="60"/>
        <v>Markelle Fultz</v>
      </c>
      <c r="C174" s="21">
        <v>1</v>
      </c>
      <c r="D174" s="12">
        <f t="shared" ca="1" si="40"/>
        <v>-1.8095821890200854</v>
      </c>
      <c r="E174" s="12">
        <f t="shared" ca="1" si="41"/>
        <v>-1.8095821890200854</v>
      </c>
      <c r="F174" s="29">
        <f ca="1">SUM(AI174:AN174,AP174,AO174)+$A$4</f>
        <v>-0.33847410837168379</v>
      </c>
      <c r="G174" s="29">
        <f ca="1">SUM(Y174:AF174)+$A$4</f>
        <v>-0.33847410837168379</v>
      </c>
      <c r="H174" s="10">
        <v>1</v>
      </c>
      <c r="I174" s="10">
        <v>0</v>
      </c>
      <c r="J174" t="e">
        <f>VLOOKUP(N174,Schedule!#REF!,2,0)</f>
        <v>#REF!</v>
      </c>
      <c r="K174" s="17">
        <v>169</v>
      </c>
      <c r="L174" s="17" t="s">
        <v>231</v>
      </c>
      <c r="M174" s="17" t="s">
        <v>28</v>
      </c>
      <c r="N174" s="17" t="s">
        <v>120</v>
      </c>
      <c r="O174" s="22">
        <v>13.601860465116278</v>
      </c>
      <c r="P174" s="22">
        <v>0.56837209302325586</v>
      </c>
      <c r="Q174" s="22">
        <v>3.2725581395348837</v>
      </c>
      <c r="R174" s="22">
        <v>5.354883720930232</v>
      </c>
      <c r="S174" s="22">
        <v>1.19</v>
      </c>
      <c r="T174" s="22">
        <v>0.1786046511627907</v>
      </c>
      <c r="U174" s="22">
        <v>0.44755895546001084</v>
      </c>
      <c r="V174" s="22">
        <v>12.494651162790698</v>
      </c>
      <c r="W174" s="22">
        <v>0.73999627768471987</v>
      </c>
      <c r="X174" s="22">
        <v>2.4990697674418603</v>
      </c>
      <c r="Y174" s="14">
        <f t="shared" ca="1" si="42"/>
        <v>-0.4411641007054366</v>
      </c>
      <c r="Z174" s="14">
        <f t="shared" ca="1" si="43"/>
        <v>-1.1475954965645456</v>
      </c>
      <c r="AA174" s="14">
        <f t="shared" ca="1" si="44"/>
        <v>-1.0181175021321489</v>
      </c>
      <c r="AB174" s="14">
        <f t="shared" ca="1" si="45"/>
        <v>0.82393127242205177</v>
      </c>
      <c r="AC174" s="14">
        <f t="shared" ca="1" si="46"/>
        <v>0.6410475036489971</v>
      </c>
      <c r="AD174" s="14">
        <f t="shared" ca="1" si="47"/>
        <v>-0.90500103758546968</v>
      </c>
      <c r="AE174" s="14">
        <f ca="1">U$4*AO174</f>
        <v>-0.55218946239567446</v>
      </c>
      <c r="AF174" s="15">
        <f ca="1">AP174*W$4</f>
        <v>-0.5393852850594576</v>
      </c>
      <c r="AG174" s="12">
        <f t="shared" ca="1" si="48"/>
        <v>-3.1384741083716836</v>
      </c>
      <c r="AH174" s="14">
        <f t="shared" ca="1" si="49"/>
        <v>-1.0320476225169948</v>
      </c>
      <c r="AI174" s="14">
        <f t="shared" ca="1" si="50"/>
        <v>-0.4411641007054366</v>
      </c>
      <c r="AJ174" s="14">
        <f t="shared" ca="1" si="51"/>
        <v>-1.1475954965645456</v>
      </c>
      <c r="AK174" s="14">
        <f t="shared" ca="1" si="52"/>
        <v>-1.0181175021321489</v>
      </c>
      <c r="AL174" s="14">
        <f t="shared" ca="1" si="53"/>
        <v>0.82393127242205177</v>
      </c>
      <c r="AM174" s="14">
        <f t="shared" ca="1" si="54"/>
        <v>0.6410475036489971</v>
      </c>
      <c r="AN174" s="14">
        <f t="shared" ca="1" si="55"/>
        <v>-0.90500103758546968</v>
      </c>
      <c r="AO174" s="14">
        <f t="shared" ca="1" si="57"/>
        <v>-0.55218946239567446</v>
      </c>
      <c r="AP174" s="14">
        <f ca="1">(AV174-$AP$3)/$AP$4</f>
        <v>-0.5393852850594576</v>
      </c>
      <c r="AQ174" s="22">
        <f t="shared" si="58"/>
        <v>5.5920930232558144</v>
      </c>
      <c r="AR174" s="22">
        <f t="shared" si="59"/>
        <v>1.8493023255813952</v>
      </c>
      <c r="AS174" s="22">
        <f ca="1">(U174-AS$3)</f>
        <v>-2.8415749728101125E-2</v>
      </c>
      <c r="AT174" s="22">
        <f ca="1">(W174-AT$3)</f>
        <v>-6.0106414055395296E-2</v>
      </c>
      <c r="AU174" s="11">
        <f ca="1">AS174*V174</f>
        <v>-0.35504488038178816</v>
      </c>
      <c r="AV174" s="11">
        <f ca="1">AT174*X174</f>
        <v>-0.15021012219518087</v>
      </c>
    </row>
    <row r="175" spans="1:48">
      <c r="A175">
        <v>170</v>
      </c>
      <c r="B175" s="27" t="str">
        <f t="shared" si="60"/>
        <v>Otto Porter</v>
      </c>
      <c r="C175" s="21">
        <v>1</v>
      </c>
      <c r="D175" s="12">
        <f t="shared" ca="1" si="40"/>
        <v>-5.081436661182968</v>
      </c>
      <c r="E175" s="12">
        <f t="shared" ca="1" si="41"/>
        <v>-5.081436661182968</v>
      </c>
      <c r="F175" s="29">
        <f ca="1">SUM(AI175:AN175,AP175,AO175)+$A$4</f>
        <v>-0.95045958872553893</v>
      </c>
      <c r="G175" s="29">
        <f ca="1">SUM(Y175:AF175)+$A$4</f>
        <v>-0.95045958872553893</v>
      </c>
      <c r="H175" s="10">
        <v>1</v>
      </c>
      <c r="I175" s="10">
        <v>0</v>
      </c>
      <c r="J175" t="e">
        <f>VLOOKUP(N175,Schedule!#REF!,2,0)</f>
        <v>#REF!</v>
      </c>
      <c r="K175" s="17">
        <v>170</v>
      </c>
      <c r="L175" s="17" t="s">
        <v>232</v>
      </c>
      <c r="M175" s="17" t="s">
        <v>105</v>
      </c>
      <c r="N175" s="17" t="s">
        <v>29</v>
      </c>
      <c r="O175" s="22">
        <v>10.453898305084747</v>
      </c>
      <c r="P175" s="22">
        <v>1.5538983050847459</v>
      </c>
      <c r="Q175" s="22">
        <v>4.5320338983050847</v>
      </c>
      <c r="R175" s="22">
        <v>2.1115254237288137</v>
      </c>
      <c r="S175" s="22">
        <v>0.87542372881355934</v>
      </c>
      <c r="T175" s="22">
        <v>0.30898305084745764</v>
      </c>
      <c r="U175" s="22">
        <v>0.44025231154991379</v>
      </c>
      <c r="V175" s="22">
        <v>8.6522033898305093</v>
      </c>
      <c r="W175" s="22">
        <v>0.82303003918154127</v>
      </c>
      <c r="X175" s="22">
        <v>1.5572881355932202</v>
      </c>
      <c r="Y175" s="14">
        <f t="shared" ca="1" si="42"/>
        <v>-0.98851668018761207</v>
      </c>
      <c r="Z175" s="14">
        <f t="shared" ca="1" si="43"/>
        <v>-0.16893204965596309</v>
      </c>
      <c r="AA175" s="14">
        <f t="shared" ca="1" si="44"/>
        <v>-0.49159176617507233</v>
      </c>
      <c r="AB175" s="14">
        <f t="shared" ca="1" si="45"/>
        <v>-0.72034403007489678</v>
      </c>
      <c r="AC175" s="14">
        <f t="shared" ca="1" si="46"/>
        <v>-0.36336987303342233</v>
      </c>
      <c r="AD175" s="14">
        <f t="shared" ca="1" si="47"/>
        <v>-0.66521762350871727</v>
      </c>
      <c r="AE175" s="14">
        <f ca="1">U$4*AO175</f>
        <v>-0.48069779692582526</v>
      </c>
      <c r="AF175" s="15">
        <f ca="1">AP175*W$4</f>
        <v>0.12821023083597091</v>
      </c>
      <c r="AG175" s="12">
        <f t="shared" ca="1" si="48"/>
        <v>-3.7504595887255388</v>
      </c>
      <c r="AH175" s="14">
        <f t="shared" ca="1" si="49"/>
        <v>-1.2332913282813245</v>
      </c>
      <c r="AI175" s="14">
        <f t="shared" ca="1" si="50"/>
        <v>-0.98851668018761207</v>
      </c>
      <c r="AJ175" s="14">
        <f t="shared" ca="1" si="51"/>
        <v>-0.16893204965596309</v>
      </c>
      <c r="AK175" s="14">
        <f t="shared" ca="1" si="52"/>
        <v>-0.49159176617507233</v>
      </c>
      <c r="AL175" s="14">
        <f t="shared" ca="1" si="53"/>
        <v>-0.72034403007489678</v>
      </c>
      <c r="AM175" s="14">
        <f t="shared" ca="1" si="54"/>
        <v>-0.36336987303342233</v>
      </c>
      <c r="AN175" s="14">
        <f t="shared" ca="1" si="55"/>
        <v>-0.66521762350871727</v>
      </c>
      <c r="AO175" s="14">
        <f t="shared" ca="1" si="57"/>
        <v>-0.48069779692582526</v>
      </c>
      <c r="AP175" s="14">
        <f ca="1">(AV175-$AP$3)/$AP$4</f>
        <v>0.12821023083597091</v>
      </c>
      <c r="AQ175" s="22">
        <f t="shared" si="58"/>
        <v>3.8091525423728814</v>
      </c>
      <c r="AR175" s="22">
        <f t="shared" si="59"/>
        <v>1.2816949152542374</v>
      </c>
      <c r="AS175" s="22">
        <f ca="1">(U175-AS$3)</f>
        <v>-3.572239363819818E-2</v>
      </c>
      <c r="AT175" s="22">
        <f ca="1">(W175-AT$3)</f>
        <v>2.2927347441426105E-2</v>
      </c>
      <c r="AU175" s="11">
        <f ca="1">AS175*V175</f>
        <v>-0.30907741532927813</v>
      </c>
      <c r="AV175" s="11">
        <f ca="1">AT175*X175</f>
        <v>3.5704486151156449E-2</v>
      </c>
    </row>
    <row r="176" spans="1:48">
      <c r="A176">
        <v>171</v>
      </c>
      <c r="B176" s="27" t="str">
        <f t="shared" si="60"/>
        <v>Facundo Campazzo</v>
      </c>
      <c r="C176" s="21">
        <v>1</v>
      </c>
      <c r="D176" s="12">
        <f t="shared" ca="1" si="40"/>
        <v>-3.8418009035214484</v>
      </c>
      <c r="E176" s="12">
        <f t="shared" ca="1" si="41"/>
        <v>-3.8418009035214484</v>
      </c>
      <c r="F176" s="29">
        <f ca="1">SUM(AI176:AN176,AP176,AO176)+$A$4</f>
        <v>-0.71859136504051779</v>
      </c>
      <c r="G176" s="29">
        <f ca="1">SUM(Y176:AF176)+$A$4</f>
        <v>-0.71859136504051779</v>
      </c>
      <c r="H176" s="10">
        <v>1</v>
      </c>
      <c r="I176" s="10">
        <v>0</v>
      </c>
      <c r="J176" t="e">
        <f>VLOOKUP(N176,Schedule!#REF!,2,0)</f>
        <v>#REF!</v>
      </c>
      <c r="K176" s="17">
        <v>171</v>
      </c>
      <c r="L176" s="17" t="s">
        <v>233</v>
      </c>
      <c r="M176" s="17" t="s">
        <v>28</v>
      </c>
      <c r="N176" s="17" t="s">
        <v>23</v>
      </c>
      <c r="O176" s="22">
        <v>6.4101315789473681</v>
      </c>
      <c r="P176" s="22">
        <v>1.2118421052631578</v>
      </c>
      <c r="Q176" s="22">
        <v>2.4255263157894738</v>
      </c>
      <c r="R176" s="22">
        <v>3.9599999999999995</v>
      </c>
      <c r="S176" s="22">
        <v>1.2869736842105264</v>
      </c>
      <c r="T176" s="22">
        <v>0.24749999999999997</v>
      </c>
      <c r="U176" s="22">
        <v>0.38069310763037706</v>
      </c>
      <c r="V176" s="22">
        <v>5.0990789473684206</v>
      </c>
      <c r="W176" s="22">
        <v>0.89000622942066387</v>
      </c>
      <c r="X176" s="22">
        <v>1.4785526315789475</v>
      </c>
      <c r="Y176" s="14">
        <f t="shared" ca="1" si="42"/>
        <v>-1.6916274661042117</v>
      </c>
      <c r="Z176" s="14">
        <f t="shared" ca="1" si="43"/>
        <v>-0.50860632260463601</v>
      </c>
      <c r="AA176" s="14">
        <f t="shared" ca="1" si="44"/>
        <v>-1.3722204304902876</v>
      </c>
      <c r="AB176" s="14">
        <f t="shared" ca="1" si="45"/>
        <v>0.15977878518489116</v>
      </c>
      <c r="AC176" s="14">
        <f t="shared" ca="1" si="46"/>
        <v>0.95067687631149789</v>
      </c>
      <c r="AD176" s="14">
        <f t="shared" ca="1" si="47"/>
        <v>-0.77829322403544898</v>
      </c>
      <c r="AE176" s="14">
        <f ca="1">U$4*AO176</f>
        <v>-0.7556237960267983</v>
      </c>
      <c r="AF176" s="15">
        <f ca="1">AP176*W$4</f>
        <v>0.47732421272447523</v>
      </c>
      <c r="AG176" s="12">
        <f t="shared" ca="1" si="48"/>
        <v>-3.5185913650405176</v>
      </c>
      <c r="AH176" s="14">
        <f t="shared" ca="1" si="49"/>
        <v>-1.1570443876572007</v>
      </c>
      <c r="AI176" s="14">
        <f t="shared" ca="1" si="50"/>
        <v>-1.6916274661042117</v>
      </c>
      <c r="AJ176" s="14">
        <f t="shared" ca="1" si="51"/>
        <v>-0.50860632260463601</v>
      </c>
      <c r="AK176" s="14">
        <f t="shared" ca="1" si="52"/>
        <v>-1.3722204304902876</v>
      </c>
      <c r="AL176" s="14">
        <f t="shared" ca="1" si="53"/>
        <v>0.15977878518489116</v>
      </c>
      <c r="AM176" s="14">
        <f t="shared" ca="1" si="54"/>
        <v>0.95067687631149789</v>
      </c>
      <c r="AN176" s="14">
        <f t="shared" ca="1" si="55"/>
        <v>-0.77829322403544898</v>
      </c>
      <c r="AO176" s="14">
        <f t="shared" ca="1" si="57"/>
        <v>-0.7556237960267983</v>
      </c>
      <c r="AP176" s="14">
        <f ca="1">(AV176-$AP$3)/$AP$4</f>
        <v>0.47732421272447523</v>
      </c>
      <c r="AQ176" s="22">
        <f t="shared" si="58"/>
        <v>1.941184210526316</v>
      </c>
      <c r="AR176" s="22">
        <f t="shared" si="59"/>
        <v>1.315921052631579</v>
      </c>
      <c r="AS176" s="22">
        <f ca="1">(U176-AS$3)</f>
        <v>-9.5281597557734909E-2</v>
      </c>
      <c r="AT176" s="22">
        <f ca="1">(W176-AT$3)</f>
        <v>8.9903537680548706E-2</v>
      </c>
      <c r="AU176" s="11">
        <f ca="1">AS176*V176</f>
        <v>-0.48584838817827641</v>
      </c>
      <c r="AV176" s="11">
        <f ca="1">AT176*X176</f>
        <v>0.13292711222583234</v>
      </c>
    </row>
    <row r="177" spans="1:48">
      <c r="A177">
        <v>172</v>
      </c>
      <c r="B177" s="27" t="str">
        <f t="shared" si="60"/>
        <v>Cameron Payne</v>
      </c>
      <c r="C177" s="21">
        <v>1</v>
      </c>
      <c r="D177" s="12">
        <f t="shared" ca="1" si="40"/>
        <v>-2.6710593024048017</v>
      </c>
      <c r="E177" s="12">
        <f t="shared" ca="1" si="41"/>
        <v>-2.6710593024048017</v>
      </c>
      <c r="F177" s="29">
        <f ca="1">SUM(AI177:AN177,AP177,AO177)+$A$4</f>
        <v>-0.49960947962188529</v>
      </c>
      <c r="G177" s="29">
        <f ca="1">SUM(Y177:AF177)+$A$4</f>
        <v>-0.49960947962188529</v>
      </c>
      <c r="H177" s="10">
        <v>1</v>
      </c>
      <c r="I177" s="10">
        <v>0</v>
      </c>
      <c r="J177" t="e">
        <f>VLOOKUP(N177,Schedule!#REF!,2,0)</f>
        <v>#REF!</v>
      </c>
      <c r="K177" s="17">
        <v>172</v>
      </c>
      <c r="L177" s="17" t="s">
        <v>234</v>
      </c>
      <c r="M177" s="17" t="s">
        <v>28</v>
      </c>
      <c r="N177" s="17" t="s">
        <v>72</v>
      </c>
      <c r="O177" s="22">
        <v>10.31608108108108</v>
      </c>
      <c r="P177" s="22">
        <v>1.510945945945946</v>
      </c>
      <c r="Q177" s="22">
        <v>2.9885135135135132</v>
      </c>
      <c r="R177" s="22">
        <v>4.0713513513513506</v>
      </c>
      <c r="S177" s="22">
        <v>0.73635135135135132</v>
      </c>
      <c r="T177" s="22">
        <v>0.3464864864864865</v>
      </c>
      <c r="U177" s="22">
        <v>0.47435834277550615</v>
      </c>
      <c r="V177" s="22">
        <v>8.2293243243243239</v>
      </c>
      <c r="W177" s="22">
        <v>0.86605676753460004</v>
      </c>
      <c r="X177" s="22">
        <v>1.1521621621621623</v>
      </c>
      <c r="Y177" s="14">
        <f t="shared" ca="1" si="42"/>
        <v>-1.0124796788580677</v>
      </c>
      <c r="Z177" s="14">
        <f t="shared" ca="1" si="43"/>
        <v>-0.21158530771563863</v>
      </c>
      <c r="AA177" s="14">
        <f t="shared" ca="1" si="44"/>
        <v>-1.1368627854130178</v>
      </c>
      <c r="AB177" s="14">
        <f t="shared" ca="1" si="45"/>
        <v>0.21279702308353085</v>
      </c>
      <c r="AC177" s="14">
        <f t="shared" ca="1" si="46"/>
        <v>-0.80741707345557301</v>
      </c>
      <c r="AD177" s="14">
        <f t="shared" ca="1" si="47"/>
        <v>-0.59624376082223063</v>
      </c>
      <c r="AE177" s="14">
        <f ca="1">U$4*AO177</f>
        <v>-2.068748904644431E-2</v>
      </c>
      <c r="AF177" s="15">
        <f ca="1">AP177*W$4</f>
        <v>0.27286959260555582</v>
      </c>
      <c r="AG177" s="12">
        <f t="shared" ca="1" si="48"/>
        <v>-3.2996094796218851</v>
      </c>
      <c r="AH177" s="14">
        <f t="shared" ca="1" si="49"/>
        <v>-1.0850349568265469</v>
      </c>
      <c r="AI177" s="14">
        <f t="shared" ca="1" si="50"/>
        <v>-1.0124796788580677</v>
      </c>
      <c r="AJ177" s="14">
        <f t="shared" ca="1" si="51"/>
        <v>-0.21158530771563863</v>
      </c>
      <c r="AK177" s="14">
        <f t="shared" ca="1" si="52"/>
        <v>-1.1368627854130178</v>
      </c>
      <c r="AL177" s="14">
        <f t="shared" ca="1" si="53"/>
        <v>0.21279702308353085</v>
      </c>
      <c r="AM177" s="14">
        <f t="shared" ca="1" si="54"/>
        <v>-0.80741707345557301</v>
      </c>
      <c r="AN177" s="14">
        <f t="shared" ca="1" si="55"/>
        <v>-0.59624376082223063</v>
      </c>
      <c r="AO177" s="14">
        <f t="shared" ca="1" si="57"/>
        <v>-2.068748904644431E-2</v>
      </c>
      <c r="AP177" s="14">
        <f ca="1">(AV177-$AP$3)/$AP$4</f>
        <v>0.27286959260555582</v>
      </c>
      <c r="AQ177" s="22">
        <f t="shared" si="58"/>
        <v>3.9036486486486481</v>
      </c>
      <c r="AR177" s="22">
        <f t="shared" si="59"/>
        <v>0.99783783783783797</v>
      </c>
      <c r="AS177" s="22">
        <f ca="1">(U177-AS$3)</f>
        <v>-1.6163624126058207E-3</v>
      </c>
      <c r="AT177" s="22">
        <f ca="1">(W177-AT$3)</f>
        <v>6.5954075794484868E-2</v>
      </c>
      <c r="AU177" s="11">
        <f ca="1">AS177*V177</f>
        <v>-1.330157051898063E-2</v>
      </c>
      <c r="AV177" s="11">
        <f ca="1">AT177*X177</f>
        <v>7.5989790570780813E-2</v>
      </c>
    </row>
    <row r="178" spans="1:48">
      <c r="A178">
        <v>173</v>
      </c>
      <c r="B178" s="27" t="str">
        <f t="shared" si="60"/>
        <v>Chris Duarte</v>
      </c>
      <c r="C178" s="21">
        <v>1</v>
      </c>
      <c r="D178" s="12">
        <f t="shared" ca="1" si="40"/>
        <v>-5.5554364103639502</v>
      </c>
      <c r="E178" s="12">
        <f t="shared" ca="1" si="41"/>
        <v>-5.5554364103639502</v>
      </c>
      <c r="F178" s="29">
        <f ca="1">SUM(AI178:AN178,AP178,AO178)+$A$4</f>
        <v>-1.0391190834121624</v>
      </c>
      <c r="G178" s="29">
        <f ca="1">SUM(Y178:AF178)+$A$4</f>
        <v>-1.0391190834121624</v>
      </c>
      <c r="H178" s="10">
        <v>1</v>
      </c>
      <c r="I178" s="10">
        <v>0</v>
      </c>
      <c r="J178" t="e">
        <f>VLOOKUP(N178,Schedule!#REF!,2,0)</f>
        <v>#REF!</v>
      </c>
      <c r="K178" s="17">
        <v>173</v>
      </c>
      <c r="L178" s="17" t="s">
        <v>235</v>
      </c>
      <c r="M178" s="17" t="s">
        <v>39</v>
      </c>
      <c r="N178" s="17" t="s">
        <v>75</v>
      </c>
      <c r="O178" s="22">
        <v>9.231285714285713</v>
      </c>
      <c r="P178" s="22">
        <v>1.8009999999999999</v>
      </c>
      <c r="Q178" s="22">
        <v>3.7958571428571433</v>
      </c>
      <c r="R178" s="22">
        <v>2.1757142857142857</v>
      </c>
      <c r="S178" s="22">
        <v>0.97214285714285709</v>
      </c>
      <c r="T178" s="22">
        <v>0.50914285714285712</v>
      </c>
      <c r="U178" s="22">
        <v>0.41512362789666257</v>
      </c>
      <c r="V178" s="22">
        <v>7.7305714285714284</v>
      </c>
      <c r="W178" s="22">
        <v>0.77</v>
      </c>
      <c r="X178" s="22">
        <v>1.3142857142857143</v>
      </c>
      <c r="Y178" s="14">
        <f t="shared" ca="1" si="42"/>
        <v>-1.2010987003204507</v>
      </c>
      <c r="Z178" s="14">
        <f t="shared" ca="1" si="43"/>
        <v>7.6448939223941997E-2</v>
      </c>
      <c r="AA178" s="14">
        <f t="shared" ca="1" si="44"/>
        <v>-0.79935156643927341</v>
      </c>
      <c r="AB178" s="14">
        <f t="shared" ca="1" si="45"/>
        <v>-0.68978148805014372</v>
      </c>
      <c r="AC178" s="14">
        <f t="shared" ca="1" si="46"/>
        <v>-5.4553277347005893E-2</v>
      </c>
      <c r="AD178" s="14">
        <f t="shared" ca="1" si="47"/>
        <v>-0.29709681645376818</v>
      </c>
      <c r="AE178" s="14">
        <f ca="1">U$4*AO178</f>
        <v>-0.73161858392691048</v>
      </c>
      <c r="AF178" s="15">
        <f ca="1">AP178*W$4</f>
        <v>-0.1420675900985518</v>
      </c>
      <c r="AG178" s="12">
        <f t="shared" ca="1" si="48"/>
        <v>-3.8391190834121622</v>
      </c>
      <c r="AH178" s="14">
        <f t="shared" ca="1" si="49"/>
        <v>-1.2624458847776852</v>
      </c>
      <c r="AI178" s="14">
        <f t="shared" ca="1" si="50"/>
        <v>-1.2010987003204507</v>
      </c>
      <c r="AJ178" s="14">
        <f t="shared" ca="1" si="51"/>
        <v>7.6448939223941997E-2</v>
      </c>
      <c r="AK178" s="14">
        <f t="shared" ca="1" si="52"/>
        <v>-0.79935156643927341</v>
      </c>
      <c r="AL178" s="14">
        <f t="shared" ca="1" si="53"/>
        <v>-0.68978148805014372</v>
      </c>
      <c r="AM178" s="14">
        <f t="shared" ca="1" si="54"/>
        <v>-5.4553277347005893E-2</v>
      </c>
      <c r="AN178" s="14">
        <f t="shared" ca="1" si="55"/>
        <v>-0.29709681645376818</v>
      </c>
      <c r="AO178" s="14">
        <f t="shared" ca="1" si="57"/>
        <v>-0.73161858392691048</v>
      </c>
      <c r="AP178" s="14">
        <f ca="1">(AV178-$AP$3)/$AP$4</f>
        <v>-0.1420675900985518</v>
      </c>
      <c r="AQ178" s="22">
        <f t="shared" si="58"/>
        <v>3.2091428571428571</v>
      </c>
      <c r="AR178" s="22">
        <f t="shared" si="59"/>
        <v>1.012</v>
      </c>
      <c r="AS178" s="22">
        <f ca="1">(U178-AS$3)</f>
        <v>-6.0851077291449396E-2</v>
      </c>
      <c r="AT178" s="22">
        <f ca="1">(W178-AT$3)</f>
        <v>-3.0102691740115151E-2</v>
      </c>
      <c r="AU178" s="11">
        <f ca="1">AS178*V178</f>
        <v>-0.47041359950707035</v>
      </c>
      <c r="AV178" s="11">
        <f ca="1">AT178*X178</f>
        <v>-3.9563537715579911E-2</v>
      </c>
    </row>
    <row r="179" spans="1:48">
      <c r="A179">
        <v>174</v>
      </c>
      <c r="B179" s="27" t="str">
        <f t="shared" si="60"/>
        <v>Trevor Ariza</v>
      </c>
      <c r="C179" s="21">
        <v>1</v>
      </c>
      <c r="D179" s="12">
        <f t="shared" ca="1" si="40"/>
        <v>-4.3754956251232953</v>
      </c>
      <c r="E179" s="12">
        <f t="shared" ca="1" si="41"/>
        <v>-4.3754956251232953</v>
      </c>
      <c r="F179" s="29">
        <f ca="1">SUM(AI179:AN179,AP179,AO179)+$A$4</f>
        <v>-0.81841653249239199</v>
      </c>
      <c r="G179" s="29">
        <f ca="1">SUM(Y179:AF179)+$A$4</f>
        <v>-0.81841653249239199</v>
      </c>
      <c r="H179" s="10">
        <v>1</v>
      </c>
      <c r="I179" s="10">
        <v>0</v>
      </c>
      <c r="J179" t="e">
        <f>VLOOKUP(N179,Schedule!#REF!,2,0)</f>
        <v>#REF!</v>
      </c>
      <c r="K179" s="17">
        <v>174</v>
      </c>
      <c r="L179" s="17" t="s">
        <v>236</v>
      </c>
      <c r="M179" s="17" t="s">
        <v>105</v>
      </c>
      <c r="N179" s="17" t="s">
        <v>55</v>
      </c>
      <c r="O179" s="22">
        <v>7.2860869565217392</v>
      </c>
      <c r="P179" s="22">
        <v>1.3526086956521739</v>
      </c>
      <c r="Q179" s="22">
        <v>4.2521739130434781</v>
      </c>
      <c r="R179" s="22">
        <v>1.6023188405797102</v>
      </c>
      <c r="S179" s="22">
        <v>1.1708695652173915</v>
      </c>
      <c r="T179" s="22">
        <v>0.49304347826086958</v>
      </c>
      <c r="U179" s="22">
        <v>0.42507365137523828</v>
      </c>
      <c r="V179" s="22">
        <v>5.854057971014492</v>
      </c>
      <c r="W179" s="22">
        <v>0.81705656640673352</v>
      </c>
      <c r="X179" s="22">
        <v>1.1708695652173915</v>
      </c>
      <c r="Y179" s="14">
        <f t="shared" ca="1" si="42"/>
        <v>-1.5393205414803743</v>
      </c>
      <c r="Z179" s="14">
        <f t="shared" ca="1" si="43"/>
        <v>-0.36881996799158634</v>
      </c>
      <c r="AA179" s="14">
        <f t="shared" ca="1" si="44"/>
        <v>-0.60858765409012472</v>
      </c>
      <c r="AB179" s="14">
        <f t="shared" ca="1" si="45"/>
        <v>-0.96279493378927761</v>
      </c>
      <c r="AC179" s="14">
        <f t="shared" ca="1" si="46"/>
        <v>0.5799655248758635</v>
      </c>
      <c r="AD179" s="14">
        <f t="shared" ca="1" si="47"/>
        <v>-0.32670573972767558</v>
      </c>
      <c r="AE179" s="14">
        <f ca="1">U$4*AO179</f>
        <v>-0.46343481063236502</v>
      </c>
      <c r="AF179" s="15">
        <f ca="1">AP179*W$4</f>
        <v>7.1281590343148474E-2</v>
      </c>
      <c r="AG179" s="12">
        <f t="shared" ca="1" si="48"/>
        <v>-3.6184165324923918</v>
      </c>
      <c r="AH179" s="14">
        <f t="shared" ca="1" si="49"/>
        <v>-1.1898706348010777</v>
      </c>
      <c r="AI179" s="14">
        <f t="shared" ca="1" si="50"/>
        <v>-1.5393205414803743</v>
      </c>
      <c r="AJ179" s="14">
        <f t="shared" ca="1" si="51"/>
        <v>-0.36881996799158634</v>
      </c>
      <c r="AK179" s="14">
        <f t="shared" ca="1" si="52"/>
        <v>-0.60858765409012472</v>
      </c>
      <c r="AL179" s="14">
        <f t="shared" ca="1" si="53"/>
        <v>-0.96279493378927761</v>
      </c>
      <c r="AM179" s="14">
        <f t="shared" ca="1" si="54"/>
        <v>0.5799655248758635</v>
      </c>
      <c r="AN179" s="14">
        <f t="shared" ca="1" si="55"/>
        <v>-0.32670573972767558</v>
      </c>
      <c r="AO179" s="14">
        <f t="shared" ca="1" si="57"/>
        <v>-0.46343481063236502</v>
      </c>
      <c r="AP179" s="14">
        <f ca="1">(AV179-$AP$3)/$AP$4</f>
        <v>7.1281590343148474E-2</v>
      </c>
      <c r="AQ179" s="22">
        <f t="shared" si="58"/>
        <v>2.488405797101449</v>
      </c>
      <c r="AR179" s="22">
        <f t="shared" si="59"/>
        <v>0.95666666666666689</v>
      </c>
      <c r="AS179" s="22">
        <f ca="1">(U179-AS$3)</f>
        <v>-5.0901053812873687E-2</v>
      </c>
      <c r="AT179" s="22">
        <f ca="1">(W179-AT$3)</f>
        <v>1.6953874666618352E-2</v>
      </c>
      <c r="AU179" s="11">
        <f ca="1">AS179*V179</f>
        <v>-0.29797771980629079</v>
      </c>
      <c r="AV179" s="11">
        <f ca="1">AT179*X179</f>
        <v>1.9850775859653579E-2</v>
      </c>
    </row>
    <row r="180" spans="1:48">
      <c r="A180">
        <v>175</v>
      </c>
      <c r="B180" s="27" t="str">
        <f t="shared" si="60"/>
        <v>Desmond Bane</v>
      </c>
      <c r="C180" s="21">
        <v>1</v>
      </c>
      <c r="D180" s="12">
        <f t="shared" ca="1" si="40"/>
        <v>-1.8948391023136981</v>
      </c>
      <c r="E180" s="12">
        <f t="shared" ca="1" si="41"/>
        <v>-1.8948391023136981</v>
      </c>
      <c r="F180" s="29">
        <f ca="1">SUM(AI180:AN180,AP180,AO180)+$A$4</f>
        <v>-0.3544210257787368</v>
      </c>
      <c r="G180" s="29">
        <f ca="1">SUM(Y180:AF180)+$A$4</f>
        <v>-0.3544210257787368</v>
      </c>
      <c r="H180" s="10">
        <v>1</v>
      </c>
      <c r="I180" s="10">
        <v>0</v>
      </c>
      <c r="J180" t="e">
        <f>VLOOKUP(N180,Schedule!#REF!,2,0)</f>
        <v>#REF!</v>
      </c>
      <c r="K180" s="17">
        <v>175</v>
      </c>
      <c r="L180" s="17" t="s">
        <v>237</v>
      </c>
      <c r="M180" s="17" t="s">
        <v>39</v>
      </c>
      <c r="N180" s="17" t="s">
        <v>84</v>
      </c>
      <c r="O180" s="22">
        <v>12.087948717948718</v>
      </c>
      <c r="P180" s="22">
        <v>2.3069230769230771</v>
      </c>
      <c r="Q180" s="22">
        <v>3.7938461538461534</v>
      </c>
      <c r="R180" s="22">
        <v>2.4548717948717949</v>
      </c>
      <c r="S180" s="22">
        <v>0.66948717948717951</v>
      </c>
      <c r="T180" s="22">
        <v>0.33474358974358975</v>
      </c>
      <c r="U180" s="22">
        <v>0.46645349722464458</v>
      </c>
      <c r="V180" s="22">
        <v>9.2619230769230771</v>
      </c>
      <c r="W180" s="22">
        <v>0.82096714654854186</v>
      </c>
      <c r="X180" s="22">
        <v>1.3892307692307693</v>
      </c>
      <c r="Y180" s="14">
        <f t="shared" ca="1" si="42"/>
        <v>-0.70439582262430211</v>
      </c>
      <c r="Z180" s="14">
        <f t="shared" ca="1" si="43"/>
        <v>0.57884899340052431</v>
      </c>
      <c r="AA180" s="14">
        <f t="shared" ca="1" si="44"/>
        <v>-0.80019226342104532</v>
      </c>
      <c r="AB180" s="14">
        <f t="shared" ca="1" si="45"/>
        <v>-0.55686492213435057</v>
      </c>
      <c r="AC180" s="14">
        <f t="shared" ca="1" si="46"/>
        <v>-1.0209091332493974</v>
      </c>
      <c r="AD180" s="14">
        <f t="shared" ca="1" si="47"/>
        <v>-0.61784052745667872</v>
      </c>
      <c r="AE180" s="14">
        <f ca="1">U$4*AO180</f>
        <v>-0.13715071652134245</v>
      </c>
      <c r="AF180" s="15">
        <f ca="1">AP180*W$4</f>
        <v>0.10408336622785563</v>
      </c>
      <c r="AG180" s="12">
        <f t="shared" ca="1" si="48"/>
        <v>-3.1544210257787366</v>
      </c>
      <c r="AH180" s="14">
        <f t="shared" ca="1" si="49"/>
        <v>-1.0372915651554009</v>
      </c>
      <c r="AI180" s="14">
        <f t="shared" ca="1" si="50"/>
        <v>-0.70439582262430211</v>
      </c>
      <c r="AJ180" s="14">
        <f t="shared" ca="1" si="51"/>
        <v>0.57884899340052431</v>
      </c>
      <c r="AK180" s="14">
        <f t="shared" ca="1" si="52"/>
        <v>-0.80019226342104532</v>
      </c>
      <c r="AL180" s="14">
        <f t="shared" ca="1" si="53"/>
        <v>-0.55686492213435057</v>
      </c>
      <c r="AM180" s="14">
        <f t="shared" ca="1" si="54"/>
        <v>-1.0209091332493974</v>
      </c>
      <c r="AN180" s="14">
        <f t="shared" ca="1" si="55"/>
        <v>-0.61784052745667872</v>
      </c>
      <c r="AO180" s="14">
        <f t="shared" ca="1" si="57"/>
        <v>-0.13715071652134245</v>
      </c>
      <c r="AP180" s="14">
        <f ca="1">(AV180-$AP$3)/$AP$4</f>
        <v>0.10408336622785563</v>
      </c>
      <c r="AQ180" s="22">
        <f t="shared" si="58"/>
        <v>4.3202564102564098</v>
      </c>
      <c r="AR180" s="22">
        <f t="shared" si="59"/>
        <v>1.1405128205128205</v>
      </c>
      <c r="AS180" s="22">
        <f ca="1">(U180-AS$3)</f>
        <v>-9.521207963467393E-3</v>
      </c>
      <c r="AT180" s="22">
        <f ca="1">(W180-AT$3)</f>
        <v>2.0864454808426691E-2</v>
      </c>
      <c r="AU180" s="11">
        <f ca="1">AS180*V180</f>
        <v>-8.8184695757022424E-2</v>
      </c>
      <c r="AV180" s="11">
        <f ca="1">AT180*X180</f>
        <v>2.8985542603091236E-2</v>
      </c>
    </row>
    <row r="181" spans="1:48">
      <c r="A181">
        <v>176</v>
      </c>
      <c r="B181" s="27" t="str">
        <f t="shared" si="60"/>
        <v>Danilo Gallinari</v>
      </c>
      <c r="C181" s="21">
        <v>1</v>
      </c>
      <c r="D181" s="12">
        <f t="shared" ca="1" si="40"/>
        <v>-4.1249247929240136</v>
      </c>
      <c r="E181" s="12">
        <f t="shared" ca="1" si="41"/>
        <v>-4.1249247929240109</v>
      </c>
      <c r="F181" s="29">
        <f ca="1">SUM(AI181:AN181,AP181,AO181)+$A$4</f>
        <v>-0.77154839932485153</v>
      </c>
      <c r="G181" s="29">
        <f ca="1">SUM(Y181:AF181)+$A$4</f>
        <v>-0.77154839932485109</v>
      </c>
      <c r="H181" s="10">
        <v>1</v>
      </c>
      <c r="I181" s="10">
        <v>0</v>
      </c>
      <c r="J181" t="e">
        <f>VLOOKUP(N181,Schedule!#REF!,2,0)</f>
        <v>#REF!</v>
      </c>
      <c r="K181" s="17">
        <v>176</v>
      </c>
      <c r="L181" s="17" t="s">
        <v>238</v>
      </c>
      <c r="M181" s="17" t="s">
        <v>33</v>
      </c>
      <c r="N181" s="17" t="s">
        <v>61</v>
      </c>
      <c r="O181" s="22">
        <v>12.04734375</v>
      </c>
      <c r="P181" s="22">
        <v>1.9295312499999999</v>
      </c>
      <c r="Q181" s="22">
        <v>4.3</v>
      </c>
      <c r="R181" s="22">
        <v>1.45</v>
      </c>
      <c r="S181" s="22">
        <v>0.65</v>
      </c>
      <c r="T181" s="22">
        <v>0.2</v>
      </c>
      <c r="U181" s="22">
        <v>0.43470584080796665</v>
      </c>
      <c r="V181" s="22">
        <v>8.8493750000000002</v>
      </c>
      <c r="W181" s="22">
        <v>0.91301789077212803</v>
      </c>
      <c r="X181" s="22">
        <v>2.6549999999999998</v>
      </c>
      <c r="Y181" s="14">
        <f t="shared" ca="1" si="42"/>
        <v>-0.71145601992549823</v>
      </c>
      <c r="Z181" s="14">
        <f t="shared" ca="1" si="43"/>
        <v>0.20408515490342954</v>
      </c>
      <c r="AA181" s="14">
        <f t="shared" ca="1" si="44"/>
        <v>-0.58859388647897359</v>
      </c>
      <c r="AB181" s="14">
        <f t="shared" ca="1" si="45"/>
        <v>-1.0353192132730404</v>
      </c>
      <c r="AC181" s="14">
        <f t="shared" ca="1" si="46"/>
        <v>-1.083130169901751</v>
      </c>
      <c r="AD181" s="14">
        <f t="shared" ca="1" si="47"/>
        <v>-0.86565211320875435</v>
      </c>
      <c r="AE181" s="14">
        <f ca="1">U$4*AO181</f>
        <v>-0.56798906846519026</v>
      </c>
      <c r="AF181" s="15">
        <f ca="1">AP181*W$4</f>
        <v>1.0765069170249268</v>
      </c>
      <c r="AG181" s="12">
        <f t="shared" ca="1" si="48"/>
        <v>-3.5715483993248509</v>
      </c>
      <c r="AH181" s="14">
        <f t="shared" ca="1" si="49"/>
        <v>-1.1744586403932391</v>
      </c>
      <c r="AI181" s="14">
        <f t="shared" ca="1" si="50"/>
        <v>-0.71145601992549823</v>
      </c>
      <c r="AJ181" s="14">
        <f t="shared" ca="1" si="51"/>
        <v>0.20408515490342954</v>
      </c>
      <c r="AK181" s="14">
        <f t="shared" ca="1" si="52"/>
        <v>-0.58859388647897359</v>
      </c>
      <c r="AL181" s="14">
        <f t="shared" ca="1" si="53"/>
        <v>-1.0353192132730404</v>
      </c>
      <c r="AM181" s="14">
        <f t="shared" ca="1" si="54"/>
        <v>-1.083130169901751</v>
      </c>
      <c r="AN181" s="14">
        <f t="shared" ca="1" si="55"/>
        <v>-0.86565211320875435</v>
      </c>
      <c r="AO181" s="14">
        <f t="shared" ca="1" si="57"/>
        <v>-0.56798906846519026</v>
      </c>
      <c r="AP181" s="14">
        <f ca="1">(AV181-$AP$3)/$AP$4</f>
        <v>1.0765069170249268</v>
      </c>
      <c r="AQ181" s="22">
        <f t="shared" si="58"/>
        <v>3.8468749999999998</v>
      </c>
      <c r="AR181" s="22">
        <f t="shared" si="59"/>
        <v>2.4240624999999998</v>
      </c>
      <c r="AS181" s="22">
        <f ca="1">(U181-AS$3)</f>
        <v>-4.126886438014532E-2</v>
      </c>
      <c r="AT181" s="22">
        <f ca="1">(W181-AT$3)</f>
        <v>0.11291519903201286</v>
      </c>
      <c r="AU181" s="11">
        <f ca="1">AS181*V181</f>
        <v>-0.36520365672404848</v>
      </c>
      <c r="AV181" s="11">
        <f ca="1">AT181*X181</f>
        <v>0.29978985342999409</v>
      </c>
    </row>
    <row r="182" spans="1:48">
      <c r="A182">
        <v>177</v>
      </c>
      <c r="B182" s="27" t="str">
        <f t="shared" si="60"/>
        <v>Cameron Johnson</v>
      </c>
      <c r="C182" s="21">
        <v>1</v>
      </c>
      <c r="D182" s="12">
        <f t="shared" ca="1" si="40"/>
        <v>-4.8069684563866373</v>
      </c>
      <c r="E182" s="12">
        <f t="shared" ca="1" si="41"/>
        <v>-4.8069684563866346</v>
      </c>
      <c r="F182" s="29">
        <f ca="1">SUM(AI182:AN182,AP182,AO182)+$A$4</f>
        <v>-0.89912156083241435</v>
      </c>
      <c r="G182" s="29">
        <f ca="1">SUM(Y182:AF182)+$A$4</f>
        <v>-0.8991215608324139</v>
      </c>
      <c r="H182" s="10">
        <v>1</v>
      </c>
      <c r="I182" s="10">
        <v>0</v>
      </c>
      <c r="J182" t="e">
        <f>VLOOKUP(N182,Schedule!#REF!,2,0)</f>
        <v>#REF!</v>
      </c>
      <c r="K182" s="17">
        <v>177</v>
      </c>
      <c r="L182" s="17" t="s">
        <v>239</v>
      </c>
      <c r="M182" s="17" t="s">
        <v>105</v>
      </c>
      <c r="N182" s="17" t="s">
        <v>72</v>
      </c>
      <c r="O182" s="22">
        <v>11.649199999999999</v>
      </c>
      <c r="P182" s="22">
        <v>2.5050666666666666</v>
      </c>
      <c r="Q182" s="22">
        <v>3.7001333333333331</v>
      </c>
      <c r="R182" s="22">
        <v>1.6624000000000001</v>
      </c>
      <c r="S182" s="22">
        <v>0.69706666666666672</v>
      </c>
      <c r="T182" s="22">
        <v>0.26813333333333333</v>
      </c>
      <c r="U182" s="22">
        <v>0.444520091763487</v>
      </c>
      <c r="V182" s="22">
        <v>9.0086666666666666</v>
      </c>
      <c r="W182" s="22">
        <v>0.83996053280710414</v>
      </c>
      <c r="X182" s="22">
        <v>1.3513333333333333</v>
      </c>
      <c r="Y182" s="14">
        <f t="shared" ca="1" si="42"/>
        <v>-0.78068334779306825</v>
      </c>
      <c r="Z182" s="14">
        <f t="shared" ca="1" si="43"/>
        <v>0.77561279952565487</v>
      </c>
      <c r="AA182" s="14">
        <f t="shared" ca="1" si="44"/>
        <v>-0.83936904903643961</v>
      </c>
      <c r="AB182" s="14">
        <f t="shared" ca="1" si="45"/>
        <v>-0.93418821133181928</v>
      </c>
      <c r="AC182" s="14">
        <f t="shared" ca="1" si="46"/>
        <v>-0.932849992429303</v>
      </c>
      <c r="AD182" s="14">
        <f t="shared" ca="1" si="47"/>
        <v>-0.74034574866823766</v>
      </c>
      <c r="AE182" s="14">
        <f ca="1">U$4*AO182</f>
        <v>-0.44070677780888601</v>
      </c>
      <c r="AF182" s="15">
        <f ca="1">AP182*W$4</f>
        <v>0.19340876670968526</v>
      </c>
      <c r="AG182" s="12">
        <f t="shared" ca="1" si="48"/>
        <v>-3.6991215608324137</v>
      </c>
      <c r="AH182" s="14">
        <f t="shared" ca="1" si="49"/>
        <v>-1.2164094653752449</v>
      </c>
      <c r="AI182" s="14">
        <f t="shared" ca="1" si="50"/>
        <v>-0.78068334779306825</v>
      </c>
      <c r="AJ182" s="14">
        <f t="shared" ca="1" si="51"/>
        <v>0.77561279952565487</v>
      </c>
      <c r="AK182" s="14">
        <f t="shared" ca="1" si="52"/>
        <v>-0.83936904903643961</v>
      </c>
      <c r="AL182" s="14">
        <f t="shared" ca="1" si="53"/>
        <v>-0.93418821133181928</v>
      </c>
      <c r="AM182" s="14">
        <f t="shared" ca="1" si="54"/>
        <v>-0.932849992429303</v>
      </c>
      <c r="AN182" s="14">
        <f t="shared" ca="1" si="55"/>
        <v>-0.74034574866823766</v>
      </c>
      <c r="AO182" s="14">
        <f t="shared" ca="1" si="57"/>
        <v>-0.44070677780888601</v>
      </c>
      <c r="AP182" s="14">
        <f ca="1">(AV182-$AP$3)/$AP$4</f>
        <v>0.19340876670968526</v>
      </c>
      <c r="AQ182" s="22">
        <f t="shared" si="58"/>
        <v>4.0045333333333328</v>
      </c>
      <c r="AR182" s="22">
        <f t="shared" si="59"/>
        <v>1.1350666666666667</v>
      </c>
      <c r="AS182" s="22">
        <f ca="1">(U182-AS$3)</f>
        <v>-3.1454613424624966E-2</v>
      </c>
      <c r="AT182" s="22">
        <f ca="1">(W182-AT$3)</f>
        <v>3.9857841066988975E-2</v>
      </c>
      <c r="AU182" s="11">
        <f ca="1">AS182*V182</f>
        <v>-0.28336412747130479</v>
      </c>
      <c r="AV182" s="11">
        <f ca="1">AT182*X182</f>
        <v>5.3861229228524432E-2</v>
      </c>
    </row>
    <row r="183" spans="1:48">
      <c r="A183">
        <v>178</v>
      </c>
      <c r="B183" s="27" t="str">
        <f t="shared" si="60"/>
        <v>Josh Richardson</v>
      </c>
      <c r="C183" s="21">
        <v>1</v>
      </c>
      <c r="D183" s="12">
        <f t="shared" ca="1" si="40"/>
        <v>-5.0714470558151827</v>
      </c>
      <c r="E183" s="12">
        <f t="shared" ca="1" si="41"/>
        <v>-5.0714470558151827</v>
      </c>
      <c r="F183" s="29">
        <f ca="1">SUM(AI183:AN183,AP183,AO183)+$A$4</f>
        <v>-0.94859107853000202</v>
      </c>
      <c r="G183" s="29">
        <f ca="1">SUM(Y183:AF183)+$A$4</f>
        <v>-0.94859107853000202</v>
      </c>
      <c r="H183" s="10">
        <v>1</v>
      </c>
      <c r="I183" s="10">
        <v>0</v>
      </c>
      <c r="J183" t="e">
        <f>VLOOKUP(N183,Schedule!#REF!,2,0)</f>
        <v>#REF!</v>
      </c>
      <c r="K183" s="17">
        <v>178</v>
      </c>
      <c r="L183" s="17" t="s">
        <v>240</v>
      </c>
      <c r="M183" s="17" t="s">
        <v>48</v>
      </c>
      <c r="N183" s="17" t="s">
        <v>42</v>
      </c>
      <c r="O183" s="22">
        <v>10.199117647058824</v>
      </c>
      <c r="P183" s="22">
        <v>1.1689705882352941</v>
      </c>
      <c r="Q183" s="22">
        <v>3.1814705882352943</v>
      </c>
      <c r="R183" s="22">
        <v>2.158823529411765</v>
      </c>
      <c r="S183" s="22">
        <v>1.0226470588235295</v>
      </c>
      <c r="T183" s="22">
        <v>0.45455882352941179</v>
      </c>
      <c r="U183" s="22">
        <v>0.43625282610832594</v>
      </c>
      <c r="V183" s="22">
        <v>8.9761764705882356</v>
      </c>
      <c r="W183" s="22">
        <v>0.89001747487986016</v>
      </c>
      <c r="X183" s="22">
        <v>1.3464705882352941</v>
      </c>
      <c r="Y183" s="14">
        <f t="shared" ca="1" si="42"/>
        <v>-1.0328167204305541</v>
      </c>
      <c r="Z183" s="14">
        <f t="shared" ca="1" si="43"/>
        <v>-0.55117930150179317</v>
      </c>
      <c r="AA183" s="14">
        <f t="shared" ca="1" si="44"/>
        <v>-1.0561967900029803</v>
      </c>
      <c r="AB183" s="14">
        <f t="shared" ca="1" si="45"/>
        <v>-0.69782376257189005</v>
      </c>
      <c r="AC183" s="14">
        <f t="shared" ca="1" si="46"/>
        <v>0.10670267998321539</v>
      </c>
      <c r="AD183" s="14">
        <f t="shared" ca="1" si="47"/>
        <v>-0.39748419630785126</v>
      </c>
      <c r="AE183" s="14">
        <f ca="1">U$4*AO183</f>
        <v>-0.55453125224934752</v>
      </c>
      <c r="AF183" s="15">
        <f ca="1">AP183*W$4</f>
        <v>0.43473826455119935</v>
      </c>
      <c r="AG183" s="12">
        <f t="shared" ca="1" si="48"/>
        <v>-3.7485910785300018</v>
      </c>
      <c r="AH183" s="14">
        <f t="shared" ca="1" si="49"/>
        <v>-1.232676892272498</v>
      </c>
      <c r="AI183" s="14">
        <f t="shared" ca="1" si="50"/>
        <v>-1.0328167204305541</v>
      </c>
      <c r="AJ183" s="14">
        <f t="shared" ca="1" si="51"/>
        <v>-0.55117930150179317</v>
      </c>
      <c r="AK183" s="14">
        <f t="shared" ca="1" si="52"/>
        <v>-1.0561967900029803</v>
      </c>
      <c r="AL183" s="14">
        <f t="shared" ca="1" si="53"/>
        <v>-0.69782376257189005</v>
      </c>
      <c r="AM183" s="14">
        <f t="shared" ca="1" si="54"/>
        <v>0.10670267998321539</v>
      </c>
      <c r="AN183" s="14">
        <f t="shared" ca="1" si="55"/>
        <v>-0.39748419630785126</v>
      </c>
      <c r="AO183" s="14">
        <f t="shared" ca="1" si="57"/>
        <v>-0.55453125224934752</v>
      </c>
      <c r="AP183" s="14">
        <f ca="1">(AV183-$AP$3)/$AP$4</f>
        <v>0.43473826455119935</v>
      </c>
      <c r="AQ183" s="22">
        <f t="shared" si="58"/>
        <v>3.9158823529411766</v>
      </c>
      <c r="AR183" s="22">
        <f t="shared" si="59"/>
        <v>1.1983823529411763</v>
      </c>
      <c r="AS183" s="22">
        <f ca="1">(U183-AS$3)</f>
        <v>-3.9721879079786027E-2</v>
      </c>
      <c r="AT183" s="22">
        <f ca="1">(W183-AT$3)</f>
        <v>8.9914783139744991E-2</v>
      </c>
      <c r="AU183" s="11">
        <f ca="1">AS183*V183</f>
        <v>-0.35655059636352643</v>
      </c>
      <c r="AV183" s="11">
        <f ca="1">AT183*X183</f>
        <v>0.12106761094522134</v>
      </c>
    </row>
    <row r="184" spans="1:48">
      <c r="A184">
        <v>179</v>
      </c>
      <c r="B184" s="27" t="str">
        <f t="shared" si="60"/>
        <v>Terrence Ross</v>
      </c>
      <c r="C184" s="21">
        <v>1</v>
      </c>
      <c r="D184" s="12">
        <f t="shared" ca="1" si="40"/>
        <v>0.34474222430607815</v>
      </c>
      <c r="E184" s="12">
        <f t="shared" ca="1" si="41"/>
        <v>0.34474222430607815</v>
      </c>
      <c r="F184" s="29">
        <f ca="1">SUM(AI184:AN184,AP184,AO184)+$A$4</f>
        <v>6.4482463243771271E-2</v>
      </c>
      <c r="G184" s="29">
        <f ca="1">SUM(Y184:AF184)+$A$4</f>
        <v>6.4482463243771271E-2</v>
      </c>
      <c r="H184" s="10">
        <v>1</v>
      </c>
      <c r="I184" s="10">
        <v>0</v>
      </c>
      <c r="J184" t="e">
        <f>VLOOKUP(N184,Schedule!#REF!,2,0)</f>
        <v>#REF!</v>
      </c>
      <c r="K184" s="17">
        <v>179</v>
      </c>
      <c r="L184" s="17" t="s">
        <v>241</v>
      </c>
      <c r="M184" s="17" t="s">
        <v>48</v>
      </c>
      <c r="N184" s="17" t="s">
        <v>120</v>
      </c>
      <c r="O184" s="22">
        <v>15.036666666666667</v>
      </c>
      <c r="P184" s="22">
        <v>2.1936363636363638</v>
      </c>
      <c r="Q184" s="22">
        <v>3.4510606060606062</v>
      </c>
      <c r="R184" s="22">
        <v>1.7850000000000001</v>
      </c>
      <c r="S184" s="22">
        <v>0.95196969696969691</v>
      </c>
      <c r="T184" s="22">
        <v>0.47606060606060607</v>
      </c>
      <c r="U184" s="22">
        <v>0.40374435576095546</v>
      </c>
      <c r="V184" s="22">
        <v>12.851666666666667</v>
      </c>
      <c r="W184" s="22">
        <v>0.87197899362306408</v>
      </c>
      <c r="X184" s="22">
        <v>2.8274242424242426</v>
      </c>
      <c r="Y184" s="14">
        <f t="shared" ca="1" si="42"/>
        <v>-0.19168687208850771</v>
      </c>
      <c r="Z184" s="14">
        <f t="shared" ca="1" si="43"/>
        <v>0.46635115827729012</v>
      </c>
      <c r="AA184" s="14">
        <f t="shared" ca="1" si="44"/>
        <v>-0.94349427742683112</v>
      </c>
      <c r="AB184" s="14">
        <f t="shared" ca="1" si="45"/>
        <v>-0.87581410192506925</v>
      </c>
      <c r="AC184" s="14">
        <f t="shared" ca="1" si="46"/>
        <v>-0.11896459656094278</v>
      </c>
      <c r="AD184" s="14">
        <f t="shared" ca="1" si="47"/>
        <v>-0.35793952605161727</v>
      </c>
      <c r="AE184" s="14">
        <f ca="1">U$4*AO184</f>
        <v>-1.4437235094067782</v>
      </c>
      <c r="AF184" s="15">
        <f ca="1">AP184*W$4</f>
        <v>0.72975418842622752</v>
      </c>
      <c r="AG184" s="12">
        <f t="shared" ca="1" si="48"/>
        <v>-2.7355175367562286</v>
      </c>
      <c r="AH184" s="14">
        <f t="shared" ca="1" si="49"/>
        <v>-0.89954043674667983</v>
      </c>
      <c r="AI184" s="14">
        <f t="shared" ca="1" si="50"/>
        <v>-0.19168687208850771</v>
      </c>
      <c r="AJ184" s="14">
        <f t="shared" ca="1" si="51"/>
        <v>0.46635115827729012</v>
      </c>
      <c r="AK184" s="14">
        <f t="shared" ca="1" si="52"/>
        <v>-0.94349427742683112</v>
      </c>
      <c r="AL184" s="14">
        <f t="shared" ca="1" si="53"/>
        <v>-0.87581410192506925</v>
      </c>
      <c r="AM184" s="14">
        <f t="shared" ca="1" si="54"/>
        <v>-0.11896459656094278</v>
      </c>
      <c r="AN184" s="14">
        <f t="shared" ca="1" si="55"/>
        <v>-0.35793952605161727</v>
      </c>
      <c r="AO184" s="14">
        <f t="shared" ca="1" si="57"/>
        <v>-1.4437235094067782</v>
      </c>
      <c r="AP184" s="14">
        <f ca="1">(AV184-$AP$3)/$AP$4</f>
        <v>0.72975418842622752</v>
      </c>
      <c r="AQ184" s="22">
        <f t="shared" si="58"/>
        <v>5.1887878787878794</v>
      </c>
      <c r="AR184" s="22">
        <f t="shared" si="59"/>
        <v>2.4654545454545453</v>
      </c>
      <c r="AS184" s="22">
        <f ca="1">(U184-AS$3)</f>
        <v>-7.2230349427156504E-2</v>
      </c>
      <c r="AT184" s="22">
        <f ca="1">(W184-AT$3)</f>
        <v>7.1876301882948912E-2</v>
      </c>
      <c r="AU184" s="11">
        <f ca="1">AS184*V184</f>
        <v>-0.92828037405467301</v>
      </c>
      <c r="AV184" s="11">
        <f ca="1">AT184*X184</f>
        <v>0.20322479839965299</v>
      </c>
    </row>
    <row r="185" spans="1:48">
      <c r="A185">
        <v>180</v>
      </c>
      <c r="B185" s="27" t="str">
        <f t="shared" si="60"/>
        <v>Nicolas Batum</v>
      </c>
      <c r="C185" s="21">
        <v>1</v>
      </c>
      <c r="D185" s="12">
        <f t="shared" ca="1" si="40"/>
        <v>0.43926879934330587</v>
      </c>
      <c r="E185" s="12">
        <f t="shared" ca="1" si="41"/>
        <v>0.43926879934330826</v>
      </c>
      <c r="F185" s="29">
        <f ca="1">SUM(AI185:AN185,AP185,AO185)+$A$4</f>
        <v>8.2163228669783983E-2</v>
      </c>
      <c r="G185" s="29">
        <f ca="1">SUM(Y185:AF185)+$A$4</f>
        <v>8.2163228669784427E-2</v>
      </c>
      <c r="H185" s="10">
        <v>1</v>
      </c>
      <c r="I185" s="10">
        <v>0</v>
      </c>
      <c r="J185" t="e">
        <f>VLOOKUP(N185,Schedule!#REF!,2,0)</f>
        <v>#REF!</v>
      </c>
      <c r="K185" s="17">
        <v>180</v>
      </c>
      <c r="L185" s="17" t="s">
        <v>242</v>
      </c>
      <c r="M185" s="17" t="s">
        <v>48</v>
      </c>
      <c r="N185" s="17" t="s">
        <v>49</v>
      </c>
      <c r="O185" s="22">
        <v>7.8987837837837835</v>
      </c>
      <c r="P185" s="22">
        <v>1.5182432432432431</v>
      </c>
      <c r="Q185" s="22">
        <v>5.0241891891891894</v>
      </c>
      <c r="R185" s="22">
        <v>2.7720270270270269</v>
      </c>
      <c r="S185" s="22">
        <v>0.98175675675675689</v>
      </c>
      <c r="T185" s="22">
        <v>0.63527027027027028</v>
      </c>
      <c r="U185" s="22">
        <v>0.43988968283815971</v>
      </c>
      <c r="V185" s="22">
        <v>6.4678378378378376</v>
      </c>
      <c r="W185" s="22">
        <v>0.82095789135326258</v>
      </c>
      <c r="X185" s="22">
        <v>0.84081081081081077</v>
      </c>
      <c r="Y185" s="14">
        <f t="shared" ca="1" si="42"/>
        <v>-1.4327877523953028</v>
      </c>
      <c r="Z185" s="14">
        <f t="shared" ca="1" si="43"/>
        <v>-0.20433882554328633</v>
      </c>
      <c r="AA185" s="14">
        <f t="shared" ca="1" si="44"/>
        <v>-0.2858455063256975</v>
      </c>
      <c r="AB185" s="14">
        <f t="shared" ca="1" si="45"/>
        <v>-0.40585632327013604</v>
      </c>
      <c r="AC185" s="14">
        <f t="shared" ca="1" si="46"/>
        <v>-2.3856849439516638E-2</v>
      </c>
      <c r="AD185" s="14">
        <f t="shared" ca="1" si="47"/>
        <v>-6.5131538451380963E-2</v>
      </c>
      <c r="AE185" s="14">
        <f ca="1">U$4*AO185</f>
        <v>-0.36298690785905419</v>
      </c>
      <c r="AF185" s="15">
        <f ca="1">AP185*W$4</f>
        <v>6.2966931954158881E-2</v>
      </c>
      <c r="AG185" s="12">
        <f t="shared" ca="1" si="48"/>
        <v>-2.7178367713302154</v>
      </c>
      <c r="AH185" s="14">
        <f t="shared" ca="1" si="49"/>
        <v>-0.89372634005761553</v>
      </c>
      <c r="AI185" s="14">
        <f t="shared" ca="1" si="50"/>
        <v>-1.4327877523953028</v>
      </c>
      <c r="AJ185" s="14">
        <f t="shared" ca="1" si="51"/>
        <v>-0.20433882554328633</v>
      </c>
      <c r="AK185" s="14">
        <f t="shared" ca="1" si="52"/>
        <v>-0.2858455063256975</v>
      </c>
      <c r="AL185" s="14">
        <f t="shared" ca="1" si="53"/>
        <v>-0.40585632327013604</v>
      </c>
      <c r="AM185" s="14">
        <f t="shared" ca="1" si="54"/>
        <v>-2.3856849439516638E-2</v>
      </c>
      <c r="AN185" s="14">
        <f t="shared" ca="1" si="55"/>
        <v>-6.5131538451380963E-2</v>
      </c>
      <c r="AO185" s="14">
        <f t="shared" ca="1" si="57"/>
        <v>-0.36298690785905419</v>
      </c>
      <c r="AP185" s="14">
        <f ca="1">(AV185-$AP$3)/$AP$4</f>
        <v>6.2966931954158881E-2</v>
      </c>
      <c r="AQ185" s="22">
        <f t="shared" si="58"/>
        <v>2.8451351351351351</v>
      </c>
      <c r="AR185" s="22">
        <f t="shared" si="59"/>
        <v>0.69027027027027021</v>
      </c>
      <c r="AS185" s="22">
        <f ca="1">(U185-AS$3)</f>
        <v>-3.6085022349952256E-2</v>
      </c>
      <c r="AT185" s="22">
        <f ca="1">(W185-AT$3)</f>
        <v>2.0855199613147413E-2</v>
      </c>
      <c r="AU185" s="11">
        <f ca="1">AS185*V185</f>
        <v>-0.23339207293424524</v>
      </c>
      <c r="AV185" s="11">
        <f ca="1">AT185*X185</f>
        <v>1.7535277296351782E-2</v>
      </c>
    </row>
    <row r="186" spans="1:48">
      <c r="A186">
        <v>181</v>
      </c>
      <c r="B186" s="27" t="str">
        <f t="shared" si="60"/>
        <v>Royce O'Neale</v>
      </c>
      <c r="C186" s="21">
        <v>1</v>
      </c>
      <c r="D186" s="12">
        <f t="shared" ca="1" si="40"/>
        <v>-2.7617118221492207</v>
      </c>
      <c r="E186" s="12">
        <f t="shared" ca="1" si="41"/>
        <v>-2.7617118221492207</v>
      </c>
      <c r="F186" s="29">
        <f ca="1">SUM(AI186:AN186,AP186,AO186)+$A$4</f>
        <v>-0.51656562064621436</v>
      </c>
      <c r="G186" s="29">
        <f ca="1">SUM(Y186:AF186)+$A$4</f>
        <v>-0.51656562064621436</v>
      </c>
      <c r="H186" s="10">
        <v>1</v>
      </c>
      <c r="I186" s="10">
        <v>0</v>
      </c>
      <c r="J186" t="e">
        <f>VLOOKUP(N186,Schedule!#REF!,2,0)</f>
        <v>#REF!</v>
      </c>
      <c r="K186" s="17">
        <v>181</v>
      </c>
      <c r="L186" s="17" t="s">
        <v>243</v>
      </c>
      <c r="M186" s="17" t="s">
        <v>33</v>
      </c>
      <c r="N186" s="17" t="s">
        <v>67</v>
      </c>
      <c r="O186" s="22">
        <v>5.8669999999999991</v>
      </c>
      <c r="P186" s="22">
        <v>1.2349999999999999</v>
      </c>
      <c r="Q186" s="22">
        <v>6.9827500000000002</v>
      </c>
      <c r="R186" s="22">
        <v>2.5691250000000001</v>
      </c>
      <c r="S186" s="22">
        <v>0.85637500000000011</v>
      </c>
      <c r="T186" s="22">
        <v>0.39524999999999999</v>
      </c>
      <c r="U186" s="22">
        <v>0.44600505955518077</v>
      </c>
      <c r="V186" s="22">
        <v>4.7435</v>
      </c>
      <c r="W186" s="22">
        <v>0.84501845018450195</v>
      </c>
      <c r="X186" s="22">
        <v>0.47424999999999995</v>
      </c>
      <c r="Y186" s="14">
        <f t="shared" ca="1" si="42"/>
        <v>-1.786064583077718</v>
      </c>
      <c r="Z186" s="14">
        <f t="shared" ca="1" si="43"/>
        <v>-0.48560968912200475</v>
      </c>
      <c r="AA186" s="14">
        <f t="shared" ca="1" si="44"/>
        <v>0.53293378747808695</v>
      </c>
      <c r="AB186" s="14">
        <f t="shared" ca="1" si="45"/>
        <v>-0.50246501107215069</v>
      </c>
      <c r="AC186" s="14">
        <f t="shared" ca="1" si="46"/>
        <v>-0.42419097105168463</v>
      </c>
      <c r="AD186" s="14">
        <f t="shared" ca="1" si="47"/>
        <v>-0.50656110034374635</v>
      </c>
      <c r="AE186" s="14">
        <f ca="1">U$4*AO186</f>
        <v>-0.2210982843715347</v>
      </c>
      <c r="AF186" s="15">
        <f ca="1">AP186*W$4</f>
        <v>7.6490230914537924E-2</v>
      </c>
      <c r="AG186" s="12">
        <f t="shared" ca="1" si="48"/>
        <v>-3.3165656206462142</v>
      </c>
      <c r="AH186" s="14">
        <f t="shared" ca="1" si="49"/>
        <v>-1.0906107699213698</v>
      </c>
      <c r="AI186" s="14">
        <f t="shared" ca="1" si="50"/>
        <v>-1.786064583077718</v>
      </c>
      <c r="AJ186" s="14">
        <f t="shared" ca="1" si="51"/>
        <v>-0.48560968912200475</v>
      </c>
      <c r="AK186" s="14">
        <f t="shared" ca="1" si="52"/>
        <v>0.53293378747808695</v>
      </c>
      <c r="AL186" s="14">
        <f t="shared" ca="1" si="53"/>
        <v>-0.50246501107215069</v>
      </c>
      <c r="AM186" s="14">
        <f t="shared" ca="1" si="54"/>
        <v>-0.42419097105168463</v>
      </c>
      <c r="AN186" s="14">
        <f t="shared" ca="1" si="55"/>
        <v>-0.50656110034374635</v>
      </c>
      <c r="AO186" s="14">
        <f t="shared" ca="1" si="57"/>
        <v>-0.2210982843715347</v>
      </c>
      <c r="AP186" s="14">
        <f ca="1">(AV186-$AP$3)/$AP$4</f>
        <v>7.6490230914537924E-2</v>
      </c>
      <c r="AQ186" s="22">
        <f t="shared" si="58"/>
        <v>2.1156250000000001</v>
      </c>
      <c r="AR186" s="22">
        <f t="shared" si="59"/>
        <v>0.40075</v>
      </c>
      <c r="AS186" s="22">
        <f ca="1">(U186-AS$3)</f>
        <v>-2.9969645632931197E-2</v>
      </c>
      <c r="AT186" s="22">
        <f ca="1">(W186-AT$3)</f>
        <v>4.4915758444386777E-2</v>
      </c>
      <c r="AU186" s="11">
        <f ca="1">AS186*V186</f>
        <v>-0.14216101405980913</v>
      </c>
      <c r="AV186" s="11">
        <f ca="1">AT186*X186</f>
        <v>2.1301298442250427E-2</v>
      </c>
    </row>
    <row r="187" spans="1:48">
      <c r="A187">
        <v>182</v>
      </c>
      <c r="B187" s="27" t="str">
        <f t="shared" si="60"/>
        <v>Josh Hart</v>
      </c>
      <c r="C187" s="21">
        <v>1</v>
      </c>
      <c r="D187" s="12">
        <f t="shared" ca="1" si="40"/>
        <v>-0.78362874678647154</v>
      </c>
      <c r="E187" s="12">
        <f t="shared" ca="1" si="41"/>
        <v>-0.78362874678647154</v>
      </c>
      <c r="F187" s="29">
        <f ca="1">SUM(AI187:AN187,AP187,AO187)+$A$4</f>
        <v>-0.14657418876707728</v>
      </c>
      <c r="G187" s="29">
        <f ca="1">SUM(Y187:AF187)+$A$4</f>
        <v>-0.14657418876707728</v>
      </c>
      <c r="H187" s="10">
        <v>1</v>
      </c>
      <c r="I187" s="10">
        <v>0</v>
      </c>
      <c r="J187" t="e">
        <f>VLOOKUP(N187,Schedule!#REF!,2,0)</f>
        <v>#REF!</v>
      </c>
      <c r="K187" s="17">
        <v>182</v>
      </c>
      <c r="L187" s="17" t="s">
        <v>244</v>
      </c>
      <c r="M187" s="17" t="s">
        <v>48</v>
      </c>
      <c r="N187" s="17" t="s">
        <v>77</v>
      </c>
      <c r="O187" s="22">
        <v>9.3748648648648629</v>
      </c>
      <c r="P187" s="22">
        <v>1.3463513513513512</v>
      </c>
      <c r="Q187" s="22">
        <v>8.0849999999999991</v>
      </c>
      <c r="R187" s="22">
        <v>2.2662162162162161</v>
      </c>
      <c r="S187" s="22">
        <v>0.8574324324324325</v>
      </c>
      <c r="T187" s="22">
        <v>0.3062162162162162</v>
      </c>
      <c r="U187" s="22">
        <v>0.44711712363452211</v>
      </c>
      <c r="V187" s="22">
        <v>7.4718918918918931</v>
      </c>
      <c r="W187" s="22">
        <v>0.75103609373822622</v>
      </c>
      <c r="X187" s="22">
        <v>1.7933783783783785</v>
      </c>
      <c r="Y187" s="14">
        <f t="shared" ca="1" si="42"/>
        <v>-1.1761338454606418</v>
      </c>
      <c r="Z187" s="14">
        <f t="shared" ca="1" si="43"/>
        <v>-0.37503373893647807</v>
      </c>
      <c r="AA187" s="14">
        <f t="shared" ca="1" si="44"/>
        <v>0.99373105841990739</v>
      </c>
      <c r="AB187" s="14">
        <f t="shared" ca="1" si="45"/>
        <v>-0.64669038207427287</v>
      </c>
      <c r="AC187" s="14">
        <f t="shared" ca="1" si="46"/>
        <v>-0.42081467217892837</v>
      </c>
      <c r="AD187" s="14">
        <f t="shared" ca="1" si="47"/>
        <v>-0.67030620455948531</v>
      </c>
      <c r="AE187" s="14">
        <f ca="1">U$4*AO187</f>
        <v>-0.33534773025780085</v>
      </c>
      <c r="AF187" s="15">
        <f ca="1">AP187*W$4</f>
        <v>-0.3159786737193771</v>
      </c>
      <c r="AG187" s="12">
        <f t="shared" ca="1" si="48"/>
        <v>-2.9465741887670771</v>
      </c>
      <c r="AH187" s="14">
        <f t="shared" ca="1" si="49"/>
        <v>-0.96894375453833226</v>
      </c>
      <c r="AI187" s="14">
        <f t="shared" ca="1" si="50"/>
        <v>-1.1761338454606418</v>
      </c>
      <c r="AJ187" s="14">
        <f t="shared" ca="1" si="51"/>
        <v>-0.37503373893647807</v>
      </c>
      <c r="AK187" s="14">
        <f t="shared" ca="1" si="52"/>
        <v>0.99373105841990739</v>
      </c>
      <c r="AL187" s="14">
        <f t="shared" ca="1" si="53"/>
        <v>-0.64669038207427287</v>
      </c>
      <c r="AM187" s="14">
        <f t="shared" ca="1" si="54"/>
        <v>-0.42081467217892837</v>
      </c>
      <c r="AN187" s="14">
        <f t="shared" ca="1" si="55"/>
        <v>-0.67030620455948531</v>
      </c>
      <c r="AO187" s="14">
        <f t="shared" ca="1" si="57"/>
        <v>-0.33534773025780085</v>
      </c>
      <c r="AP187" s="14">
        <f ca="1">(AV187-$AP$3)/$AP$4</f>
        <v>-0.3159786737193771</v>
      </c>
      <c r="AQ187" s="22">
        <f t="shared" si="58"/>
        <v>3.3408108108108108</v>
      </c>
      <c r="AR187" s="22">
        <f t="shared" si="59"/>
        <v>1.346891891891892</v>
      </c>
      <c r="AS187" s="22">
        <f ca="1">(U187-AS$3)</f>
        <v>-2.8857581553589862E-2</v>
      </c>
      <c r="AT187" s="22">
        <f ca="1">(W187-AT$3)</f>
        <v>-4.906659800188895E-2</v>
      </c>
      <c r="AU187" s="11">
        <f ca="1">AS187*V187</f>
        <v>-0.21562072962987713</v>
      </c>
      <c r="AV187" s="11">
        <f ca="1">AT187*X187</f>
        <v>-8.7994975957171401E-2</v>
      </c>
    </row>
    <row r="188" spans="1:48">
      <c r="A188">
        <v>183</v>
      </c>
      <c r="B188" s="27" t="str">
        <f t="shared" si="60"/>
        <v>Scottie Barnes</v>
      </c>
      <c r="C188" s="21">
        <v>1</v>
      </c>
      <c r="D188" s="12">
        <f t="shared" ca="1" si="40"/>
        <v>-10.949653772447032</v>
      </c>
      <c r="E188" s="12">
        <f t="shared" ca="1" si="41"/>
        <v>-10.949653772447032</v>
      </c>
      <c r="F188" s="29">
        <f ca="1">SUM(AI188:AN188,AP188,AO188)+$A$4</f>
        <v>-2.048082877967869</v>
      </c>
      <c r="G188" s="29">
        <f ca="1">SUM(Y188:AF188)+$A$4</f>
        <v>-2.048082877967869</v>
      </c>
      <c r="H188" s="10">
        <v>1</v>
      </c>
      <c r="I188" s="10">
        <v>0</v>
      </c>
      <c r="J188" t="e">
        <f>VLOOKUP(N188,Schedule!#REF!,2,0)</f>
        <v>#REF!</v>
      </c>
      <c r="K188" s="17">
        <v>183</v>
      </c>
      <c r="L188" s="17" t="s">
        <v>245</v>
      </c>
      <c r="M188" s="17" t="s">
        <v>33</v>
      </c>
      <c r="N188" s="17" t="s">
        <v>57</v>
      </c>
      <c r="O188" s="22">
        <v>7.6390666666666656</v>
      </c>
      <c r="P188" s="22">
        <v>0.56546666666666667</v>
      </c>
      <c r="Q188" s="22">
        <v>4.1409333333333329</v>
      </c>
      <c r="R188" s="22">
        <v>2.9794666666666667</v>
      </c>
      <c r="S188" s="22">
        <v>1.0605333333333333</v>
      </c>
      <c r="T188" s="22">
        <v>0.50506666666666666</v>
      </c>
      <c r="U188" s="22">
        <v>0.43896234051574601</v>
      </c>
      <c r="V188" s="22">
        <v>6.9181333333333335</v>
      </c>
      <c r="W188" s="22">
        <v>0.6569726699369306</v>
      </c>
      <c r="X188" s="22">
        <v>1.5221333333333333</v>
      </c>
      <c r="Y188" s="14">
        <f t="shared" ca="1" si="42"/>
        <v>-1.4779461204959872</v>
      </c>
      <c r="Z188" s="14">
        <f t="shared" ca="1" si="43"/>
        <v>-1.1504806908273453</v>
      </c>
      <c r="AA188" s="14">
        <f t="shared" ca="1" si="44"/>
        <v>-0.65509194581017105</v>
      </c>
      <c r="AB188" s="14">
        <f t="shared" ca="1" si="45"/>
        <v>-0.30708712082624429</v>
      </c>
      <c r="AC188" s="14">
        <f t="shared" ca="1" si="46"/>
        <v>0.22767058487917585</v>
      </c>
      <c r="AD188" s="14">
        <f t="shared" ca="1" si="47"/>
        <v>-0.3045934790234272</v>
      </c>
      <c r="AE188" s="14">
        <f ca="1">U$4*AO188</f>
        <v>-0.39823609468876608</v>
      </c>
      <c r="AF188" s="15">
        <f ca="1">AP188*W$4</f>
        <v>-0.78231801117510402</v>
      </c>
      <c r="AG188" s="12">
        <f t="shared" ca="1" si="48"/>
        <v>-4.8480828779678689</v>
      </c>
      <c r="AH188" s="14">
        <f t="shared" ca="1" si="49"/>
        <v>-1.5942309017702883</v>
      </c>
      <c r="AI188" s="14">
        <f t="shared" ca="1" si="50"/>
        <v>-1.4779461204959872</v>
      </c>
      <c r="AJ188" s="14">
        <f t="shared" ca="1" si="51"/>
        <v>-1.1504806908273453</v>
      </c>
      <c r="AK188" s="14">
        <f t="shared" ca="1" si="52"/>
        <v>-0.65509194581017105</v>
      </c>
      <c r="AL188" s="14">
        <f t="shared" ca="1" si="53"/>
        <v>-0.30708712082624429</v>
      </c>
      <c r="AM188" s="14">
        <f t="shared" ca="1" si="54"/>
        <v>0.22767058487917585</v>
      </c>
      <c r="AN188" s="14">
        <f t="shared" ca="1" si="55"/>
        <v>-0.3045934790234272</v>
      </c>
      <c r="AO188" s="14">
        <f t="shared" ca="1" si="57"/>
        <v>-0.39823609468876608</v>
      </c>
      <c r="AP188" s="14">
        <f ca="1">(AV188-$AP$3)/$AP$4</f>
        <v>-0.78231801117510402</v>
      </c>
      <c r="AQ188" s="22">
        <f t="shared" si="58"/>
        <v>3.0367999999999995</v>
      </c>
      <c r="AR188" s="22">
        <f t="shared" si="59"/>
        <v>1</v>
      </c>
      <c r="AS188" s="22">
        <f ca="1">(U188-AS$3)</f>
        <v>-3.7012364672365961E-2</v>
      </c>
      <c r="AT188" s="22">
        <f ca="1">(W188-AT$3)</f>
        <v>-0.14313002180318457</v>
      </c>
      <c r="AU188" s="11">
        <f ca="1">AS188*V188</f>
        <v>-0.25605647378538404</v>
      </c>
      <c r="AV188" s="11">
        <f ca="1">AT188*X188</f>
        <v>-0.21786297718735401</v>
      </c>
    </row>
    <row r="189" spans="1:48">
      <c r="A189">
        <v>184</v>
      </c>
      <c r="B189" s="27" t="str">
        <f t="shared" si="60"/>
        <v>Marvin Bagley III</v>
      </c>
      <c r="C189" s="21">
        <v>1</v>
      </c>
      <c r="D189" s="12">
        <f t="shared" ca="1" si="40"/>
        <v>-13.079244756957603</v>
      </c>
      <c r="E189" s="12">
        <f t="shared" ca="1" si="41"/>
        <v>-13.079244756957603</v>
      </c>
      <c r="F189" s="29">
        <f ca="1">SUM(AI189:AN189,AP189,AO189)+$A$4</f>
        <v>-2.4464131743491135</v>
      </c>
      <c r="G189" s="29">
        <f ca="1">SUM(Y189:AF189)+$A$4</f>
        <v>-2.4464131743491135</v>
      </c>
      <c r="H189" s="10">
        <v>1</v>
      </c>
      <c r="I189" s="10">
        <v>0</v>
      </c>
      <c r="J189" t="e">
        <f>VLOOKUP(N189,Schedule!#REF!,2,0)</f>
        <v>#REF!</v>
      </c>
      <c r="K189" s="17">
        <v>184</v>
      </c>
      <c r="L189" s="17" t="s">
        <v>246</v>
      </c>
      <c r="M189" s="17" t="s">
        <v>45</v>
      </c>
      <c r="N189" s="17" t="s">
        <v>94</v>
      </c>
      <c r="O189" s="22">
        <v>13.5825</v>
      </c>
      <c r="P189" s="22">
        <v>0.77265625000000004</v>
      </c>
      <c r="Q189" s="22">
        <v>7.171875</v>
      </c>
      <c r="R189" s="22">
        <v>0.95625000000000004</v>
      </c>
      <c r="S189" s="22">
        <v>0.47812500000000002</v>
      </c>
      <c r="T189" s="22">
        <v>0.53125</v>
      </c>
      <c r="U189" s="22">
        <v>0.50026996305768689</v>
      </c>
      <c r="V189" s="22">
        <v>10.996874999999999</v>
      </c>
      <c r="W189" s="22">
        <v>0.63200174872943882</v>
      </c>
      <c r="X189" s="22">
        <v>2.8592187500000001</v>
      </c>
      <c r="Y189" s="14">
        <f t="shared" ca="1" si="42"/>
        <v>-0.44453040562990992</v>
      </c>
      <c r="Z189" s="14">
        <f t="shared" ca="1" si="43"/>
        <v>-0.94473388337875597</v>
      </c>
      <c r="AA189" s="14">
        <f t="shared" ca="1" si="44"/>
        <v>0.61199777828495638</v>
      </c>
      <c r="AB189" s="14">
        <f t="shared" ca="1" si="45"/>
        <v>-1.2704107020135198</v>
      </c>
      <c r="AC189" s="14">
        <f t="shared" ca="1" si="46"/>
        <v>-1.6319135729416305</v>
      </c>
      <c r="AD189" s="14">
        <f t="shared" ca="1" si="47"/>
        <v>-0.25643880713175604</v>
      </c>
      <c r="AE189" s="14">
        <f ca="1">U$4*AO189</f>
        <v>0.41552356799639778</v>
      </c>
      <c r="AF189" s="15">
        <f ca="1">AP189*W$4</f>
        <v>-1.7259071495348948</v>
      </c>
      <c r="AG189" s="12">
        <f t="shared" ca="1" si="48"/>
        <v>-5.2464131743491134</v>
      </c>
      <c r="AH189" s="14">
        <f t="shared" ca="1" si="49"/>
        <v>-1.7252167952846498</v>
      </c>
      <c r="AI189" s="14">
        <f t="shared" ca="1" si="50"/>
        <v>-0.44453040562990992</v>
      </c>
      <c r="AJ189" s="14">
        <f t="shared" ca="1" si="51"/>
        <v>-0.94473388337875597</v>
      </c>
      <c r="AK189" s="14">
        <f t="shared" ca="1" si="52"/>
        <v>0.61199777828495638</v>
      </c>
      <c r="AL189" s="14">
        <f t="shared" ca="1" si="53"/>
        <v>-1.2704107020135198</v>
      </c>
      <c r="AM189" s="14">
        <f t="shared" ca="1" si="54"/>
        <v>-1.6319135729416305</v>
      </c>
      <c r="AN189" s="14">
        <f t="shared" ca="1" si="55"/>
        <v>-0.25643880713175604</v>
      </c>
      <c r="AO189" s="14">
        <f t="shared" ca="1" si="57"/>
        <v>0.41552356799639778</v>
      </c>
      <c r="AP189" s="14">
        <f ca="1">(AV189-$AP$3)/$AP$4</f>
        <v>-1.7259071495348948</v>
      </c>
      <c r="AQ189" s="22">
        <f t="shared" si="58"/>
        <v>5.5014062500000005</v>
      </c>
      <c r="AR189" s="22">
        <f t="shared" si="59"/>
        <v>1.8070312500000003</v>
      </c>
      <c r="AS189" s="22">
        <f ca="1">(U189-AS$3)</f>
        <v>2.4295257869574927E-2</v>
      </c>
      <c r="AT189" s="22">
        <f ca="1">(W189-AT$3)</f>
        <v>-0.16810094301067635</v>
      </c>
      <c r="AU189" s="11">
        <f ca="1">AS189*V189</f>
        <v>0.26717191388448175</v>
      </c>
      <c r="AV189" s="11">
        <f ca="1">AT189*X189</f>
        <v>-0.48063736814880731</v>
      </c>
    </row>
    <row r="190" spans="1:48">
      <c r="A190">
        <v>185</v>
      </c>
      <c r="B190" s="27" t="str">
        <f t="shared" si="60"/>
        <v>Daniel Theis</v>
      </c>
      <c r="C190" s="21">
        <v>1</v>
      </c>
      <c r="D190" s="12">
        <f t="shared" ca="1" si="40"/>
        <v>-6.0502610709367666</v>
      </c>
      <c r="E190" s="12">
        <f t="shared" ca="1" si="41"/>
        <v>-6.0502610709367666</v>
      </c>
      <c r="F190" s="29">
        <f ca="1">SUM(AI190:AN190,AP190,AO190)+$A$4</f>
        <v>-1.131673782946645</v>
      </c>
      <c r="G190" s="29">
        <f ca="1">SUM(Y190:AF190)+$A$4</f>
        <v>-1.131673782946645</v>
      </c>
      <c r="H190" s="10">
        <v>1</v>
      </c>
      <c r="I190" s="10">
        <v>0</v>
      </c>
      <c r="J190" t="e">
        <f>VLOOKUP(N190,Schedule!#REF!,2,0)</f>
        <v>#REF!</v>
      </c>
      <c r="K190" s="17">
        <v>185</v>
      </c>
      <c r="L190" s="17" t="s">
        <v>247</v>
      </c>
      <c r="M190" s="17" t="s">
        <v>63</v>
      </c>
      <c r="N190" s="17" t="s">
        <v>100</v>
      </c>
      <c r="O190" s="22">
        <v>9.99</v>
      </c>
      <c r="P190" s="22">
        <v>0.75591549295774652</v>
      </c>
      <c r="Q190" s="22">
        <v>5.6650704225352113</v>
      </c>
      <c r="R190" s="22">
        <v>1.5450704225352112</v>
      </c>
      <c r="S190" s="22">
        <v>0.61802816901408453</v>
      </c>
      <c r="T190" s="22">
        <v>0.823943661971831</v>
      </c>
      <c r="U190" s="22">
        <v>0.53427715662381636</v>
      </c>
      <c r="V190" s="22">
        <v>7.5708450704225347</v>
      </c>
      <c r="W190" s="22">
        <v>0.68701902748414367</v>
      </c>
      <c r="X190" s="22">
        <v>1.6654929577464788</v>
      </c>
      <c r="Y190" s="14">
        <f t="shared" ca="1" si="42"/>
        <v>-1.0691770950837689</v>
      </c>
      <c r="Z190" s="14">
        <f t="shared" ca="1" si="43"/>
        <v>-0.96135806525268142</v>
      </c>
      <c r="AA190" s="14">
        <f t="shared" ca="1" si="44"/>
        <v>-1.7924142457541328E-2</v>
      </c>
      <c r="AB190" s="14">
        <f t="shared" ca="1" si="45"/>
        <v>-0.99005288989280893</v>
      </c>
      <c r="AC190" s="14">
        <f t="shared" ca="1" si="46"/>
        <v>-1.1852137202137019</v>
      </c>
      <c r="AD190" s="14">
        <f t="shared" ca="1" si="47"/>
        <v>0.28186420714037241</v>
      </c>
      <c r="AE190" s="14">
        <f ca="1">U$4*AO190</f>
        <v>0.68649287590422092</v>
      </c>
      <c r="AF190" s="15">
        <f ca="1">AP190*W$4</f>
        <v>-0.67630495309073557</v>
      </c>
      <c r="AG190" s="12">
        <f t="shared" ca="1" si="48"/>
        <v>-3.9316737829466448</v>
      </c>
      <c r="AH190" s="14">
        <f t="shared" ca="1" si="49"/>
        <v>-1.2928813302550086</v>
      </c>
      <c r="AI190" s="14">
        <f t="shared" ca="1" si="50"/>
        <v>-1.0691770950837689</v>
      </c>
      <c r="AJ190" s="14">
        <f t="shared" ca="1" si="51"/>
        <v>-0.96135806525268142</v>
      </c>
      <c r="AK190" s="14">
        <f t="shared" ca="1" si="52"/>
        <v>-1.7924142457541328E-2</v>
      </c>
      <c r="AL190" s="14">
        <f t="shared" ca="1" si="53"/>
        <v>-0.99005288989280893</v>
      </c>
      <c r="AM190" s="14">
        <f t="shared" ca="1" si="54"/>
        <v>-1.1852137202137019</v>
      </c>
      <c r="AN190" s="14">
        <f t="shared" ca="1" si="55"/>
        <v>0.28186420714037241</v>
      </c>
      <c r="AO190" s="14">
        <f t="shared" ca="1" si="57"/>
        <v>0.68649287590422092</v>
      </c>
      <c r="AP190" s="14">
        <f ca="1">(AV190-$AP$3)/$AP$4</f>
        <v>-0.67630495309073557</v>
      </c>
      <c r="AQ190" s="22">
        <f t="shared" si="58"/>
        <v>4.0449295774647887</v>
      </c>
      <c r="AR190" s="22">
        <f t="shared" si="59"/>
        <v>1.1442253521126757</v>
      </c>
      <c r="AS190" s="22">
        <f ca="1">(U190-AS$3)</f>
        <v>5.8302451435704394E-2</v>
      </c>
      <c r="AT190" s="22">
        <f ca="1">(W190-AT$3)</f>
        <v>-0.11308366425597149</v>
      </c>
      <c r="AU190" s="11">
        <f ca="1">AS190*V190</f>
        <v>0.44139882704555183</v>
      </c>
      <c r="AV190" s="11">
        <f ca="1">AT190*X190</f>
        <v>-0.18834004645448774</v>
      </c>
    </row>
    <row r="191" spans="1:48">
      <c r="A191">
        <v>186</v>
      </c>
      <c r="B191" s="27" t="str">
        <f t="shared" si="60"/>
        <v>Brandon Clarke</v>
      </c>
      <c r="C191" s="21">
        <v>1</v>
      </c>
      <c r="D191" s="12">
        <f t="shared" ca="1" si="40"/>
        <v>-5.7265218036516163</v>
      </c>
      <c r="E191" s="12">
        <f t="shared" ca="1" si="41"/>
        <v>-5.7265218036516163</v>
      </c>
      <c r="F191" s="29">
        <f ca="1">SUM(AI191:AN191,AP191,AO191)+$A$4</f>
        <v>-1.0711198271749089</v>
      </c>
      <c r="G191" s="29">
        <f ca="1">SUM(Y191:AF191)+$A$4</f>
        <v>-1.0711198271749089</v>
      </c>
      <c r="H191" s="10">
        <v>1</v>
      </c>
      <c r="I191" s="10">
        <v>0</v>
      </c>
      <c r="J191" t="e">
        <f>VLOOKUP(N191,Schedule!#REF!,2,0)</f>
        <v>#REF!</v>
      </c>
      <c r="K191" s="17">
        <v>186</v>
      </c>
      <c r="L191" s="17" t="s">
        <v>248</v>
      </c>
      <c r="M191" s="17" t="s">
        <v>63</v>
      </c>
      <c r="N191" s="17" t="s">
        <v>84</v>
      </c>
      <c r="O191" s="22">
        <v>9.1442028985507235</v>
      </c>
      <c r="P191" s="22">
        <v>0.27391304347826084</v>
      </c>
      <c r="Q191" s="22">
        <v>4.9353623188405802</v>
      </c>
      <c r="R191" s="22">
        <v>1.287536231884058</v>
      </c>
      <c r="S191" s="22">
        <v>0.85826086956521741</v>
      </c>
      <c r="T191" s="22">
        <v>0.77246376811594197</v>
      </c>
      <c r="U191" s="22">
        <v>0.54836122660025743</v>
      </c>
      <c r="V191" s="22">
        <v>6.8671014492753626</v>
      </c>
      <c r="W191" s="22">
        <v>0.74997970614497933</v>
      </c>
      <c r="X191" s="22">
        <v>1.7853623188405796</v>
      </c>
      <c r="Y191" s="14">
        <f t="shared" ca="1" si="42"/>
        <v>-1.2162402431338624</v>
      </c>
      <c r="Z191" s="14">
        <f t="shared" ca="1" si="43"/>
        <v>-1.4400040645703955</v>
      </c>
      <c r="AA191" s="14">
        <f t="shared" ca="1" si="44"/>
        <v>-0.32297971312355833</v>
      </c>
      <c r="AB191" s="14">
        <f t="shared" ca="1" si="45"/>
        <v>-1.1126738443875008</v>
      </c>
      <c r="AC191" s="14">
        <f t="shared" ca="1" si="46"/>
        <v>-0.41816953734876516</v>
      </c>
      <c r="AD191" s="14">
        <f t="shared" ca="1" si="47"/>
        <v>0.18718575783489586</v>
      </c>
      <c r="AE191" s="14">
        <f ca="1">U$4*AO191</f>
        <v>0.77310063521144412</v>
      </c>
      <c r="AF191" s="15">
        <f ca="1">AP191*W$4</f>
        <v>-0.32133881765716577</v>
      </c>
      <c r="AG191" s="12">
        <f t="shared" ca="1" si="48"/>
        <v>-3.8711198271749088</v>
      </c>
      <c r="AH191" s="14">
        <f t="shared" ca="1" si="49"/>
        <v>-1.272968925713732</v>
      </c>
      <c r="AI191" s="14">
        <f t="shared" ca="1" si="50"/>
        <v>-1.2162402431338624</v>
      </c>
      <c r="AJ191" s="14">
        <f t="shared" ca="1" si="51"/>
        <v>-1.4400040645703955</v>
      </c>
      <c r="AK191" s="14">
        <f t="shared" ca="1" si="52"/>
        <v>-0.32297971312355833</v>
      </c>
      <c r="AL191" s="14">
        <f t="shared" ca="1" si="53"/>
        <v>-1.1126738443875008</v>
      </c>
      <c r="AM191" s="14">
        <f t="shared" ca="1" si="54"/>
        <v>-0.41816953734876516</v>
      </c>
      <c r="AN191" s="14">
        <f t="shared" ca="1" si="55"/>
        <v>0.18718575783489586</v>
      </c>
      <c r="AO191" s="14">
        <f t="shared" ca="1" si="57"/>
        <v>0.77310063521144412</v>
      </c>
      <c r="AP191" s="14">
        <f ca="1">(AV191-$AP$3)/$AP$4</f>
        <v>-0.32133881765716577</v>
      </c>
      <c r="AQ191" s="22">
        <f t="shared" si="58"/>
        <v>3.7656521739130433</v>
      </c>
      <c r="AR191" s="22">
        <f t="shared" si="59"/>
        <v>1.3389855072463768</v>
      </c>
      <c r="AS191" s="22">
        <f ca="1">(U191-AS$3)</f>
        <v>7.2386521412145466E-2</v>
      </c>
      <c r="AT191" s="22">
        <f ca="1">(W191-AT$3)</f>
        <v>-5.0122985595135838E-2</v>
      </c>
      <c r="AU191" s="11">
        <f ca="1">AS191*V191</f>
        <v>0.49708558609734621</v>
      </c>
      <c r="AV191" s="11">
        <f ca="1">AT191*X191</f>
        <v>-8.9487689789344696E-2</v>
      </c>
    </row>
    <row r="192" spans="1:48">
      <c r="A192">
        <v>187</v>
      </c>
      <c r="B192" s="27" t="str">
        <f t="shared" si="60"/>
        <v>Andre Drummond</v>
      </c>
      <c r="C192" s="21">
        <v>1</v>
      </c>
      <c r="D192" s="12">
        <f t="shared" ca="1" si="40"/>
        <v>-6.4913757797512313</v>
      </c>
      <c r="E192" s="12">
        <f t="shared" ca="1" si="41"/>
        <v>-6.4913757797512313</v>
      </c>
      <c r="F192" s="29">
        <f ca="1">SUM(AI192:AN192,AP192,AO192)+$A$4</f>
        <v>-1.2141822805775053</v>
      </c>
      <c r="G192" s="29">
        <f ca="1">SUM(Y192:AF192)+$A$4</f>
        <v>-1.2141822805775053</v>
      </c>
      <c r="H192" s="10">
        <v>1</v>
      </c>
      <c r="I192" s="10">
        <v>0</v>
      </c>
      <c r="J192" t="e">
        <f>VLOOKUP(N192,Schedule!#REF!,2,0)</f>
        <v>#REF!</v>
      </c>
      <c r="K192" s="17">
        <v>187</v>
      </c>
      <c r="L192" s="17" t="s">
        <v>249</v>
      </c>
      <c r="M192" s="17" t="s">
        <v>22</v>
      </c>
      <c r="N192" s="17" t="s">
        <v>37</v>
      </c>
      <c r="O192" s="22">
        <v>8.7447887323943654</v>
      </c>
      <c r="P192" s="22">
        <v>0</v>
      </c>
      <c r="Q192" s="22">
        <v>8.5154929577464795</v>
      </c>
      <c r="R192" s="22">
        <v>1.3592957746478873</v>
      </c>
      <c r="S192" s="22">
        <v>0.99943661971830977</v>
      </c>
      <c r="T192" s="22">
        <v>0.71957746478873241</v>
      </c>
      <c r="U192" s="22">
        <v>0.53800291849072335</v>
      </c>
      <c r="V192" s="22">
        <v>6.7563380281690142</v>
      </c>
      <c r="W192" s="22">
        <v>0.59000507070820885</v>
      </c>
      <c r="X192" s="22">
        <v>2.4998591549295774</v>
      </c>
      <c r="Y192" s="14">
        <f t="shared" ca="1" si="42"/>
        <v>-1.2856884648765325</v>
      </c>
      <c r="Z192" s="14">
        <f t="shared" ca="1" si="43"/>
        <v>-1.7120096997355103</v>
      </c>
      <c r="AA192" s="14">
        <f t="shared" ca="1" si="44"/>
        <v>1.1736992871241494</v>
      </c>
      <c r="AB192" s="14">
        <f t="shared" ca="1" si="45"/>
        <v>-1.0785066388387723</v>
      </c>
      <c r="AC192" s="14">
        <f t="shared" ca="1" si="46"/>
        <v>3.2593567208161686E-2</v>
      </c>
      <c r="AD192" s="14">
        <f t="shared" ca="1" si="47"/>
        <v>8.9920732337053472E-2</v>
      </c>
      <c r="AE192" s="14">
        <f ca="1">U$4*AO192</f>
        <v>0.65178671067704885</v>
      </c>
      <c r="AF192" s="15">
        <f ca="1">AP192*W$4</f>
        <v>-1.8859777744731037</v>
      </c>
      <c r="AG192" s="12">
        <f t="shared" ca="1" si="48"/>
        <v>-4.0141822805775051</v>
      </c>
      <c r="AH192" s="14">
        <f t="shared" ca="1" si="49"/>
        <v>-1.3200132089569037</v>
      </c>
      <c r="AI192" s="14">
        <f t="shared" ca="1" si="50"/>
        <v>-1.2856884648765325</v>
      </c>
      <c r="AJ192" s="14">
        <f t="shared" ca="1" si="51"/>
        <v>-1.7120096997355103</v>
      </c>
      <c r="AK192" s="14">
        <f t="shared" ca="1" si="52"/>
        <v>1.1736992871241494</v>
      </c>
      <c r="AL192" s="14">
        <f t="shared" ca="1" si="53"/>
        <v>-1.0785066388387723</v>
      </c>
      <c r="AM192" s="14">
        <f t="shared" ca="1" si="54"/>
        <v>3.2593567208161686E-2</v>
      </c>
      <c r="AN192" s="14">
        <f t="shared" ca="1" si="55"/>
        <v>8.9920732337053472E-2</v>
      </c>
      <c r="AO192" s="14">
        <f t="shared" ca="1" si="57"/>
        <v>0.65178671067704885</v>
      </c>
      <c r="AP192" s="14">
        <f ca="1">(AV192-$AP$3)/$AP$4</f>
        <v>-1.8859777744731037</v>
      </c>
      <c r="AQ192" s="22">
        <f t="shared" si="58"/>
        <v>3.6349295774647885</v>
      </c>
      <c r="AR192" s="22">
        <f t="shared" si="59"/>
        <v>1.4749295774647886</v>
      </c>
      <c r="AS192" s="22">
        <f ca="1">(U192-AS$3)</f>
        <v>6.2028213302611379E-2</v>
      </c>
      <c r="AT192" s="22">
        <f ca="1">(W192-AT$3)</f>
        <v>-0.21009762103190632</v>
      </c>
      <c r="AU192" s="11">
        <f ca="1">AS192*V192</f>
        <v>0.41908357635581239</v>
      </c>
      <c r="AV192" s="11">
        <f ca="1">AT192*X192</f>
        <v>-0.52521446136553596</v>
      </c>
    </row>
    <row r="193" spans="1:48">
      <c r="A193">
        <v>188</v>
      </c>
      <c r="B193" s="27" t="str">
        <f t="shared" si="60"/>
        <v>Steven Adams</v>
      </c>
      <c r="C193" s="21">
        <v>1</v>
      </c>
      <c r="D193" s="12">
        <f t="shared" ca="1" si="40"/>
        <v>-11.441667938161117</v>
      </c>
      <c r="E193" s="12">
        <f t="shared" ca="1" si="41"/>
        <v>-11.441667938161121</v>
      </c>
      <c r="F193" s="29">
        <f ca="1">SUM(AI193:AN193,AP193,AO193)+$A$4</f>
        <v>-2.1401118872368503</v>
      </c>
      <c r="G193" s="29">
        <f ca="1">SUM(Y193:AF193)+$A$4</f>
        <v>-2.1401118872368512</v>
      </c>
      <c r="H193" s="10">
        <v>1</v>
      </c>
      <c r="I193" s="10">
        <v>0</v>
      </c>
      <c r="J193" t="e">
        <f>VLOOKUP(N193,Schedule!#REF!,2,0)</f>
        <v>#REF!</v>
      </c>
      <c r="K193" s="17">
        <v>188</v>
      </c>
      <c r="L193" s="17" t="s">
        <v>250</v>
      </c>
      <c r="M193" s="17" t="s">
        <v>22</v>
      </c>
      <c r="N193" s="17" t="s">
        <v>84</v>
      </c>
      <c r="O193" s="22">
        <v>7.7625373134328362</v>
      </c>
      <c r="P193" s="22">
        <v>0</v>
      </c>
      <c r="Q193" s="22">
        <v>8.536119402985074</v>
      </c>
      <c r="R193" s="22">
        <v>1.6737313432835821</v>
      </c>
      <c r="S193" s="22">
        <v>0.94850746268656716</v>
      </c>
      <c r="T193" s="22">
        <v>0.66955223880597015</v>
      </c>
      <c r="U193" s="22">
        <v>0.60601213458356318</v>
      </c>
      <c r="V193" s="22">
        <v>5.4119402985074627</v>
      </c>
      <c r="W193" s="22">
        <v>0.47300786292688657</v>
      </c>
      <c r="X193" s="22">
        <v>2.5435820895522387</v>
      </c>
      <c r="Y193" s="14">
        <f t="shared" ca="1" si="42"/>
        <v>-1.4564776359456137</v>
      </c>
      <c r="Z193" s="14">
        <f t="shared" ca="1" si="43"/>
        <v>-1.7120096997355103</v>
      </c>
      <c r="AA193" s="14">
        <f t="shared" ca="1" si="44"/>
        <v>1.1823222035906273</v>
      </c>
      <c r="AB193" s="14">
        <f t="shared" ca="1" si="45"/>
        <v>-0.92879296604176009</v>
      </c>
      <c r="AC193" s="14">
        <f t="shared" ca="1" si="46"/>
        <v>-0.13001923924904335</v>
      </c>
      <c r="AD193" s="14">
        <f t="shared" ca="1" si="47"/>
        <v>-2.0823870839504722E-3</v>
      </c>
      <c r="AE193" s="14">
        <f ca="1">U$4*AO193</f>
        <v>1.0945263785102888</v>
      </c>
      <c r="AF193" s="15">
        <f ca="1">AP193*W$4</f>
        <v>-2.9875785412818892</v>
      </c>
      <c r="AG193" s="12">
        <f t="shared" ca="1" si="48"/>
        <v>-4.940111887236851</v>
      </c>
      <c r="AH193" s="14">
        <f t="shared" ca="1" si="49"/>
        <v>-1.6244934806347431</v>
      </c>
      <c r="AI193" s="14">
        <f t="shared" ca="1" si="50"/>
        <v>-1.4564776359456137</v>
      </c>
      <c r="AJ193" s="14">
        <f t="shared" ca="1" si="51"/>
        <v>-1.7120096997355103</v>
      </c>
      <c r="AK193" s="14">
        <f t="shared" ca="1" si="52"/>
        <v>1.1823222035906273</v>
      </c>
      <c r="AL193" s="14">
        <f t="shared" ca="1" si="53"/>
        <v>-0.92879296604176009</v>
      </c>
      <c r="AM193" s="14">
        <f t="shared" ca="1" si="54"/>
        <v>-0.13001923924904335</v>
      </c>
      <c r="AN193" s="14">
        <f t="shared" ca="1" si="55"/>
        <v>-2.0823870839504722E-3</v>
      </c>
      <c r="AO193" s="14">
        <f t="shared" ca="1" si="57"/>
        <v>1.0945263785102888</v>
      </c>
      <c r="AP193" s="14">
        <f ca="1">(AV193-$AP$3)/$AP$4</f>
        <v>-2.9875785412818892</v>
      </c>
      <c r="AQ193" s="22">
        <f t="shared" si="58"/>
        <v>3.2797014925373134</v>
      </c>
      <c r="AR193" s="22">
        <f t="shared" si="59"/>
        <v>1.203134328358209</v>
      </c>
      <c r="AS193" s="22">
        <f ca="1">(U193-AS$3)</f>
        <v>0.13003742939545121</v>
      </c>
      <c r="AT193" s="22">
        <f ca="1">(W193-AT$3)</f>
        <v>-0.3270948288132286</v>
      </c>
      <c r="AU193" s="11">
        <f ca="1">AS193*V193</f>
        <v>0.70375480445956129</v>
      </c>
      <c r="AV193" s="11">
        <f ca="1">AT193*X193</f>
        <v>-0.83199254815448387</v>
      </c>
    </row>
    <row r="194" spans="1:48">
      <c r="A194">
        <v>189</v>
      </c>
      <c r="B194" s="27" t="str">
        <f t="shared" si="60"/>
        <v>Thomas Bryant</v>
      </c>
      <c r="C194" s="21">
        <v>1</v>
      </c>
      <c r="D194" s="12">
        <f t="shared" ca="1" si="40"/>
        <v>-8.1196770334665835</v>
      </c>
      <c r="E194" s="12">
        <f t="shared" ca="1" si="41"/>
        <v>-8.1196770334665835</v>
      </c>
      <c r="F194" s="29">
        <f ca="1">SUM(AI194:AN194,AP194,AO194)+$A$4</f>
        <v>-1.5187486154784073</v>
      </c>
      <c r="G194" s="29">
        <f ca="1">SUM(Y194:AF194)+$A$4</f>
        <v>-1.5187486154784073</v>
      </c>
      <c r="H194" s="10">
        <v>1</v>
      </c>
      <c r="I194" s="10">
        <v>0</v>
      </c>
      <c r="J194" t="e">
        <f>VLOOKUP(N194,Schedule!#REF!,2,0)</f>
        <v>#REF!</v>
      </c>
      <c r="K194" s="17">
        <v>189</v>
      </c>
      <c r="L194" s="17" t="s">
        <v>251</v>
      </c>
      <c r="M194" s="17" t="s">
        <v>22</v>
      </c>
      <c r="N194" s="17" t="s">
        <v>40</v>
      </c>
      <c r="O194" s="22">
        <v>9.6090322580645164</v>
      </c>
      <c r="P194" s="22">
        <v>0.70645161290322578</v>
      </c>
      <c r="Q194" s="22">
        <v>5.4248387096774202</v>
      </c>
      <c r="R194" s="22">
        <v>1.181290322580645</v>
      </c>
      <c r="S194" s="22">
        <v>0.39387096774193553</v>
      </c>
      <c r="T194" s="22">
        <v>0.83129032258064517</v>
      </c>
      <c r="U194" s="22">
        <v>0.59521163753914541</v>
      </c>
      <c r="V194" s="22">
        <v>6.3864516129032252</v>
      </c>
      <c r="W194" s="22">
        <v>0.72691197691197684</v>
      </c>
      <c r="X194" s="22">
        <v>1.7883870967741935</v>
      </c>
      <c r="Y194" s="14">
        <f t="shared" ca="1" si="42"/>
        <v>-1.1354179409539742</v>
      </c>
      <c r="Z194" s="14">
        <f t="shared" ca="1" si="43"/>
        <v>-1.010477500899523</v>
      </c>
      <c r="AA194" s="14">
        <f t="shared" ca="1" si="44"/>
        <v>-0.11835337146960689</v>
      </c>
      <c r="AB194" s="14">
        <f t="shared" ca="1" si="45"/>
        <v>-1.1632612043687167</v>
      </c>
      <c r="AC194" s="14">
        <f t="shared" ca="1" si="46"/>
        <v>-1.9009300939156661</v>
      </c>
      <c r="AD194" s="14">
        <f t="shared" ca="1" si="47"/>
        <v>0.29537570419130471</v>
      </c>
      <c r="AE194" s="14">
        <f ca="1">U$4*AO194</f>
        <v>1.1843369535206487</v>
      </c>
      <c r="AF194" s="15">
        <f ca="1">AP194*W$4</f>
        <v>-0.47002116158287272</v>
      </c>
      <c r="AG194" s="12">
        <f t="shared" ca="1" si="48"/>
        <v>-4.3187486154784072</v>
      </c>
      <c r="AH194" s="14">
        <f t="shared" ca="1" si="49"/>
        <v>-1.4201660064564094</v>
      </c>
      <c r="AI194" s="14">
        <f t="shared" ca="1" si="50"/>
        <v>-1.1354179409539742</v>
      </c>
      <c r="AJ194" s="14">
        <f t="shared" ca="1" si="51"/>
        <v>-1.010477500899523</v>
      </c>
      <c r="AK194" s="14">
        <f t="shared" ca="1" si="52"/>
        <v>-0.11835337146960689</v>
      </c>
      <c r="AL194" s="14">
        <f t="shared" ca="1" si="53"/>
        <v>-1.1632612043687167</v>
      </c>
      <c r="AM194" s="14">
        <f t="shared" ca="1" si="54"/>
        <v>-1.9009300939156661</v>
      </c>
      <c r="AN194" s="14">
        <f t="shared" ca="1" si="55"/>
        <v>0.29537570419130471</v>
      </c>
      <c r="AO194" s="14">
        <f t="shared" ca="1" si="57"/>
        <v>1.1843369535206487</v>
      </c>
      <c r="AP194" s="14">
        <f ca="1">(AV194-$AP$3)/$AP$4</f>
        <v>-0.47002116158287272</v>
      </c>
      <c r="AQ194" s="22">
        <f t="shared" si="58"/>
        <v>3.8012903225806451</v>
      </c>
      <c r="AR194" s="22">
        <f t="shared" si="59"/>
        <v>1.2999999999999998</v>
      </c>
      <c r="AS194" s="22">
        <f ca="1">(U194-AS$3)</f>
        <v>0.11923693235103344</v>
      </c>
      <c r="AT194" s="22">
        <f ca="1">(W194-AT$3)</f>
        <v>-7.3190714828138326E-2</v>
      </c>
      <c r="AU194" s="11">
        <f ca="1">AS194*V194</f>
        <v>0.76150089893089024</v>
      </c>
      <c r="AV194" s="11">
        <f ca="1">AT194*X194</f>
        <v>-0.13089333000232223</v>
      </c>
    </row>
    <row r="195" spans="1:48">
      <c r="A195">
        <v>190</v>
      </c>
      <c r="B195" s="27" t="str">
        <f t="shared" si="60"/>
        <v>Dwight Howard</v>
      </c>
      <c r="C195" s="21">
        <v>1</v>
      </c>
      <c r="D195" s="12">
        <f t="shared" ca="1" si="40"/>
        <v>-13.75885011560359</v>
      </c>
      <c r="E195" s="12">
        <f t="shared" ca="1" si="41"/>
        <v>-13.75885011560359</v>
      </c>
      <c r="F195" s="29">
        <f ca="1">SUM(AI195:AN195,AP195,AO195)+$A$4</f>
        <v>-2.5735302620437501</v>
      </c>
      <c r="G195" s="29">
        <f ca="1">SUM(Y195:AF195)+$A$4</f>
        <v>-2.5735302620437501</v>
      </c>
      <c r="H195" s="10">
        <v>1</v>
      </c>
      <c r="I195" s="10">
        <v>0</v>
      </c>
      <c r="J195" t="e">
        <f>VLOOKUP(N195,Schedule!#REF!,2,0)</f>
        <v>#REF!</v>
      </c>
      <c r="K195" s="17">
        <v>190</v>
      </c>
      <c r="L195" s="17" t="s">
        <v>252</v>
      </c>
      <c r="M195" s="17" t="s">
        <v>22</v>
      </c>
      <c r="N195" s="17" t="s">
        <v>55</v>
      </c>
      <c r="O195" s="22">
        <v>6.3696103896103899</v>
      </c>
      <c r="P195" s="22">
        <v>5.155844155844156E-2</v>
      </c>
      <c r="Q195" s="22">
        <v>9.9449350649350645</v>
      </c>
      <c r="R195" s="22">
        <v>0.51</v>
      </c>
      <c r="S195" s="22">
        <v>0.51</v>
      </c>
      <c r="T195" s="22">
        <v>1.02</v>
      </c>
      <c r="U195" s="22">
        <v>0.60335158007858414</v>
      </c>
      <c r="V195" s="22">
        <v>3.867142857142857</v>
      </c>
      <c r="W195" s="22">
        <v>0.58498550991305953</v>
      </c>
      <c r="X195" s="22">
        <v>2.8232467532467531</v>
      </c>
      <c r="Y195" s="14">
        <f t="shared" ca="1" si="42"/>
        <v>-1.6986730963817556</v>
      </c>
      <c r="Z195" s="14">
        <f t="shared" ca="1" si="43"/>
        <v>-1.66081028817722</v>
      </c>
      <c r="AA195" s="14">
        <f t="shared" ca="1" si="44"/>
        <v>1.7712797107683551</v>
      </c>
      <c r="AB195" s="14">
        <f t="shared" ca="1" si="45"/>
        <v>-1.4828857943688394</v>
      </c>
      <c r="AC195" s="14">
        <f t="shared" ca="1" si="46"/>
        <v>-1.530139196377871</v>
      </c>
      <c r="AD195" s="14">
        <f t="shared" ca="1" si="47"/>
        <v>0.64243818409883391</v>
      </c>
      <c r="AE195" s="14">
        <f ca="1">U$4*AO195</f>
        <v>0.76610035792714104</v>
      </c>
      <c r="AF195" s="15">
        <f ca="1">AP195*W$4</f>
        <v>-2.180840139532394</v>
      </c>
      <c r="AG195" s="12">
        <f t="shared" ca="1" si="48"/>
        <v>-5.3735302620437499</v>
      </c>
      <c r="AH195" s="14">
        <f t="shared" ca="1" si="49"/>
        <v>-1.7670176461460894</v>
      </c>
      <c r="AI195" s="14">
        <f t="shared" ca="1" si="50"/>
        <v>-1.6986730963817556</v>
      </c>
      <c r="AJ195" s="14">
        <f t="shared" ca="1" si="51"/>
        <v>-1.66081028817722</v>
      </c>
      <c r="AK195" s="14">
        <f t="shared" ca="1" si="52"/>
        <v>1.7712797107683551</v>
      </c>
      <c r="AL195" s="14">
        <f t="shared" ca="1" si="53"/>
        <v>-1.4828857943688394</v>
      </c>
      <c r="AM195" s="14">
        <f t="shared" ca="1" si="54"/>
        <v>-1.530139196377871</v>
      </c>
      <c r="AN195" s="14">
        <f t="shared" ca="1" si="55"/>
        <v>0.64243818409883391</v>
      </c>
      <c r="AO195" s="14">
        <f t="shared" ca="1" si="57"/>
        <v>0.76610035792714104</v>
      </c>
      <c r="AP195" s="14">
        <f ca="1">(AV195-$AP$3)/$AP$4</f>
        <v>-2.180840139532394</v>
      </c>
      <c r="AQ195" s="22">
        <f t="shared" si="58"/>
        <v>2.3332467532467533</v>
      </c>
      <c r="AR195" s="22">
        <f t="shared" si="59"/>
        <v>1.6515584415584417</v>
      </c>
      <c r="AS195" s="22">
        <f ca="1">(U195-AS$3)</f>
        <v>0.12737687489047217</v>
      </c>
      <c r="AT195" s="22">
        <f ca="1">(W195-AT$3)</f>
        <v>-0.21511718182705564</v>
      </c>
      <c r="AU195" s="11">
        <f ca="1">AS195*V195</f>
        <v>0.49258457189786881</v>
      </c>
      <c r="AV195" s="11">
        <f ca="1">AT195*X195</f>
        <v>-0.60732888516082628</v>
      </c>
    </row>
    <row r="196" spans="1:48">
      <c r="A196">
        <v>191</v>
      </c>
      <c r="B196" s="27" t="str">
        <f t="shared" si="60"/>
        <v>Talen Horton-Tucker</v>
      </c>
      <c r="C196" s="21">
        <v>1</v>
      </c>
      <c r="D196" s="12">
        <f t="shared" ca="1" si="40"/>
        <v>-12.247053879362072</v>
      </c>
      <c r="E196" s="12">
        <f t="shared" ca="1" si="41"/>
        <v>-12.247053879362072</v>
      </c>
      <c r="F196" s="29">
        <f ca="1">SUM(AI196:AN196,AP196,AO196)+$A$4</f>
        <v>-2.290755660145944</v>
      </c>
      <c r="G196" s="29">
        <f ca="1">SUM(Y196:AF196)+$A$4</f>
        <v>-2.290755660145944</v>
      </c>
      <c r="H196" s="10">
        <v>1</v>
      </c>
      <c r="I196" s="10">
        <v>0</v>
      </c>
      <c r="J196" t="e">
        <f>VLOOKUP(N196,Schedule!#REF!,2,0)</f>
        <v>#REF!</v>
      </c>
      <c r="K196" s="17">
        <v>191</v>
      </c>
      <c r="L196" s="17" t="s">
        <v>253</v>
      </c>
      <c r="M196" s="17" t="s">
        <v>48</v>
      </c>
      <c r="N196" s="17" t="s">
        <v>55</v>
      </c>
      <c r="O196" s="22">
        <v>8.4201333333333324</v>
      </c>
      <c r="P196" s="22">
        <v>0.56666666666666665</v>
      </c>
      <c r="Q196" s="22">
        <v>2.4097333333333335</v>
      </c>
      <c r="R196" s="22">
        <v>2.6774666666666667</v>
      </c>
      <c r="S196" s="22">
        <v>1.0264</v>
      </c>
      <c r="T196" s="22">
        <v>0.26773333333333332</v>
      </c>
      <c r="U196" s="22">
        <v>0.48376325398840092</v>
      </c>
      <c r="V196" s="22">
        <v>6.8281333333333336</v>
      </c>
      <c r="W196" s="22">
        <v>0.76102522375915371</v>
      </c>
      <c r="X196" s="22">
        <v>1.6386666666666667</v>
      </c>
      <c r="Y196" s="14">
        <f t="shared" ca="1" si="42"/>
        <v>-1.3421379903425856</v>
      </c>
      <c r="Z196" s="14">
        <f t="shared" ca="1" si="43"/>
        <v>-1.1492890470923363</v>
      </c>
      <c r="AA196" s="14">
        <f t="shared" ca="1" si="44"/>
        <v>-1.3788227105681479</v>
      </c>
      <c r="AB196" s="14">
        <f t="shared" ca="1" si="45"/>
        <v>-0.45087978836978831</v>
      </c>
      <c r="AC196" s="14">
        <f t="shared" ca="1" si="46"/>
        <v>0.11868552699547417</v>
      </c>
      <c r="AD196" s="14">
        <f t="shared" ca="1" si="47"/>
        <v>-0.74108140247180232</v>
      </c>
      <c r="AE196" s="14">
        <f ca="1">U$4*AO196</f>
        <v>8.2711024137581579E-2</v>
      </c>
      <c r="AF196" s="15">
        <f ca="1">AP196*W$4</f>
        <v>-0.22994127243433954</v>
      </c>
      <c r="AG196" s="12">
        <f t="shared" ca="1" si="48"/>
        <v>-5.0907556601459438</v>
      </c>
      <c r="AH196" s="14">
        <f t="shared" ca="1" si="49"/>
        <v>-1.6740307851685321</v>
      </c>
      <c r="AI196" s="14">
        <f t="shared" ca="1" si="50"/>
        <v>-1.3421379903425856</v>
      </c>
      <c r="AJ196" s="14">
        <f t="shared" ca="1" si="51"/>
        <v>-1.1492890470923363</v>
      </c>
      <c r="AK196" s="14">
        <f t="shared" ca="1" si="52"/>
        <v>-1.3788227105681479</v>
      </c>
      <c r="AL196" s="14">
        <f t="shared" ca="1" si="53"/>
        <v>-0.45087978836978831</v>
      </c>
      <c r="AM196" s="14">
        <f t="shared" ca="1" si="54"/>
        <v>0.11868552699547417</v>
      </c>
      <c r="AN196" s="14">
        <f t="shared" ca="1" si="55"/>
        <v>-0.74108140247180232</v>
      </c>
      <c r="AO196" s="14">
        <f t="shared" ca="1" si="57"/>
        <v>8.2711024137581579E-2</v>
      </c>
      <c r="AP196" s="14">
        <f ca="1">(AV196-$AP$3)/$AP$4</f>
        <v>-0.22994127243433954</v>
      </c>
      <c r="AQ196" s="22">
        <f t="shared" si="58"/>
        <v>3.3031999999999999</v>
      </c>
      <c r="AR196" s="22">
        <f t="shared" si="59"/>
        <v>1.2470666666666665</v>
      </c>
      <c r="AS196" s="22">
        <f ca="1">(U196-AS$3)</f>
        <v>7.7885488002889525E-3</v>
      </c>
      <c r="AT196" s="22">
        <f ca="1">(W196-AT$3)</f>
        <v>-3.9077467980961456E-2</v>
      </c>
      <c r="AU196" s="11">
        <f ca="1">AS196*V196</f>
        <v>5.318124968154634E-2</v>
      </c>
      <c r="AV196" s="11">
        <f ca="1">AT196*X196</f>
        <v>-6.4034944198135504E-2</v>
      </c>
    </row>
    <row r="197" spans="1:48">
      <c r="A197">
        <v>192</v>
      </c>
      <c r="B197" s="27" t="str">
        <f t="shared" si="60"/>
        <v>Kevin Huerter</v>
      </c>
      <c r="C197" s="21">
        <v>1</v>
      </c>
      <c r="D197" s="12">
        <f t="shared" ca="1" si="40"/>
        <v>-13.009362853965639</v>
      </c>
      <c r="E197" s="12">
        <f t="shared" ca="1" si="41"/>
        <v>-13.009362853965639</v>
      </c>
      <c r="F197" s="29">
        <f ca="1">SUM(AI197:AN197,AP197,AO197)+$A$4</f>
        <v>-2.4333420826075827</v>
      </c>
      <c r="G197" s="29">
        <f ca="1">SUM(Y197:AF197)+$A$4</f>
        <v>-2.4333420826075827</v>
      </c>
      <c r="H197" s="10">
        <v>1</v>
      </c>
      <c r="I197" s="10">
        <v>0</v>
      </c>
      <c r="J197" t="e">
        <f>VLOOKUP(N197,Schedule!#REF!,2,0)</f>
        <v>#REF!</v>
      </c>
      <c r="K197" s="17">
        <v>192</v>
      </c>
      <c r="L197" s="17" t="s">
        <v>254</v>
      </c>
      <c r="M197" s="17" t="s">
        <v>48</v>
      </c>
      <c r="N197" s="17" t="s">
        <v>61</v>
      </c>
      <c r="O197" s="22">
        <v>8.004666666666667</v>
      </c>
      <c r="P197" s="22">
        <v>1.4343999999999999</v>
      </c>
      <c r="Q197" s="22">
        <v>2.4916</v>
      </c>
      <c r="R197" s="22">
        <v>2.3958666666666666</v>
      </c>
      <c r="S197" s="22">
        <v>0.91039999999999999</v>
      </c>
      <c r="T197" s="22">
        <v>0.23959999999999998</v>
      </c>
      <c r="U197" s="22">
        <v>0.42874750228762443</v>
      </c>
      <c r="V197" s="22">
        <v>7.1398666666666664</v>
      </c>
      <c r="W197" s="22">
        <v>0.78408029878618113</v>
      </c>
      <c r="X197" s="22">
        <v>0.57120000000000004</v>
      </c>
      <c r="Y197" s="14">
        <f t="shared" ca="1" si="42"/>
        <v>-1.4143773439714689</v>
      </c>
      <c r="Z197" s="14">
        <f t="shared" ca="1" si="43"/>
        <v>-0.28759822182133021</v>
      </c>
      <c r="AA197" s="14">
        <f t="shared" ca="1" si="44"/>
        <v>-1.3445982273918233</v>
      </c>
      <c r="AB197" s="14">
        <f t="shared" ca="1" si="45"/>
        <v>-0.58495930883423197</v>
      </c>
      <c r="AC197" s="14">
        <f t="shared" ca="1" si="46"/>
        <v>-0.25169338065616803</v>
      </c>
      <c r="AD197" s="14">
        <f t="shared" ca="1" si="47"/>
        <v>-0.79282238665585136</v>
      </c>
      <c r="AE197" s="14">
        <f ca="1">U$4*AO197</f>
        <v>-0.52442958781526416</v>
      </c>
      <c r="AF197" s="15">
        <f ca="1">AP197*W$4</f>
        <v>-3.2863625461444057E-2</v>
      </c>
      <c r="AG197" s="12">
        <f t="shared" ca="1" si="48"/>
        <v>-5.2333420826075825</v>
      </c>
      <c r="AH197" s="14">
        <f t="shared" ca="1" si="49"/>
        <v>-1.7209185316413191</v>
      </c>
      <c r="AI197" s="14">
        <f t="shared" ca="1" si="50"/>
        <v>-1.4143773439714689</v>
      </c>
      <c r="AJ197" s="14">
        <f t="shared" ca="1" si="51"/>
        <v>-0.28759822182133021</v>
      </c>
      <c r="AK197" s="14">
        <f t="shared" ca="1" si="52"/>
        <v>-1.3445982273918233</v>
      </c>
      <c r="AL197" s="14">
        <f t="shared" ca="1" si="53"/>
        <v>-0.58495930883423197</v>
      </c>
      <c r="AM197" s="14">
        <f t="shared" ca="1" si="54"/>
        <v>-0.25169338065616803</v>
      </c>
      <c r="AN197" s="14">
        <f t="shared" ca="1" si="55"/>
        <v>-0.79282238665585136</v>
      </c>
      <c r="AO197" s="14">
        <f t="shared" ca="1" si="57"/>
        <v>-0.52442958781526416</v>
      </c>
      <c r="AP197" s="14">
        <f ca="1">(AV197-$AP$3)/$AP$4</f>
        <v>-3.2863625461444057E-2</v>
      </c>
      <c r="AQ197" s="22">
        <f t="shared" si="58"/>
        <v>3.0611999999999999</v>
      </c>
      <c r="AR197" s="22">
        <f t="shared" si="59"/>
        <v>0.44786666666666669</v>
      </c>
      <c r="AS197" s="22">
        <f ca="1">(U197-AS$3)</f>
        <v>-4.7227202900487542E-2</v>
      </c>
      <c r="AT197" s="22">
        <f ca="1">(W197-AT$3)</f>
        <v>-1.6022392953934039E-2</v>
      </c>
      <c r="AU197" s="11">
        <f ca="1">AS197*V197</f>
        <v>-0.33719593174909429</v>
      </c>
      <c r="AV197" s="11">
        <f ca="1">AT197*X197</f>
        <v>-9.1519908552871246E-3</v>
      </c>
    </row>
    <row r="198" spans="1:48">
      <c r="A198">
        <v>193</v>
      </c>
      <c r="B198" s="27" t="str">
        <f t="shared" si="60"/>
        <v>JaVale McGee</v>
      </c>
      <c r="C198" s="21">
        <v>1</v>
      </c>
      <c r="D198" s="12">
        <f t="shared" ref="D198:D224" ca="1" si="61">F198*D$4</f>
        <v>-12.17870408661825</v>
      </c>
      <c r="E198" s="12">
        <f t="shared" ref="E198:E224" ca="1" si="62">G198*E$4</f>
        <v>-12.178704086618245</v>
      </c>
      <c r="F198" s="29">
        <f ca="1">SUM(AI198:AN198,AP198,AO198)+$A$4</f>
        <v>-2.2779711426497355</v>
      </c>
      <c r="G198" s="29">
        <f ca="1">SUM(Y198:AF198)+$A$4</f>
        <v>-2.2779711426497347</v>
      </c>
      <c r="H198" s="10">
        <v>1</v>
      </c>
      <c r="I198" s="10">
        <v>0</v>
      </c>
      <c r="J198" t="e">
        <f>VLOOKUP(N198,Schedule!#REF!,2,0)</f>
        <v>#REF!</v>
      </c>
      <c r="K198" s="17">
        <v>193</v>
      </c>
      <c r="L198" s="17" t="s">
        <v>255</v>
      </c>
      <c r="M198" s="17" t="s">
        <v>22</v>
      </c>
      <c r="N198" s="17" t="s">
        <v>72</v>
      </c>
      <c r="O198" s="22">
        <v>6.8694285714285712</v>
      </c>
      <c r="P198" s="22">
        <v>6.4000000000000001E-2</v>
      </c>
      <c r="Q198" s="22">
        <v>5.4119999999999999</v>
      </c>
      <c r="R198" s="22">
        <v>0.79199999999999993</v>
      </c>
      <c r="S198" s="22">
        <v>0.42899999999999999</v>
      </c>
      <c r="T198" s="22">
        <v>1.2870000000000001</v>
      </c>
      <c r="U198" s="22">
        <v>0.58355706536628127</v>
      </c>
      <c r="V198" s="22">
        <v>5.2145714285714284</v>
      </c>
      <c r="W198" s="22">
        <v>0.65701239399869527</v>
      </c>
      <c r="X198" s="22">
        <v>1.095</v>
      </c>
      <c r="Y198" s="14">
        <f t="shared" ref="Y198:Y224" ca="1" si="63">O$4*AI198</f>
        <v>-1.6117671054001066</v>
      </c>
      <c r="Z198" s="14">
        <f t="shared" ref="Z198:Z224" ca="1" si="64">P$4*AJ198</f>
        <v>-1.6484553672016928</v>
      </c>
      <c r="AA198" s="14">
        <f t="shared" ref="AA198:AA224" ca="1" si="65">Q$4*AK198</f>
        <v>-0.12372061336733392</v>
      </c>
      <c r="AB198" s="14">
        <f t="shared" ref="AB198:AB224" ca="1" si="66">R$4*AL198</f>
        <v>-1.3486158200400997</v>
      </c>
      <c r="AC198" s="14">
        <f t="shared" ref="AC198:AC224" ca="1" si="67">S$4*AM198</f>
        <v>-1.7887658474104835</v>
      </c>
      <c r="AD198" s="14">
        <f t="shared" ref="AD198:AD224" ca="1" si="68">T$4*AN198</f>
        <v>1.1334870979782561</v>
      </c>
      <c r="AE198" s="14">
        <f ca="1">U$4*AO198</f>
        <v>0.87249821763216806</v>
      </c>
      <c r="AF198" s="15">
        <f ca="1">AP198*W$4</f>
        <v>-0.56263170484044245</v>
      </c>
      <c r="AG198" s="12">
        <f t="shared" ref="AG198:AG224" ca="1" si="69">SUM(Y198:AF198)</f>
        <v>-5.0779711426497345</v>
      </c>
      <c r="AH198" s="14">
        <f t="shared" ref="AH198:AH224" ca="1" si="70">(AG198-AG$3)/AG$4</f>
        <v>-1.6698267578509911</v>
      </c>
      <c r="AI198" s="14">
        <f t="shared" ref="AI198:AI224" ca="1" si="71">(O198-AI$3)/AI$4</f>
        <v>-1.6117671054001066</v>
      </c>
      <c r="AJ198" s="14">
        <f t="shared" ref="AJ198:AJ224" ca="1" si="72">(P198-AJ$3)/AJ$4</f>
        <v>-1.6484553672016928</v>
      </c>
      <c r="AK198" s="14">
        <f t="shared" ref="AK198:AK224" ca="1" si="73">(Q198-AK$3)/AK$4</f>
        <v>-0.12372061336733392</v>
      </c>
      <c r="AL198" s="14">
        <f t="shared" ref="AL198:AL224" ca="1" si="74">(R198-AL$3)/AL$4</f>
        <v>-1.3486158200400997</v>
      </c>
      <c r="AM198" s="14">
        <f t="shared" ref="AM198:AM224" ca="1" si="75">(S198-AM$3)/AM$4</f>
        <v>-1.7887658474104835</v>
      </c>
      <c r="AN198" s="14">
        <f t="shared" ref="AN198:AN224" ca="1" si="76">(T198-AN$3)/AN$4</f>
        <v>1.1334870979782561</v>
      </c>
      <c r="AO198" s="14">
        <f t="shared" ca="1" si="57"/>
        <v>0.87249821763216806</v>
      </c>
      <c r="AP198" s="14">
        <f ca="1">(AV198-$AP$3)/$AP$4</f>
        <v>-0.56263170484044245</v>
      </c>
      <c r="AQ198" s="22">
        <f t="shared" si="58"/>
        <v>3.0429999999999997</v>
      </c>
      <c r="AR198" s="22">
        <f t="shared" si="59"/>
        <v>0.71942857142857131</v>
      </c>
      <c r="AS198" s="22">
        <f ca="1">(U198-AS$3)</f>
        <v>0.1075823601781693</v>
      </c>
      <c r="AT198" s="22">
        <f ca="1">(W198-AT$3)</f>
        <v>-0.1430902977414199</v>
      </c>
      <c r="AU198" s="11">
        <f ca="1">AS198*V198</f>
        <v>0.56099590160336221</v>
      </c>
      <c r="AV198" s="11">
        <f ca="1">AT198*X198</f>
        <v>-0.1566838760268548</v>
      </c>
    </row>
    <row r="199" spans="1:48">
      <c r="A199">
        <v>194</v>
      </c>
      <c r="B199" s="27" t="str">
        <f t="shared" si="60"/>
        <v>Rudy Gay</v>
      </c>
      <c r="C199" s="21">
        <v>1</v>
      </c>
      <c r="D199" s="12">
        <f t="shared" ca="1" si="61"/>
        <v>-10.711844668107357</v>
      </c>
      <c r="E199" s="12">
        <f t="shared" ca="1" si="62"/>
        <v>-10.711844668107357</v>
      </c>
      <c r="F199" s="29">
        <f ca="1">SUM(AI199:AN199,AP199,AO199)+$A$4</f>
        <v>-2.0036017678848683</v>
      </c>
      <c r="G199" s="29">
        <f ca="1">SUM(Y199:AF199)+$A$4</f>
        <v>-2.0036017678848683</v>
      </c>
      <c r="H199" s="10">
        <v>1</v>
      </c>
      <c r="I199" s="10">
        <v>0</v>
      </c>
      <c r="J199" t="e">
        <f>VLOOKUP(N199,Schedule!#REF!,2,0)</f>
        <v>#REF!</v>
      </c>
      <c r="K199" s="17">
        <v>194</v>
      </c>
      <c r="L199" s="17" t="s">
        <v>256</v>
      </c>
      <c r="M199" s="17" t="s">
        <v>45</v>
      </c>
      <c r="N199" s="17" t="s">
        <v>67</v>
      </c>
      <c r="O199" s="22">
        <v>8.7589393939393947</v>
      </c>
      <c r="P199" s="22">
        <v>1.3262121212121212</v>
      </c>
      <c r="Q199" s="22">
        <v>4.4200000000000008</v>
      </c>
      <c r="R199" s="22">
        <v>1.2750000000000001</v>
      </c>
      <c r="S199" s="22">
        <v>0.72257575757575754</v>
      </c>
      <c r="T199" s="22">
        <v>0.63757575757575757</v>
      </c>
      <c r="U199" s="22">
        <v>0.41970174083536338</v>
      </c>
      <c r="V199" s="22">
        <v>7.6504545454545445</v>
      </c>
      <c r="W199" s="22">
        <v>0.82594701658826442</v>
      </c>
      <c r="X199" s="22">
        <v>1.2239393939393939</v>
      </c>
      <c r="Y199" s="14">
        <f t="shared" ca="1" si="63"/>
        <v>-1.2832280156384854</v>
      </c>
      <c r="Z199" s="14">
        <f t="shared" ca="1" si="64"/>
        <v>-0.39503272845591092</v>
      </c>
      <c r="AA199" s="14">
        <f t="shared" ca="1" si="65"/>
        <v>-0.53842770592735734</v>
      </c>
      <c r="AB199" s="14">
        <f t="shared" ca="1" si="66"/>
        <v>-1.1186427789025775</v>
      </c>
      <c r="AC199" s="14">
        <f t="shared" ca="1" si="67"/>
        <v>-0.85140146461813493</v>
      </c>
      <c r="AD199" s="14">
        <f t="shared" ca="1" si="68"/>
        <v>-6.0891437188001434E-2</v>
      </c>
      <c r="AE199" s="14">
        <f ca="1">U$4*AO199</f>
        <v>-0.66956368777674202</v>
      </c>
      <c r="AF199" s="15">
        <f ca="1">AP199*W$4</f>
        <v>0.11358605062234158</v>
      </c>
      <c r="AG199" s="12">
        <f t="shared" ca="1" si="69"/>
        <v>-4.8036017678848681</v>
      </c>
      <c r="AH199" s="14">
        <f t="shared" ca="1" si="70"/>
        <v>-1.5796038497944174</v>
      </c>
      <c r="AI199" s="14">
        <f t="shared" ca="1" si="71"/>
        <v>-1.2832280156384854</v>
      </c>
      <c r="AJ199" s="14">
        <f t="shared" ca="1" si="72"/>
        <v>-0.39503272845591092</v>
      </c>
      <c r="AK199" s="14">
        <f t="shared" ca="1" si="73"/>
        <v>-0.53842770592735734</v>
      </c>
      <c r="AL199" s="14">
        <f t="shared" ca="1" si="74"/>
        <v>-1.1186427789025775</v>
      </c>
      <c r="AM199" s="14">
        <f t="shared" ca="1" si="75"/>
        <v>-0.85140146461813493</v>
      </c>
      <c r="AN199" s="14">
        <f t="shared" ca="1" si="76"/>
        <v>-6.0891437188001434E-2</v>
      </c>
      <c r="AO199" s="14">
        <f t="shared" ref="AO199:AO224" ca="1" si="77">(AU199-$AO$3)/$AO$4</f>
        <v>-0.66956368777674202</v>
      </c>
      <c r="AP199" s="14">
        <f ca="1">(AV199-$AP$3)/$AP$4</f>
        <v>0.11358605062234158</v>
      </c>
      <c r="AQ199" s="22">
        <f t="shared" ref="AQ199:AQ224" si="78">V199*U199</f>
        <v>3.2109090909090909</v>
      </c>
      <c r="AR199" s="22">
        <f t="shared" ref="AR199:AR224" si="79">W199*X199</f>
        <v>1.0109090909090908</v>
      </c>
      <c r="AS199" s="22">
        <f ca="1">(U199-AS$3)</f>
        <v>-5.6272964352748589E-2</v>
      </c>
      <c r="AT199" s="22">
        <f ca="1">(W199-AT$3)</f>
        <v>2.5844324848149247E-2</v>
      </c>
      <c r="AU199" s="11">
        <f ca="1">AS199*V199</f>
        <v>-0.43051375591868701</v>
      </c>
      <c r="AV199" s="11">
        <f ca="1">AT199*X199</f>
        <v>3.163188729141661E-2</v>
      </c>
    </row>
    <row r="200" spans="1:48">
      <c r="A200">
        <v>195</v>
      </c>
      <c r="B200" s="27" t="str">
        <f t="shared" si="60"/>
        <v>Justin Holiday</v>
      </c>
      <c r="C200" s="21">
        <v>1</v>
      </c>
      <c r="D200" s="12">
        <f t="shared" ca="1" si="61"/>
        <v>-5.5828162241058594</v>
      </c>
      <c r="E200" s="12">
        <f t="shared" ca="1" si="62"/>
        <v>-5.5828162241058594</v>
      </c>
      <c r="F200" s="29">
        <f ca="1">SUM(AI200:AN200,AP200,AO200)+$A$4</f>
        <v>-1.0442403528963045</v>
      </c>
      <c r="G200" s="29">
        <f ca="1">SUM(Y200:AF200)+$A$4</f>
        <v>-1.0442403528963045</v>
      </c>
      <c r="H200" s="10">
        <v>1</v>
      </c>
      <c r="I200" s="10">
        <v>0</v>
      </c>
      <c r="J200" t="e">
        <f>VLOOKUP(N200,Schedule!#REF!,2,0)</f>
        <v>#REF!</v>
      </c>
      <c r="K200" s="17">
        <v>195</v>
      </c>
      <c r="L200" s="17" t="s">
        <v>257</v>
      </c>
      <c r="M200" s="17" t="s">
        <v>48</v>
      </c>
      <c r="N200" s="17" t="s">
        <v>75</v>
      </c>
      <c r="O200" s="22">
        <v>9.5097435897435876</v>
      </c>
      <c r="P200" s="22">
        <v>2.2453846153846153</v>
      </c>
      <c r="Q200" s="22">
        <v>3.0637179487179491</v>
      </c>
      <c r="R200" s="22">
        <v>1.5907692307692307</v>
      </c>
      <c r="S200" s="22">
        <v>0.94269230769230772</v>
      </c>
      <c r="T200" s="22">
        <v>0.58923076923076922</v>
      </c>
      <c r="U200" s="22">
        <v>0.41270308741962397</v>
      </c>
      <c r="V200" s="22">
        <v>7.8357692307692313</v>
      </c>
      <c r="W200" s="22">
        <v>0.78202869368235595</v>
      </c>
      <c r="X200" s="22">
        <v>1.0187179487179487</v>
      </c>
      <c r="Y200" s="14">
        <f t="shared" ca="1" si="63"/>
        <v>-1.1526817789405992</v>
      </c>
      <c r="Z200" s="14">
        <f t="shared" ca="1" si="64"/>
        <v>0.51773905827185362</v>
      </c>
      <c r="AA200" s="14">
        <f t="shared" ca="1" si="65"/>
        <v>-1.105423458123451</v>
      </c>
      <c r="AB200" s="14">
        <f t="shared" ca="1" si="66"/>
        <v>-0.96829410333807209</v>
      </c>
      <c r="AC200" s="14">
        <f t="shared" ca="1" si="67"/>
        <v>-0.14858657334041234</v>
      </c>
      <c r="AD200" s="14">
        <f t="shared" ca="1" si="68"/>
        <v>-0.1498043735862031</v>
      </c>
      <c r="AE200" s="14">
        <f ca="1">U$4*AO200</f>
        <v>-0.77107289347183372</v>
      </c>
      <c r="AF200" s="15">
        <f ca="1">AP200*W$4</f>
        <v>-6.6116230367586848E-2</v>
      </c>
      <c r="AG200" s="12">
        <f t="shared" ca="1" si="69"/>
        <v>-3.8442403528963043</v>
      </c>
      <c r="AH200" s="14">
        <f t="shared" ca="1" si="70"/>
        <v>-1.2641299496489802</v>
      </c>
      <c r="AI200" s="14">
        <f t="shared" ca="1" si="71"/>
        <v>-1.1526817789405992</v>
      </c>
      <c r="AJ200" s="14">
        <f t="shared" ca="1" si="72"/>
        <v>0.51773905827185362</v>
      </c>
      <c r="AK200" s="14">
        <f t="shared" ca="1" si="73"/>
        <v>-1.105423458123451</v>
      </c>
      <c r="AL200" s="14">
        <f t="shared" ca="1" si="74"/>
        <v>-0.96829410333807209</v>
      </c>
      <c r="AM200" s="14">
        <f t="shared" ca="1" si="75"/>
        <v>-0.14858657334041234</v>
      </c>
      <c r="AN200" s="14">
        <f t="shared" ca="1" si="76"/>
        <v>-0.1498043735862031</v>
      </c>
      <c r="AO200" s="14">
        <f t="shared" ca="1" si="77"/>
        <v>-0.77107289347183372</v>
      </c>
      <c r="AP200" s="14">
        <f ca="1">(AV200-$AP$3)/$AP$4</f>
        <v>-6.6116230367586848E-2</v>
      </c>
      <c r="AQ200" s="22">
        <f t="shared" si="78"/>
        <v>3.2338461538461538</v>
      </c>
      <c r="AR200" s="22">
        <f t="shared" si="79"/>
        <v>0.79666666666666675</v>
      </c>
      <c r="AS200" s="22">
        <f ca="1">(U200-AS$3)</f>
        <v>-6.3271617768487998E-2</v>
      </c>
      <c r="AT200" s="22">
        <f ca="1">(W200-AT$3)</f>
        <v>-1.8073998057759222E-2</v>
      </c>
      <c r="AU200" s="11">
        <f ca="1">AS200*V200</f>
        <v>-0.49578179569131003</v>
      </c>
      <c r="AV200" s="11">
        <f ca="1">AT200*X200</f>
        <v>-1.8412306226532664E-2</v>
      </c>
    </row>
    <row r="201" spans="1:48">
      <c r="A201">
        <v>196</v>
      </c>
      <c r="B201" s="27" t="str">
        <f t="shared" si="60"/>
        <v>Isaac Okoro</v>
      </c>
      <c r="C201" s="21">
        <v>1</v>
      </c>
      <c r="D201" s="12">
        <f t="shared" ca="1" si="61"/>
        <v>-9.0113398677754528</v>
      </c>
      <c r="E201" s="12">
        <f t="shared" ca="1" si="62"/>
        <v>-9.0113398677754564</v>
      </c>
      <c r="F201" s="29">
        <f ca="1">SUM(AI201:AN201,AP201,AO201)+$A$4</f>
        <v>-1.6855300883742554</v>
      </c>
      <c r="G201" s="29">
        <f ca="1">SUM(Y201:AF201)+$A$4</f>
        <v>-1.6855300883742563</v>
      </c>
      <c r="H201" s="10">
        <v>1</v>
      </c>
      <c r="I201" s="10">
        <v>0</v>
      </c>
      <c r="J201" t="e">
        <f>VLOOKUP(N201,Schedule!#REF!,2,0)</f>
        <v>#REF!</v>
      </c>
      <c r="K201" s="17">
        <v>196</v>
      </c>
      <c r="L201" s="17" t="s">
        <v>258</v>
      </c>
      <c r="M201" s="17" t="s">
        <v>105</v>
      </c>
      <c r="N201" s="17" t="s">
        <v>118</v>
      </c>
      <c r="O201" s="22">
        <v>13.064868421052632</v>
      </c>
      <c r="P201" s="22">
        <v>1.3492105263157896</v>
      </c>
      <c r="Q201" s="22">
        <v>3.5417105263157898</v>
      </c>
      <c r="R201" s="22">
        <v>2.3374999999999999</v>
      </c>
      <c r="S201" s="22">
        <v>0.99171052631578949</v>
      </c>
      <c r="T201" s="22">
        <v>0.28328947368421054</v>
      </c>
      <c r="U201" s="22">
        <v>0.44139427032687562</v>
      </c>
      <c r="V201" s="22">
        <v>10.554473684210526</v>
      </c>
      <c r="W201" s="22">
        <v>0.73300892785329375</v>
      </c>
      <c r="X201" s="22">
        <v>3.2718421052631577</v>
      </c>
      <c r="Y201" s="14">
        <f t="shared" ca="1" si="63"/>
        <v>-0.53453370476595652</v>
      </c>
      <c r="Z201" s="14">
        <f t="shared" ca="1" si="64"/>
        <v>-0.37219447399175487</v>
      </c>
      <c r="AA201" s="14">
        <f t="shared" ca="1" si="65"/>
        <v>-0.90559794187257181</v>
      </c>
      <c r="AB201" s="14">
        <f t="shared" ca="1" si="66"/>
        <v>-0.61274970186610234</v>
      </c>
      <c r="AC201" s="14">
        <f t="shared" ca="1" si="67"/>
        <v>7.9247565629890753E-3</v>
      </c>
      <c r="AD201" s="14">
        <f t="shared" ca="1" si="68"/>
        <v>-0.71247156792703037</v>
      </c>
      <c r="AE201" s="14">
        <f ca="1">U$4*AO201</f>
        <v>-0.56763856269719593</v>
      </c>
      <c r="AF201" s="15">
        <f ca="1">AP201*W$4</f>
        <v>-0.78826889181663296</v>
      </c>
      <c r="AG201" s="12">
        <f t="shared" ca="1" si="69"/>
        <v>-4.4855300883742562</v>
      </c>
      <c r="AH201" s="14">
        <f t="shared" ca="1" si="70"/>
        <v>-1.4750099900734503</v>
      </c>
      <c r="AI201" s="14">
        <f t="shared" ca="1" si="71"/>
        <v>-0.53453370476595652</v>
      </c>
      <c r="AJ201" s="14">
        <f t="shared" ca="1" si="72"/>
        <v>-0.37219447399175487</v>
      </c>
      <c r="AK201" s="14">
        <f t="shared" ca="1" si="73"/>
        <v>-0.90559794187257181</v>
      </c>
      <c r="AL201" s="14">
        <f t="shared" ca="1" si="74"/>
        <v>-0.61274970186610234</v>
      </c>
      <c r="AM201" s="14">
        <f t="shared" ca="1" si="75"/>
        <v>7.9247565629890753E-3</v>
      </c>
      <c r="AN201" s="14">
        <f t="shared" ca="1" si="76"/>
        <v>-0.71247156792703037</v>
      </c>
      <c r="AO201" s="14">
        <f t="shared" ca="1" si="77"/>
        <v>-0.56763856269719593</v>
      </c>
      <c r="AP201" s="14">
        <f ca="1">(AV201-$AP$3)/$AP$4</f>
        <v>-0.78826889181663296</v>
      </c>
      <c r="AQ201" s="22">
        <f t="shared" si="78"/>
        <v>4.6586842105263155</v>
      </c>
      <c r="AR201" s="22">
        <f t="shared" si="79"/>
        <v>2.3982894736842106</v>
      </c>
      <c r="AS201" s="22">
        <f ca="1">(U201-AS$3)</f>
        <v>-3.4580434861236353E-2</v>
      </c>
      <c r="AT201" s="22">
        <f ca="1">(W201-AT$3)</f>
        <v>-6.7093763886821423E-2</v>
      </c>
      <c r="AU201" s="11">
        <f ca="1">AS201*V201</f>
        <v>-0.36497828973147539</v>
      </c>
      <c r="AV201" s="11">
        <f ca="1">AT201*X201</f>
        <v>-0.21952020168548703</v>
      </c>
    </row>
    <row r="202" spans="1:48">
      <c r="A202">
        <v>197</v>
      </c>
      <c r="B202" s="27" t="str">
        <f t="shared" si="60"/>
        <v>Cody Zeller</v>
      </c>
      <c r="C202" s="21">
        <v>1</v>
      </c>
      <c r="D202" s="12">
        <f t="shared" ca="1" si="61"/>
        <v>-12.637699653466226</v>
      </c>
      <c r="E202" s="12">
        <f t="shared" ca="1" si="62"/>
        <v>-12.63769965346623</v>
      </c>
      <c r="F202" s="29">
        <f ca="1">SUM(AI202:AN202,AP202,AO202)+$A$4</f>
        <v>-2.363824173353775</v>
      </c>
      <c r="G202" s="29">
        <f ca="1">SUM(Y202:AF202)+$A$4</f>
        <v>-2.3638241733537759</v>
      </c>
      <c r="H202" s="10">
        <v>1</v>
      </c>
      <c r="I202" s="10">
        <v>0</v>
      </c>
      <c r="J202" t="e">
        <f>VLOOKUP(N202,Schedule!#REF!,2,0)</f>
        <v>#REF!</v>
      </c>
      <c r="K202" s="17">
        <v>197</v>
      </c>
      <c r="L202" s="17" t="s">
        <v>259</v>
      </c>
      <c r="M202" s="17" t="s">
        <v>22</v>
      </c>
      <c r="N202" s="17" t="s">
        <v>35</v>
      </c>
      <c r="O202" s="22">
        <v>9.5184999999999995</v>
      </c>
      <c r="P202" s="22">
        <v>8.2166666666666666E-2</v>
      </c>
      <c r="Q202" s="22">
        <v>6.7164999999999999</v>
      </c>
      <c r="R202" s="22">
        <v>1.635</v>
      </c>
      <c r="S202" s="22">
        <v>0.57450000000000001</v>
      </c>
      <c r="T202" s="22">
        <v>0.35350000000000004</v>
      </c>
      <c r="U202" s="22">
        <v>0.56843554060253865</v>
      </c>
      <c r="V202" s="22">
        <v>6.5389999999999997</v>
      </c>
      <c r="W202" s="22">
        <v>0.71202512890416647</v>
      </c>
      <c r="X202" s="22">
        <v>2.8121666666666667</v>
      </c>
      <c r="Y202" s="14">
        <f t="shared" ca="1" si="63"/>
        <v>-1.1511592562744426</v>
      </c>
      <c r="Z202" s="14">
        <f t="shared" ca="1" si="64"/>
        <v>-1.63041520510225</v>
      </c>
      <c r="AA202" s="14">
        <f t="shared" ca="1" si="65"/>
        <v>0.42162757437918935</v>
      </c>
      <c r="AB202" s="14">
        <f t="shared" ca="1" si="66"/>
        <v>-0.94723430103610118</v>
      </c>
      <c r="AC202" s="14">
        <f t="shared" ca="1" si="67"/>
        <v>-1.3241957520370873</v>
      </c>
      <c r="AD202" s="14">
        <f t="shared" ca="1" si="68"/>
        <v>-0.58334496609080944</v>
      </c>
      <c r="AE202" s="14">
        <f ca="1">U$4*AO202</f>
        <v>0.94031639944493794</v>
      </c>
      <c r="AF202" s="15">
        <f ca="1">AP202*W$4</f>
        <v>-0.88941866663721258</v>
      </c>
      <c r="AG202" s="12">
        <f t="shared" ca="1" si="69"/>
        <v>-5.1638241733537757</v>
      </c>
      <c r="AH202" s="14">
        <f t="shared" ca="1" si="70"/>
        <v>-1.6980584440667981</v>
      </c>
      <c r="AI202" s="14">
        <f t="shared" ca="1" si="71"/>
        <v>-1.1511592562744426</v>
      </c>
      <c r="AJ202" s="14">
        <f t="shared" ca="1" si="72"/>
        <v>-1.63041520510225</v>
      </c>
      <c r="AK202" s="14">
        <f t="shared" ca="1" si="73"/>
        <v>0.42162757437918935</v>
      </c>
      <c r="AL202" s="14">
        <f t="shared" ca="1" si="74"/>
        <v>-0.94723430103610118</v>
      </c>
      <c r="AM202" s="14">
        <f t="shared" ca="1" si="75"/>
        <v>-1.3241957520370873</v>
      </c>
      <c r="AN202" s="14">
        <f t="shared" ca="1" si="76"/>
        <v>-0.58334496609080944</v>
      </c>
      <c r="AO202" s="14">
        <f t="shared" ca="1" si="77"/>
        <v>0.94031639944493794</v>
      </c>
      <c r="AP202" s="14">
        <f ca="1">(AV202-$AP$3)/$AP$4</f>
        <v>-0.88941866663721258</v>
      </c>
      <c r="AQ202" s="22">
        <f t="shared" si="78"/>
        <v>3.7170000000000001</v>
      </c>
      <c r="AR202" s="22">
        <f t="shared" si="79"/>
        <v>2.0023333333333335</v>
      </c>
      <c r="AS202" s="22">
        <f ca="1">(U202-AS$3)</f>
        <v>9.2460835414426679E-2</v>
      </c>
      <c r="AT202" s="22">
        <f ca="1">(W202-AT$3)</f>
        <v>-8.8077562835948697E-2</v>
      </c>
      <c r="AU202" s="11">
        <f ca="1">AS202*V202</f>
        <v>0.60460140277493601</v>
      </c>
      <c r="AV202" s="11">
        <f ca="1">AT202*X202</f>
        <v>-0.24768878628849372</v>
      </c>
    </row>
    <row r="203" spans="1:48">
      <c r="A203">
        <v>198</v>
      </c>
      <c r="B203" s="27" t="str">
        <f t="shared" si="60"/>
        <v>Jarred Vanderbilt</v>
      </c>
      <c r="C203" s="21">
        <v>1</v>
      </c>
      <c r="D203" s="12">
        <f t="shared" ca="1" si="61"/>
        <v>-9.3721825922364523</v>
      </c>
      <c r="E203" s="12">
        <f t="shared" ca="1" si="62"/>
        <v>-9.3721825922364523</v>
      </c>
      <c r="F203" s="29">
        <f ca="1">SUM(AI203:AN203,AP203,AO203)+$A$4</f>
        <v>-1.7530240768570247</v>
      </c>
      <c r="G203" s="29">
        <f ca="1">SUM(Y203:AF203)+$A$4</f>
        <v>-1.7530240768570247</v>
      </c>
      <c r="H203" s="10">
        <v>1</v>
      </c>
      <c r="I203" s="10">
        <v>0</v>
      </c>
      <c r="J203" t="e">
        <f>VLOOKUP(N203,Schedule!#REF!,2,0)</f>
        <v>#REF!</v>
      </c>
      <c r="K203" s="17">
        <v>198</v>
      </c>
      <c r="L203" s="17" t="s">
        <v>260</v>
      </c>
      <c r="M203" s="17" t="s">
        <v>45</v>
      </c>
      <c r="N203" s="17" t="s">
        <v>31</v>
      </c>
      <c r="O203" s="22">
        <v>5.9113157894736839</v>
      </c>
      <c r="P203" s="22">
        <v>2.9868421052631579E-2</v>
      </c>
      <c r="Q203" s="22">
        <v>6.1156578947368416</v>
      </c>
      <c r="R203" s="22">
        <v>1.0192105263157893</v>
      </c>
      <c r="S203" s="22">
        <v>1.06</v>
      </c>
      <c r="T203" s="22">
        <v>0.81539473684210528</v>
      </c>
      <c r="U203" s="22">
        <v>0.60227236047900323</v>
      </c>
      <c r="V203" s="22">
        <v>4.0764473684210527</v>
      </c>
      <c r="W203" s="22">
        <v>0.5809981108312342</v>
      </c>
      <c r="X203" s="22">
        <v>1.6715789473684211</v>
      </c>
      <c r="Y203" s="14">
        <f t="shared" ca="1" si="63"/>
        <v>-1.7783591659071485</v>
      </c>
      <c r="Z203" s="14">
        <f t="shared" ca="1" si="64"/>
        <v>-1.6823492690505255</v>
      </c>
      <c r="AA203" s="14">
        <f t="shared" ca="1" si="65"/>
        <v>0.1704446282488182</v>
      </c>
      <c r="AB203" s="14">
        <f t="shared" ca="1" si="66"/>
        <v>-1.2404330131761263</v>
      </c>
      <c r="AC203" s="14">
        <f t="shared" ca="1" si="67"/>
        <v>0.2259676933497432</v>
      </c>
      <c r="AD203" s="14">
        <f t="shared" ca="1" si="68"/>
        <v>0.26614158392019144</v>
      </c>
      <c r="AE203" s="14">
        <f ca="1">U$4*AO203</f>
        <v>0.80072241738317995</v>
      </c>
      <c r="AF203" s="15">
        <f ca="1">AP203*W$4</f>
        <v>-1.3151589516251569</v>
      </c>
      <c r="AG203" s="12">
        <f t="shared" ca="1" si="69"/>
        <v>-4.5530240768570245</v>
      </c>
      <c r="AH203" s="14">
        <f t="shared" ca="1" si="70"/>
        <v>-1.4972045368317062</v>
      </c>
      <c r="AI203" s="14">
        <f t="shared" ca="1" si="71"/>
        <v>-1.7783591659071485</v>
      </c>
      <c r="AJ203" s="14">
        <f t="shared" ca="1" si="72"/>
        <v>-1.6823492690505255</v>
      </c>
      <c r="AK203" s="14">
        <f t="shared" ca="1" si="73"/>
        <v>0.1704446282488182</v>
      </c>
      <c r="AL203" s="14">
        <f t="shared" ca="1" si="74"/>
        <v>-1.2404330131761263</v>
      </c>
      <c r="AM203" s="14">
        <f t="shared" ca="1" si="75"/>
        <v>0.2259676933497432</v>
      </c>
      <c r="AN203" s="14">
        <f t="shared" ca="1" si="76"/>
        <v>0.26614158392019144</v>
      </c>
      <c r="AO203" s="14">
        <f t="shared" ca="1" si="77"/>
        <v>0.80072241738317995</v>
      </c>
      <c r="AP203" s="14">
        <f ca="1">(AV203-$AP$3)/$AP$4</f>
        <v>-1.3151589516251569</v>
      </c>
      <c r="AQ203" s="22">
        <f t="shared" si="78"/>
        <v>2.4551315789473684</v>
      </c>
      <c r="AR203" s="22">
        <f t="shared" si="79"/>
        <v>0.97118421052631565</v>
      </c>
      <c r="AS203" s="22">
        <f ca="1">(U203-AS$3)</f>
        <v>0.12629765529089126</v>
      </c>
      <c r="AT203" s="22">
        <f ca="1">(W203-AT$3)</f>
        <v>-0.21910458090888096</v>
      </c>
      <c r="AU203" s="11">
        <f ca="1">AS203*V203</f>
        <v>0.5148457445483029</v>
      </c>
      <c r="AV203" s="11">
        <f ca="1">AT203*X203</f>
        <v>-0.36625060471926629</v>
      </c>
    </row>
    <row r="204" spans="1:48">
      <c r="A204">
        <v>199</v>
      </c>
      <c r="B204" s="27" t="str">
        <f t="shared" si="60"/>
        <v>Terance Mann</v>
      </c>
      <c r="C204" s="21">
        <v>1</v>
      </c>
      <c r="D204" s="12">
        <f t="shared" ca="1" si="61"/>
        <v>-10.676309703468016</v>
      </c>
      <c r="E204" s="12">
        <f t="shared" ca="1" si="62"/>
        <v>-10.676309703468016</v>
      </c>
      <c r="F204" s="29">
        <f ca="1">SUM(AI204:AN204,AP204,AO204)+$A$4</f>
        <v>-1.9969551145605262</v>
      </c>
      <c r="G204" s="29">
        <f ca="1">SUM(Y204:AF204)+$A$4</f>
        <v>-1.9969551145605262</v>
      </c>
      <c r="H204" s="10">
        <v>1</v>
      </c>
      <c r="I204" s="10">
        <v>0</v>
      </c>
      <c r="J204" t="e">
        <f>VLOOKUP(N204,Schedule!#REF!,2,0)</f>
        <v>#REF!</v>
      </c>
      <c r="K204" s="17">
        <v>199</v>
      </c>
      <c r="L204" s="17" t="s">
        <v>261</v>
      </c>
      <c r="M204" s="17" t="s">
        <v>105</v>
      </c>
      <c r="N204" s="17" t="s">
        <v>49</v>
      </c>
      <c r="O204" s="22">
        <v>9.9816666666666691</v>
      </c>
      <c r="P204" s="22">
        <v>0.75576923076923086</v>
      </c>
      <c r="Q204" s="22">
        <v>4.6406410256410258</v>
      </c>
      <c r="R204" s="22">
        <v>2.1141025641025641</v>
      </c>
      <c r="S204" s="22">
        <v>0.56717948717948719</v>
      </c>
      <c r="T204" s="22">
        <v>0.25782051282051283</v>
      </c>
      <c r="U204" s="22">
        <v>0.50124326564442612</v>
      </c>
      <c r="V204" s="22">
        <v>7.4246153846153851</v>
      </c>
      <c r="W204" s="22">
        <v>0.82798451920214355</v>
      </c>
      <c r="X204" s="22">
        <v>2.1532051282051281</v>
      </c>
      <c r="Y204" s="14">
        <f t="shared" ca="1" si="63"/>
        <v>-1.0706260551613698</v>
      </c>
      <c r="Z204" s="14">
        <f t="shared" ca="1" si="64"/>
        <v>-0.96150330893652591</v>
      </c>
      <c r="AA204" s="14">
        <f t="shared" ca="1" si="65"/>
        <v>-0.44618839318234615</v>
      </c>
      <c r="AB204" s="14">
        <f t="shared" ca="1" si="66"/>
        <v>-0.71911696421736115</v>
      </c>
      <c r="AC204" s="14">
        <f t="shared" ca="1" si="67"/>
        <v>-1.3475695756742543</v>
      </c>
      <c r="AD204" s="14">
        <f t="shared" ca="1" si="68"/>
        <v>-0.75931241275757821</v>
      </c>
      <c r="AE204" s="14">
        <f ca="1">U$4*AO204</f>
        <v>0.29178255430866123</v>
      </c>
      <c r="AF204" s="15">
        <f ca="1">AP204*W$4</f>
        <v>0.21557904106024744</v>
      </c>
      <c r="AG204" s="12">
        <f t="shared" ca="1" si="69"/>
        <v>-4.796955114560526</v>
      </c>
      <c r="AH204" s="14">
        <f t="shared" ca="1" si="70"/>
        <v>-1.5774181816881283</v>
      </c>
      <c r="AI204" s="14">
        <f t="shared" ca="1" si="71"/>
        <v>-1.0706260551613698</v>
      </c>
      <c r="AJ204" s="14">
        <f t="shared" ca="1" si="72"/>
        <v>-0.96150330893652591</v>
      </c>
      <c r="AK204" s="14">
        <f t="shared" ca="1" si="73"/>
        <v>-0.44618839318234615</v>
      </c>
      <c r="AL204" s="14">
        <f t="shared" ca="1" si="74"/>
        <v>-0.71911696421736115</v>
      </c>
      <c r="AM204" s="14">
        <f t="shared" ca="1" si="75"/>
        <v>-1.3475695756742543</v>
      </c>
      <c r="AN204" s="14">
        <f t="shared" ca="1" si="76"/>
        <v>-0.75931241275757821</v>
      </c>
      <c r="AO204" s="14">
        <f t="shared" ca="1" si="77"/>
        <v>0.29178255430866123</v>
      </c>
      <c r="AP204" s="14">
        <f ca="1">(AV204-$AP$3)/$AP$4</f>
        <v>0.21557904106024744</v>
      </c>
      <c r="AQ204" s="22">
        <f t="shared" si="78"/>
        <v>3.7215384615384624</v>
      </c>
      <c r="AR204" s="22">
        <f t="shared" si="79"/>
        <v>1.7828205128205128</v>
      </c>
      <c r="AS204" s="22">
        <f ca="1">(U204-AS$3)</f>
        <v>2.5268560456314149E-2</v>
      </c>
      <c r="AT204" s="22">
        <f ca="1">(W204-AT$3)</f>
        <v>2.7881827462028386E-2</v>
      </c>
      <c r="AU204" s="11">
        <f ca="1">AS204*V204</f>
        <v>0.18760934271103399</v>
      </c>
      <c r="AV204" s="11">
        <f ca="1">AT204*X204</f>
        <v>6.0035293874970093E-2</v>
      </c>
    </row>
    <row r="205" spans="1:48">
      <c r="A205">
        <v>200</v>
      </c>
      <c r="B205" s="27" t="str">
        <f t="shared" si="60"/>
        <v>Xavier Tillman</v>
      </c>
      <c r="C205" s="21">
        <v>1</v>
      </c>
      <c r="D205" s="12">
        <f t="shared" ca="1" si="61"/>
        <v>-9.7716697567028135</v>
      </c>
      <c r="E205" s="12">
        <f t="shared" ca="1" si="62"/>
        <v>-9.7716697567028135</v>
      </c>
      <c r="F205" s="29">
        <f ca="1">SUM(AI205:AN205,AP205,AO205)+$A$4</f>
        <v>-1.8277463318720928</v>
      </c>
      <c r="G205" s="29">
        <f ca="1">SUM(Y205:AF205)+$A$4</f>
        <v>-1.8277463318720928</v>
      </c>
      <c r="H205" s="10">
        <v>1</v>
      </c>
      <c r="I205" s="10">
        <v>0</v>
      </c>
      <c r="K205" s="17">
        <v>200</v>
      </c>
      <c r="L205" s="17" t="s">
        <v>262</v>
      </c>
      <c r="M205" s="17" t="s">
        <v>45</v>
      </c>
      <c r="N205" s="17" t="s">
        <v>84</v>
      </c>
      <c r="O205" s="22">
        <v>7.8872972972972972</v>
      </c>
      <c r="P205" s="22">
        <v>0.44094594594594599</v>
      </c>
      <c r="Q205" s="22">
        <v>4.9354054054054055</v>
      </c>
      <c r="R205" s="22">
        <v>1.7166216216216217</v>
      </c>
      <c r="S205" s="22">
        <v>0.77243243243243243</v>
      </c>
      <c r="T205" s="22">
        <v>0.60081081081081078</v>
      </c>
      <c r="U205" s="22">
        <v>0.55447306577836586</v>
      </c>
      <c r="V205" s="22">
        <v>5.9228378378378377</v>
      </c>
      <c r="W205" s="22">
        <v>0.67403028417340793</v>
      </c>
      <c r="X205" s="22">
        <v>1.3029729729729731</v>
      </c>
      <c r="Y205" s="14">
        <f t="shared" ca="1" si="63"/>
        <v>-1.4347849676374016</v>
      </c>
      <c r="Z205" s="14">
        <f t="shared" ca="1" si="64"/>
        <v>-1.2741343047653966</v>
      </c>
      <c r="AA205" s="14">
        <f t="shared" ca="1" si="65"/>
        <v>-0.32296170072030517</v>
      </c>
      <c r="AB205" s="14">
        <f t="shared" ca="1" si="66"/>
        <v>-0.90837141791622433</v>
      </c>
      <c r="AC205" s="14">
        <f t="shared" ca="1" si="67"/>
        <v>-0.69221300968228716</v>
      </c>
      <c r="AD205" s="14">
        <f t="shared" ca="1" si="68"/>
        <v>-0.12850711950171639</v>
      </c>
      <c r="AE205" s="14">
        <f ca="1">U$4*AO205</f>
        <v>0.72309488408253197</v>
      </c>
      <c r="AF205" s="15">
        <f ca="1">AP205*W$4</f>
        <v>-0.58986869573129475</v>
      </c>
      <c r="AG205" s="12">
        <f t="shared" ca="1" si="69"/>
        <v>-4.6277463318720926</v>
      </c>
      <c r="AH205" s="14">
        <f t="shared" ca="1" si="70"/>
        <v>-1.5217760078633471</v>
      </c>
      <c r="AI205" s="14">
        <f t="shared" ca="1" si="71"/>
        <v>-1.4347849676374016</v>
      </c>
      <c r="AJ205" s="14">
        <f t="shared" ca="1" si="72"/>
        <v>-1.2741343047653966</v>
      </c>
      <c r="AK205" s="14">
        <f t="shared" ca="1" si="73"/>
        <v>-0.32296170072030517</v>
      </c>
      <c r="AL205" s="14">
        <f t="shared" ca="1" si="74"/>
        <v>-0.90837141791622433</v>
      </c>
      <c r="AM205" s="14">
        <f t="shared" ca="1" si="75"/>
        <v>-0.69221300968228716</v>
      </c>
      <c r="AN205" s="14">
        <f t="shared" ca="1" si="76"/>
        <v>-0.12850711950171639</v>
      </c>
      <c r="AO205" s="14">
        <f t="shared" ca="1" si="77"/>
        <v>0.72309488408253197</v>
      </c>
      <c r="AP205" s="14">
        <f ca="1">(AV205-$AP$3)/$AP$4</f>
        <v>-0.58986869573129475</v>
      </c>
      <c r="AQ205" s="22">
        <f t="shared" si="78"/>
        <v>3.2840540540540535</v>
      </c>
      <c r="AR205" s="22">
        <f t="shared" si="79"/>
        <v>0.87824324324324321</v>
      </c>
      <c r="AS205" s="22">
        <f ca="1">(U205-AS$3)</f>
        <v>7.8498360590253891E-2</v>
      </c>
      <c r="AT205" s="22">
        <f ca="1">(W205-AT$3)</f>
        <v>-0.12607240756670723</v>
      </c>
      <c r="AU205" s="11">
        <f ca="1">AS205*V205</f>
        <v>0.46493306031219428</v>
      </c>
      <c r="AV205" s="11">
        <f ca="1">AT205*X205</f>
        <v>-0.16426893969705286</v>
      </c>
    </row>
    <row r="206" spans="1:48">
      <c r="A206">
        <v>201</v>
      </c>
      <c r="B206" s="27" t="str">
        <f t="shared" si="60"/>
        <v>Torrey Craig</v>
      </c>
      <c r="C206" s="21">
        <v>1</v>
      </c>
      <c r="D206" s="12">
        <f t="shared" ca="1" si="61"/>
        <v>-12.213650547165095</v>
      </c>
      <c r="E206" s="12">
        <f t="shared" ca="1" si="62"/>
        <v>-12.213650547165095</v>
      </c>
      <c r="F206" s="29">
        <f ca="1">SUM(AI206:AN206,AP206,AO206)+$A$4</f>
        <v>-2.2845077189633791</v>
      </c>
      <c r="G206" s="29">
        <f ca="1">SUM(Y206:AF206)+$A$4</f>
        <v>-2.2845077189633791</v>
      </c>
      <c r="H206" s="10">
        <v>1</v>
      </c>
      <c r="I206" s="10">
        <v>0</v>
      </c>
      <c r="K206" s="17">
        <v>201</v>
      </c>
      <c r="L206" s="17" t="s">
        <v>263</v>
      </c>
      <c r="M206" s="17" t="s">
        <v>105</v>
      </c>
      <c r="N206" s="17" t="s">
        <v>75</v>
      </c>
      <c r="O206" s="22">
        <v>7.2281818181818185</v>
      </c>
      <c r="P206" s="22">
        <v>1.0681818181818181</v>
      </c>
      <c r="Q206" s="22">
        <v>4.7133333333333329</v>
      </c>
      <c r="R206" s="22">
        <v>1.1783333333333332</v>
      </c>
      <c r="S206" s="22">
        <v>0.63121212121212111</v>
      </c>
      <c r="T206" s="22">
        <v>0.63121212121212111</v>
      </c>
      <c r="U206" s="22">
        <v>0.48220347700853816</v>
      </c>
      <c r="V206" s="22">
        <v>5.8915151515151516</v>
      </c>
      <c r="W206" s="22">
        <v>0.73790039747486547</v>
      </c>
      <c r="X206" s="22">
        <v>0.64803030303030307</v>
      </c>
      <c r="Y206" s="14">
        <f t="shared" ca="1" si="63"/>
        <v>-1.5493888095294763</v>
      </c>
      <c r="Z206" s="14">
        <f t="shared" ca="1" si="64"/>
        <v>-0.6512662234963722</v>
      </c>
      <c r="AA206" s="14">
        <f t="shared" ca="1" si="65"/>
        <v>-0.41579926457896371</v>
      </c>
      <c r="AB206" s="14">
        <f t="shared" ca="1" si="66"/>
        <v>-1.164669129440798</v>
      </c>
      <c r="AC206" s="14">
        <f t="shared" ca="1" si="67"/>
        <v>-1.1431183942340446</v>
      </c>
      <c r="AD206" s="14">
        <f t="shared" ca="1" si="68"/>
        <v>-7.2595020426530571E-2</v>
      </c>
      <c r="AE206" s="14">
        <f ca="1">U$4*AO206</f>
        <v>5.7073470328698146E-2</v>
      </c>
      <c r="AF206" s="15">
        <f ca="1">AP206*W$4</f>
        <v>-0.14474434758589222</v>
      </c>
      <c r="AG206" s="12">
        <f t="shared" ca="1" si="69"/>
        <v>-5.0845077189633789</v>
      </c>
      <c r="AH206" s="14">
        <f t="shared" ca="1" si="70"/>
        <v>-1.6719762285207993</v>
      </c>
      <c r="AI206" s="14">
        <f t="shared" ca="1" si="71"/>
        <v>-1.5493888095294763</v>
      </c>
      <c r="AJ206" s="14">
        <f t="shared" ca="1" si="72"/>
        <v>-0.6512662234963722</v>
      </c>
      <c r="AK206" s="14">
        <f t="shared" ca="1" si="73"/>
        <v>-0.41579926457896371</v>
      </c>
      <c r="AL206" s="14">
        <f t="shared" ca="1" si="74"/>
        <v>-1.164669129440798</v>
      </c>
      <c r="AM206" s="14">
        <f t="shared" ca="1" si="75"/>
        <v>-1.1431183942340446</v>
      </c>
      <c r="AN206" s="14">
        <f t="shared" ca="1" si="76"/>
        <v>-7.2595020426530571E-2</v>
      </c>
      <c r="AO206" s="14">
        <f t="shared" ca="1" si="77"/>
        <v>5.7073470328698146E-2</v>
      </c>
      <c r="AP206" s="14">
        <f ca="1">(AV206-$AP$3)/$AP$4</f>
        <v>-0.14474434758589222</v>
      </c>
      <c r="AQ206" s="22">
        <f t="shared" si="78"/>
        <v>2.8409090909090908</v>
      </c>
      <c r="AR206" s="22">
        <f t="shared" si="79"/>
        <v>0.47818181818181815</v>
      </c>
      <c r="AS206" s="22">
        <f ca="1">(U206-AS$3)</f>
        <v>6.2287718204261933E-3</v>
      </c>
      <c r="AT206" s="22">
        <f ca="1">(W206-AT$3)</f>
        <v>-6.2202294265249702E-2</v>
      </c>
      <c r="AU206" s="11">
        <f ca="1">AS206*V206</f>
        <v>3.6696903555371529E-2</v>
      </c>
      <c r="AV206" s="11">
        <f ca="1">AT206*X206</f>
        <v>-4.0308971601889849E-2</v>
      </c>
    </row>
    <row r="207" spans="1:48">
      <c r="A207">
        <v>202</v>
      </c>
      <c r="B207" s="27" t="str">
        <f t="shared" si="60"/>
        <v>Aleksej Pokusevski</v>
      </c>
      <c r="C207" s="21">
        <v>1</v>
      </c>
      <c r="D207" s="12">
        <f t="shared" ca="1" si="61"/>
        <v>-6.1958134090642352</v>
      </c>
      <c r="E207" s="12">
        <f t="shared" ca="1" si="62"/>
        <v>-6.1958134090642352</v>
      </c>
      <c r="F207" s="29">
        <f ca="1">SUM(AI207:AN207,AP207,AO207)+$A$4</f>
        <v>-1.1588986850085883</v>
      </c>
      <c r="G207" s="29">
        <f ca="1">SUM(Y207:AF207)+$A$4</f>
        <v>-1.1588986850085883</v>
      </c>
      <c r="H207" s="10">
        <v>1</v>
      </c>
      <c r="I207" s="10">
        <v>0</v>
      </c>
      <c r="K207" s="17">
        <v>202</v>
      </c>
      <c r="L207" s="17" t="s">
        <v>264</v>
      </c>
      <c r="M207" s="17" t="s">
        <v>45</v>
      </c>
      <c r="N207" s="17" t="s">
        <v>70</v>
      </c>
      <c r="O207" s="22">
        <v>11.152432432432432</v>
      </c>
      <c r="P207" s="22">
        <v>1.8193243243243242</v>
      </c>
      <c r="Q207" s="22">
        <v>5.46</v>
      </c>
      <c r="R207" s="22">
        <v>2.8513513513513513</v>
      </c>
      <c r="S207" s="22">
        <v>0.4852702702702702</v>
      </c>
      <c r="T207" s="22">
        <v>1.0313513513513513</v>
      </c>
      <c r="U207" s="22">
        <v>0.38784678337692241</v>
      </c>
      <c r="V207" s="22">
        <v>10.799054054054054</v>
      </c>
      <c r="W207" s="22">
        <v>0.73803316299926991</v>
      </c>
      <c r="X207" s="22">
        <v>1.2958108108108108</v>
      </c>
      <c r="Y207" s="14">
        <f t="shared" ca="1" si="63"/>
        <v>-0.8670589125833611</v>
      </c>
      <c r="Z207" s="14">
        <f t="shared" ca="1" si="64"/>
        <v>9.4645661123404848E-2</v>
      </c>
      <c r="AA207" s="14">
        <f t="shared" ca="1" si="65"/>
        <v>-0.10365414114668758</v>
      </c>
      <c r="AB207" s="14">
        <f t="shared" ca="1" si="66"/>
        <v>-0.36808726301952727</v>
      </c>
      <c r="AC207" s="14">
        <f t="shared" ca="1" si="67"/>
        <v>-1.6090992850314718</v>
      </c>
      <c r="AD207" s="14">
        <f t="shared" ca="1" si="68"/>
        <v>0.66331484609188529</v>
      </c>
      <c r="AE207" s="14">
        <f ca="1">U$4*AO207</f>
        <v>-1.4801444596456945</v>
      </c>
      <c r="AF207" s="15">
        <f ca="1">AP207*W$4</f>
        <v>-0.28881513079713594</v>
      </c>
      <c r="AG207" s="12">
        <f t="shared" ca="1" si="69"/>
        <v>-3.9588986850085881</v>
      </c>
      <c r="AH207" s="14">
        <f t="shared" ca="1" si="70"/>
        <v>-1.3018338958891615</v>
      </c>
      <c r="AI207" s="14">
        <f t="shared" ca="1" si="71"/>
        <v>-0.8670589125833611</v>
      </c>
      <c r="AJ207" s="14">
        <f t="shared" ca="1" si="72"/>
        <v>9.4645661123404848E-2</v>
      </c>
      <c r="AK207" s="14">
        <f t="shared" ca="1" si="73"/>
        <v>-0.10365414114668758</v>
      </c>
      <c r="AL207" s="14">
        <f t="shared" ca="1" si="74"/>
        <v>-0.36808726301952727</v>
      </c>
      <c r="AM207" s="14">
        <f t="shared" ca="1" si="75"/>
        <v>-1.6090992850314718</v>
      </c>
      <c r="AN207" s="14">
        <f t="shared" ca="1" si="76"/>
        <v>0.66331484609188529</v>
      </c>
      <c r="AO207" s="14">
        <f t="shared" ca="1" si="77"/>
        <v>-1.4801444596456945</v>
      </c>
      <c r="AP207" s="14">
        <f ca="1">(AV207-$AP$3)/$AP$4</f>
        <v>-0.28881513079713594</v>
      </c>
      <c r="AQ207" s="22">
        <f t="shared" si="78"/>
        <v>4.1883783783783786</v>
      </c>
      <c r="AR207" s="22">
        <f t="shared" si="79"/>
        <v>0.9563513513513513</v>
      </c>
      <c r="AS207" s="22">
        <f ca="1">(U207-AS$3)</f>
        <v>-8.8127921811189558E-2</v>
      </c>
      <c r="AT207" s="22">
        <f ca="1">(W207-AT$3)</f>
        <v>-6.2069528740845259E-2</v>
      </c>
      <c r="AU207" s="11">
        <f ca="1">AS207*V207</f>
        <v>-0.95169819131048528</v>
      </c>
      <c r="AV207" s="11">
        <f ca="1">AT207*X207</f>
        <v>-8.0430366364319619E-2</v>
      </c>
    </row>
    <row r="208" spans="1:48">
      <c r="A208">
        <v>203</v>
      </c>
      <c r="B208" s="27" t="str">
        <f t="shared" si="60"/>
        <v>Patrick Beverley</v>
      </c>
      <c r="C208" s="21">
        <v>1</v>
      </c>
      <c r="D208" s="12">
        <f t="shared" ca="1" si="61"/>
        <v>-9.0997490733980317</v>
      </c>
      <c r="E208" s="12">
        <f t="shared" ca="1" si="62"/>
        <v>-9.0997490733980264</v>
      </c>
      <c r="F208" s="29">
        <f ca="1">SUM(AI208:AN208,AP208,AO208)+$A$4</f>
        <v>-1.7020666277072136</v>
      </c>
      <c r="G208" s="29">
        <f ca="1">SUM(Y208:AF208)+$A$4</f>
        <v>-1.7020666277072127</v>
      </c>
      <c r="H208" s="10">
        <v>1</v>
      </c>
      <c r="I208" s="10">
        <v>0</v>
      </c>
      <c r="K208" s="17">
        <v>203</v>
      </c>
      <c r="L208" s="17" t="s">
        <v>265</v>
      </c>
      <c r="M208" s="17" t="s">
        <v>28</v>
      </c>
      <c r="N208" s="17" t="s">
        <v>31</v>
      </c>
      <c r="O208" s="22">
        <v>7.4464516129032248</v>
      </c>
      <c r="P208" s="22">
        <v>1.507741935483871</v>
      </c>
      <c r="Q208" s="22">
        <v>3.5406451612903229</v>
      </c>
      <c r="R208" s="22">
        <v>2.5964516129032256</v>
      </c>
      <c r="S208" s="22">
        <v>0.75532258064516122</v>
      </c>
      <c r="T208" s="22">
        <v>0.6609677419354838</v>
      </c>
      <c r="U208" s="22">
        <v>0.42191609946579173</v>
      </c>
      <c r="V208" s="22">
        <v>5.947903225806451</v>
      </c>
      <c r="W208" s="22">
        <v>0.77304772234273322</v>
      </c>
      <c r="X208" s="22">
        <v>1.1896774193548387</v>
      </c>
      <c r="Y208" s="14">
        <f t="shared" ca="1" si="63"/>
        <v>-1.5114371032857743</v>
      </c>
      <c r="Z208" s="14">
        <f t="shared" ca="1" si="64"/>
        <v>-0.2147670068773346</v>
      </c>
      <c r="AA208" s="14">
        <f t="shared" ca="1" si="65"/>
        <v>-0.90604331932441307</v>
      </c>
      <c r="AB208" s="14">
        <f t="shared" ca="1" si="66"/>
        <v>-0.48945386350829434</v>
      </c>
      <c r="AC208" s="14">
        <f t="shared" ca="1" si="67"/>
        <v>-0.74684342532927861</v>
      </c>
      <c r="AD208" s="14">
        <f t="shared" ca="1" si="68"/>
        <v>-1.7870431520106343E-2</v>
      </c>
      <c r="AE208" s="14">
        <f ca="1">U$4*AO208</f>
        <v>-0.5000732156048221</v>
      </c>
      <c r="AF208" s="15">
        <f ca="1">AP208*W$4</f>
        <v>-0.11557826225718956</v>
      </c>
      <c r="AG208" s="12">
        <f t="shared" ca="1" si="69"/>
        <v>-4.5020666277072126</v>
      </c>
      <c r="AH208" s="14">
        <f t="shared" ca="1" si="70"/>
        <v>-1.4804478224448288</v>
      </c>
      <c r="AI208" s="14">
        <f t="shared" ca="1" si="71"/>
        <v>-1.5114371032857743</v>
      </c>
      <c r="AJ208" s="14">
        <f t="shared" ca="1" si="72"/>
        <v>-0.2147670068773346</v>
      </c>
      <c r="AK208" s="14">
        <f t="shared" ca="1" si="73"/>
        <v>-0.90604331932441307</v>
      </c>
      <c r="AL208" s="14">
        <f t="shared" ca="1" si="74"/>
        <v>-0.48945386350829434</v>
      </c>
      <c r="AM208" s="14">
        <f t="shared" ca="1" si="75"/>
        <v>-0.74684342532927861</v>
      </c>
      <c r="AN208" s="14">
        <f t="shared" ca="1" si="76"/>
        <v>-1.7870431520106343E-2</v>
      </c>
      <c r="AO208" s="14">
        <f t="shared" ca="1" si="77"/>
        <v>-0.5000732156048221</v>
      </c>
      <c r="AP208" s="14">
        <f ca="1">(AV208-$AP$3)/$AP$4</f>
        <v>-0.11557826225718956</v>
      </c>
      <c r="AQ208" s="22">
        <f t="shared" si="78"/>
        <v>2.5095161290322578</v>
      </c>
      <c r="AR208" s="22">
        <f t="shared" si="79"/>
        <v>0.91967741935483871</v>
      </c>
      <c r="AS208" s="22">
        <f ca="1">(U208-AS$3)</f>
        <v>-5.4058605722320241E-2</v>
      </c>
      <c r="AT208" s="22">
        <f ca="1">(W208-AT$3)</f>
        <v>-2.7054969397381945E-2</v>
      </c>
      <c r="AU208" s="11">
        <f ca="1">AS208*V208</f>
        <v>-0.32153535535838762</v>
      </c>
      <c r="AV208" s="11">
        <f ca="1">AT208*X208</f>
        <v>-3.2186686173401487E-2</v>
      </c>
    </row>
    <row r="209" spans="1:48">
      <c r="A209">
        <v>204</v>
      </c>
      <c r="B209" s="27" t="str">
        <f t="shared" si="60"/>
        <v>Grayson Allen</v>
      </c>
      <c r="C209" s="21">
        <v>1</v>
      </c>
      <c r="D209" s="12">
        <f t="shared" ca="1" si="61"/>
        <v>-7.5032825437141941</v>
      </c>
      <c r="E209" s="12">
        <f t="shared" ca="1" si="62"/>
        <v>-7.5032825437141941</v>
      </c>
      <c r="F209" s="29">
        <f ca="1">SUM(AI209:AN209,AP209,AO209)+$A$4</f>
        <v>-1.4034548329743162</v>
      </c>
      <c r="G209" s="29">
        <f ca="1">SUM(Y209:AF209)+$A$4</f>
        <v>-1.4034548329743162</v>
      </c>
      <c r="H209" s="10">
        <v>1</v>
      </c>
      <c r="I209" s="10">
        <v>0</v>
      </c>
      <c r="K209" s="17">
        <v>204</v>
      </c>
      <c r="L209" s="17" t="s">
        <v>266</v>
      </c>
      <c r="M209" s="17" t="s">
        <v>39</v>
      </c>
      <c r="N209" s="17" t="s">
        <v>46</v>
      </c>
      <c r="O209" s="22">
        <v>10.440597014925373</v>
      </c>
      <c r="P209" s="22">
        <v>2.0876119402985074</v>
      </c>
      <c r="Q209" s="22">
        <v>3.25</v>
      </c>
      <c r="R209" s="22">
        <v>2.0583582089552239</v>
      </c>
      <c r="S209" s="22">
        <v>0.81253731343283575</v>
      </c>
      <c r="T209" s="22">
        <v>0.10835820895522388</v>
      </c>
      <c r="U209" s="22">
        <v>0.43070735658294074</v>
      </c>
      <c r="V209" s="22">
        <v>8.0159701492537323</v>
      </c>
      <c r="W209" s="22">
        <v>0.86001773049645391</v>
      </c>
      <c r="X209" s="22">
        <v>1.6835820895522389</v>
      </c>
      <c r="Y209" s="14">
        <f t="shared" ca="1" si="63"/>
        <v>-0.99082944479819468</v>
      </c>
      <c r="Z209" s="14">
        <f t="shared" ca="1" si="64"/>
        <v>0.36106504175353471</v>
      </c>
      <c r="AA209" s="14">
        <f t="shared" ca="1" si="65"/>
        <v>-1.0275479663056115</v>
      </c>
      <c r="AB209" s="14">
        <f t="shared" ca="1" si="66"/>
        <v>-0.74565878384362194</v>
      </c>
      <c r="AC209" s="14">
        <f t="shared" ca="1" si="67"/>
        <v>-0.56416126816135193</v>
      </c>
      <c r="AD209" s="14">
        <f t="shared" ca="1" si="68"/>
        <v>-1.0341936935776768</v>
      </c>
      <c r="AE209" s="14">
        <f ca="1">U$4*AO209</f>
        <v>-0.56434672484195259</v>
      </c>
      <c r="AF209" s="15">
        <f ca="1">AP209*W$4</f>
        <v>0.36221800680055888</v>
      </c>
      <c r="AG209" s="12">
        <f t="shared" ca="1" si="69"/>
        <v>-4.203454832974316</v>
      </c>
      <c r="AH209" s="14">
        <f t="shared" ca="1" si="70"/>
        <v>-1.3822531003703136</v>
      </c>
      <c r="AI209" s="14">
        <f t="shared" ca="1" si="71"/>
        <v>-0.99082944479819468</v>
      </c>
      <c r="AJ209" s="14">
        <f t="shared" ca="1" si="72"/>
        <v>0.36106504175353471</v>
      </c>
      <c r="AK209" s="14">
        <f t="shared" ca="1" si="73"/>
        <v>-1.0275479663056115</v>
      </c>
      <c r="AL209" s="14">
        <f t="shared" ca="1" si="74"/>
        <v>-0.74565878384362194</v>
      </c>
      <c r="AM209" s="14">
        <f t="shared" ca="1" si="75"/>
        <v>-0.56416126816135193</v>
      </c>
      <c r="AN209" s="14">
        <f t="shared" ca="1" si="76"/>
        <v>-1.0341936935776768</v>
      </c>
      <c r="AO209" s="14">
        <f t="shared" ca="1" si="77"/>
        <v>-0.56434672484195259</v>
      </c>
      <c r="AP209" s="14">
        <f ca="1">(AV209-$AP$3)/$AP$4</f>
        <v>0.36221800680055888</v>
      </c>
      <c r="AQ209" s="22">
        <f t="shared" si="78"/>
        <v>3.4525373134328361</v>
      </c>
      <c r="AR209" s="22">
        <f t="shared" si="79"/>
        <v>1.4479104477611942</v>
      </c>
      <c r="AS209" s="22">
        <f ca="1">(U209-AS$3)</f>
        <v>-4.5267348605171231E-2</v>
      </c>
      <c r="AT209" s="22">
        <f ca="1">(W209-AT$3)</f>
        <v>5.9915038756338745E-2</v>
      </c>
      <c r="AU209" s="11">
        <f ca="1">AS209*V209</f>
        <v>-0.36286171515491517</v>
      </c>
      <c r="AV209" s="11">
        <f ca="1">AT209*X209</f>
        <v>0.10087188614500016</v>
      </c>
    </row>
    <row r="210" spans="1:48">
      <c r="A210">
        <v>205</v>
      </c>
      <c r="B210" s="27" t="str">
        <f t="shared" si="60"/>
        <v>Kenyon Martin Jr.</v>
      </c>
      <c r="C210" s="21">
        <v>1</v>
      </c>
      <c r="D210" s="12">
        <f t="shared" ca="1" si="61"/>
        <v>-10.922597908205617</v>
      </c>
      <c r="E210" s="12">
        <f t="shared" ca="1" si="62"/>
        <v>-10.922597908205617</v>
      </c>
      <c r="F210" s="29">
        <f ca="1">SUM(AI210:AN210,AP210,AO210)+$A$4</f>
        <v>-2.0430222017626631</v>
      </c>
      <c r="G210" s="29">
        <f ca="1">SUM(Y210:AF210)+$A$4</f>
        <v>-2.0430222017626631</v>
      </c>
      <c r="H210" s="10">
        <v>1</v>
      </c>
      <c r="I210" s="10">
        <v>0</v>
      </c>
      <c r="K210" s="17">
        <v>205</v>
      </c>
      <c r="L210" s="17" t="s">
        <v>267</v>
      </c>
      <c r="M210" s="17" t="s">
        <v>105</v>
      </c>
      <c r="N210" s="17" t="s">
        <v>100</v>
      </c>
      <c r="O210" s="22">
        <v>8.8304054054054042</v>
      </c>
      <c r="P210" s="22">
        <v>0.78837837837837843</v>
      </c>
      <c r="Q210" s="22">
        <v>4.9568918918918907</v>
      </c>
      <c r="R210" s="22">
        <v>0.99135135135135133</v>
      </c>
      <c r="S210" s="22">
        <v>0.61364864864864865</v>
      </c>
      <c r="T210" s="22">
        <v>0.84972972972972971</v>
      </c>
      <c r="U210" s="22">
        <v>0.50814573764751925</v>
      </c>
      <c r="V210" s="22">
        <v>6.5612162162162155</v>
      </c>
      <c r="W210" s="22">
        <v>0.72198551342138906</v>
      </c>
      <c r="X210" s="22">
        <v>1.902972972972973</v>
      </c>
      <c r="Y210" s="14">
        <f t="shared" ca="1" si="63"/>
        <v>-1.2708018479361292</v>
      </c>
      <c r="Z210" s="14">
        <f t="shared" ca="1" si="64"/>
        <v>-0.92912123689283688</v>
      </c>
      <c r="AA210" s="14">
        <f t="shared" ca="1" si="65"/>
        <v>-0.31397924271613126</v>
      </c>
      <c r="AB210" s="14">
        <f t="shared" ca="1" si="66"/>
        <v>-1.2536977319963212</v>
      </c>
      <c r="AC210" s="14">
        <f t="shared" ca="1" si="67"/>
        <v>-1.1991971854636008</v>
      </c>
      <c r="AD210" s="14">
        <f t="shared" ca="1" si="68"/>
        <v>0.32928825420305907</v>
      </c>
      <c r="AE210" s="14">
        <f ca="1">U$4*AO210</f>
        <v>0.32828739547251085</v>
      </c>
      <c r="AF210" s="15">
        <f ca="1">AP210*W$4</f>
        <v>-0.53380060643321459</v>
      </c>
      <c r="AG210" s="12">
        <f t="shared" ca="1" si="69"/>
        <v>-4.843022201762663</v>
      </c>
      <c r="AH210" s="14">
        <f t="shared" ca="1" si="70"/>
        <v>-1.5925667622344613</v>
      </c>
      <c r="AI210" s="14">
        <f t="shared" ca="1" si="71"/>
        <v>-1.2708018479361292</v>
      </c>
      <c r="AJ210" s="14">
        <f t="shared" ca="1" si="72"/>
        <v>-0.92912123689283688</v>
      </c>
      <c r="AK210" s="14">
        <f t="shared" ca="1" si="73"/>
        <v>-0.31397924271613126</v>
      </c>
      <c r="AL210" s="14">
        <f t="shared" ca="1" si="74"/>
        <v>-1.2536977319963212</v>
      </c>
      <c r="AM210" s="14">
        <f t="shared" ca="1" si="75"/>
        <v>-1.1991971854636008</v>
      </c>
      <c r="AN210" s="14">
        <f t="shared" ca="1" si="76"/>
        <v>0.32928825420305907</v>
      </c>
      <c r="AO210" s="14">
        <f t="shared" ca="1" si="77"/>
        <v>0.32828739547251085</v>
      </c>
      <c r="AP210" s="14">
        <f ca="1">(AV210-$AP$3)/$AP$4</f>
        <v>-0.53380060643321459</v>
      </c>
      <c r="AQ210" s="22">
        <f t="shared" si="78"/>
        <v>3.3340540540540542</v>
      </c>
      <c r="AR210" s="22">
        <f t="shared" si="79"/>
        <v>1.3739189189189189</v>
      </c>
      <c r="AS210" s="22">
        <f ca="1">(U210-AS$3)</f>
        <v>3.2171032459407278E-2</v>
      </c>
      <c r="AT210" s="22">
        <f ca="1">(W210-AT$3)</f>
        <v>-7.811717831872611E-2</v>
      </c>
      <c r="AU210" s="11">
        <f ca="1">AS210*V210</f>
        <v>0.21108109986508128</v>
      </c>
      <c r="AV210" s="11">
        <f ca="1">AT210*X210</f>
        <v>-0.14865487906544608</v>
      </c>
    </row>
    <row r="211" spans="1:48">
      <c r="A211">
        <v>206</v>
      </c>
      <c r="B211" s="27" t="str">
        <f t="shared" si="60"/>
        <v>Kentavious Caldwell-Pope</v>
      </c>
      <c r="C211" s="21">
        <v>1</v>
      </c>
      <c r="D211" s="12">
        <f t="shared" ca="1" si="61"/>
        <v>-8.1920793887190477</v>
      </c>
      <c r="E211" s="12">
        <f t="shared" ca="1" si="62"/>
        <v>-8.1920793887190477</v>
      </c>
      <c r="F211" s="29">
        <f ca="1">SUM(AI211:AN211,AP211,AO211)+$A$4</f>
        <v>-1.5322911463381734</v>
      </c>
      <c r="G211" s="29">
        <f ca="1">SUM(Y211:AF211)+$A$4</f>
        <v>-1.5322911463381734</v>
      </c>
      <c r="H211" s="10">
        <v>1</v>
      </c>
      <c r="I211" s="10">
        <v>0</v>
      </c>
      <c r="K211" s="17">
        <v>206</v>
      </c>
      <c r="L211" s="17" t="s">
        <v>268</v>
      </c>
      <c r="M211" s="17" t="s">
        <v>48</v>
      </c>
      <c r="N211" s="17" t="s">
        <v>40</v>
      </c>
      <c r="O211" s="22">
        <v>9.2689473684210526</v>
      </c>
      <c r="P211" s="22">
        <v>1.5485526315789473</v>
      </c>
      <c r="Q211" s="22">
        <v>2.6161842105263156</v>
      </c>
      <c r="R211" s="22">
        <v>1.9906578947368421</v>
      </c>
      <c r="S211" s="22">
        <v>0.90999999999999992</v>
      </c>
      <c r="T211" s="22">
        <v>0.3981578947368421</v>
      </c>
      <c r="U211" s="22">
        <v>0.43656865959849883</v>
      </c>
      <c r="V211" s="22">
        <v>7.2228947368421057</v>
      </c>
      <c r="W211" s="22">
        <v>0.85102170125138599</v>
      </c>
      <c r="X211" s="22">
        <v>1.6613157894736843</v>
      </c>
      <c r="Y211" s="14">
        <f t="shared" ca="1" si="63"/>
        <v>-1.1945502723246271</v>
      </c>
      <c r="Z211" s="14">
        <f t="shared" ca="1" si="64"/>
        <v>-0.17424049827478719</v>
      </c>
      <c r="AA211" s="14">
        <f t="shared" ca="1" si="65"/>
        <v>-1.2925156107322928</v>
      </c>
      <c r="AB211" s="14">
        <f t="shared" ca="1" si="66"/>
        <v>-0.77789324998599685</v>
      </c>
      <c r="AC211" s="14">
        <f t="shared" ca="1" si="67"/>
        <v>-0.25297054930324286</v>
      </c>
      <c r="AD211" s="14">
        <f t="shared" ca="1" si="68"/>
        <v>-0.50121309078493725</v>
      </c>
      <c r="AE211" s="14">
        <f ca="1">U$4*AO211</f>
        <v>-0.44266888949125688</v>
      </c>
      <c r="AF211" s="15">
        <f ca="1">AP211*W$4</f>
        <v>0.30376101455896809</v>
      </c>
      <c r="AG211" s="12">
        <f t="shared" ca="1" si="69"/>
        <v>-4.3322911463381732</v>
      </c>
      <c r="AH211" s="14">
        <f t="shared" ca="1" si="70"/>
        <v>-1.4246192969071425</v>
      </c>
      <c r="AI211" s="14">
        <f t="shared" ca="1" si="71"/>
        <v>-1.1945502723246271</v>
      </c>
      <c r="AJ211" s="14">
        <f t="shared" ca="1" si="72"/>
        <v>-0.17424049827478719</v>
      </c>
      <c r="AK211" s="14">
        <f t="shared" ca="1" si="73"/>
        <v>-1.2925156107322928</v>
      </c>
      <c r="AL211" s="14">
        <f t="shared" ca="1" si="74"/>
        <v>-0.77789324998599685</v>
      </c>
      <c r="AM211" s="14">
        <f t="shared" ca="1" si="75"/>
        <v>-0.25297054930324286</v>
      </c>
      <c r="AN211" s="14">
        <f t="shared" ca="1" si="76"/>
        <v>-0.50121309078493725</v>
      </c>
      <c r="AO211" s="14">
        <f t="shared" ca="1" si="77"/>
        <v>-0.44266888949125688</v>
      </c>
      <c r="AP211" s="14">
        <f ca="1">(AV211-$AP$3)/$AP$4</f>
        <v>0.30376101455896809</v>
      </c>
      <c r="AQ211" s="22">
        <f t="shared" si="78"/>
        <v>3.1532894736842101</v>
      </c>
      <c r="AR211" s="22">
        <f t="shared" si="79"/>
        <v>1.4138157894736842</v>
      </c>
      <c r="AS211" s="22">
        <f ca="1">(U211-AS$3)</f>
        <v>-3.9406045589613137E-2</v>
      </c>
      <c r="AT211" s="22">
        <f ca="1">(W211-AT$3)</f>
        <v>5.0919009511270819E-2</v>
      </c>
      <c r="AU211" s="11">
        <f ca="1">AS211*V211</f>
        <v>-0.28462571928897679</v>
      </c>
      <c r="AV211" s="11">
        <f ca="1">AT211*X211</f>
        <v>8.4592554485434915E-2</v>
      </c>
    </row>
    <row r="212" spans="1:48">
      <c r="A212">
        <v>207</v>
      </c>
      <c r="B212" s="27" t="str">
        <f t="shared" si="60"/>
        <v>Doug McDermott</v>
      </c>
      <c r="C212" s="21">
        <v>1</v>
      </c>
      <c r="D212" s="12">
        <f t="shared" ca="1" si="61"/>
        <v>-11.549079540127325</v>
      </c>
      <c r="E212" s="12">
        <f t="shared" ca="1" si="62"/>
        <v>-11.549079540127325</v>
      </c>
      <c r="F212" s="29">
        <f ca="1">SUM(AI212:AN212,AP212,AO212)+$A$4</f>
        <v>-2.160202738276876</v>
      </c>
      <c r="G212" s="29">
        <f ca="1">SUM(Y212:AF212)+$A$4</f>
        <v>-2.160202738276876</v>
      </c>
      <c r="H212" s="10">
        <v>1</v>
      </c>
      <c r="I212" s="10">
        <v>0</v>
      </c>
      <c r="K212" s="17">
        <v>207</v>
      </c>
      <c r="L212" s="17" t="s">
        <v>269</v>
      </c>
      <c r="M212" s="17" t="s">
        <v>33</v>
      </c>
      <c r="N212" s="17" t="s">
        <v>108</v>
      </c>
      <c r="O212" s="22">
        <v>13.905333333333335</v>
      </c>
      <c r="P212" s="22">
        <v>1.8332000000000002</v>
      </c>
      <c r="Q212" s="22">
        <v>3.2950666666666666</v>
      </c>
      <c r="R212" s="22">
        <v>1.3634666666666668</v>
      </c>
      <c r="S212" s="22">
        <v>0.34093333333333331</v>
      </c>
      <c r="T212" s="22">
        <v>0.11359999999999999</v>
      </c>
      <c r="U212" s="22">
        <v>0.49510468996369772</v>
      </c>
      <c r="V212" s="22">
        <v>10.9084</v>
      </c>
      <c r="W212" s="22">
        <v>0.83200908059023837</v>
      </c>
      <c r="X212" s="22">
        <v>1.5270666666666666</v>
      </c>
      <c r="Y212" s="14">
        <f t="shared" ca="1" si="63"/>
        <v>-0.38839769222364073</v>
      </c>
      <c r="Z212" s="14">
        <f t="shared" ca="1" si="64"/>
        <v>0.10842471278001904</v>
      </c>
      <c r="AA212" s="14">
        <f t="shared" ca="1" si="65"/>
        <v>-1.0087077784984493</v>
      </c>
      <c r="AB212" s="14">
        <f t="shared" ca="1" si="66"/>
        <v>-1.0765207325824264</v>
      </c>
      <c r="AC212" s="14">
        <f t="shared" ca="1" si="67"/>
        <v>-2.0699558112080809</v>
      </c>
      <c r="AD212" s="14">
        <f t="shared" ca="1" si="68"/>
        <v>-1.0245533347787246</v>
      </c>
      <c r="AE212" s="14">
        <f ca="1">U$4*AO212</f>
        <v>0.32454919707961316</v>
      </c>
      <c r="AF212" s="15">
        <f ca="1">AP212*W$4</f>
        <v>0.1749587011548146</v>
      </c>
      <c r="AG212" s="12">
        <f t="shared" ca="1" si="69"/>
        <v>-4.9602027382768759</v>
      </c>
      <c r="AH212" s="14">
        <f t="shared" ca="1" si="70"/>
        <v>-1.6311001035776862</v>
      </c>
      <c r="AI212" s="14">
        <f t="shared" ca="1" si="71"/>
        <v>-0.38839769222364073</v>
      </c>
      <c r="AJ212" s="14">
        <f t="shared" ca="1" si="72"/>
        <v>0.10842471278001904</v>
      </c>
      <c r="AK212" s="14">
        <f t="shared" ca="1" si="73"/>
        <v>-1.0087077784984493</v>
      </c>
      <c r="AL212" s="14">
        <f t="shared" ca="1" si="74"/>
        <v>-1.0765207325824264</v>
      </c>
      <c r="AM212" s="14">
        <f t="shared" ca="1" si="75"/>
        <v>-2.0699558112080809</v>
      </c>
      <c r="AN212" s="14">
        <f t="shared" ca="1" si="76"/>
        <v>-1.0245533347787246</v>
      </c>
      <c r="AO212" s="14">
        <f t="shared" ca="1" si="77"/>
        <v>0.32454919707961316</v>
      </c>
      <c r="AP212" s="14">
        <f ca="1">(AV212-$AP$3)/$AP$4</f>
        <v>0.1749587011548146</v>
      </c>
      <c r="AQ212" s="22">
        <f t="shared" si="78"/>
        <v>5.4008000000000003</v>
      </c>
      <c r="AR212" s="22">
        <f t="shared" si="79"/>
        <v>1.2705333333333333</v>
      </c>
      <c r="AS212" s="22">
        <f ca="1">(U212-AS$3)</f>
        <v>1.9129984775585751E-2</v>
      </c>
      <c r="AT212" s="22">
        <f ca="1">(W212-AT$3)</f>
        <v>3.1906388850123202E-2</v>
      </c>
      <c r="AU212" s="11">
        <f ca="1">AS212*V212</f>
        <v>0.20867752592599961</v>
      </c>
      <c r="AV212" s="11">
        <f ca="1">AT212*X212</f>
        <v>4.8723182866728137E-2</v>
      </c>
    </row>
    <row r="213" spans="1:48">
      <c r="A213">
        <v>208</v>
      </c>
      <c r="B213" s="27" t="str">
        <f t="shared" si="60"/>
        <v>Kent Bazemore</v>
      </c>
      <c r="C213" s="21">
        <v>1</v>
      </c>
      <c r="D213" s="12">
        <f t="shared" ca="1" si="61"/>
        <v>-11.237841805298453</v>
      </c>
      <c r="E213" s="12">
        <f t="shared" ca="1" si="62"/>
        <v>-11.237841805298453</v>
      </c>
      <c r="F213" s="29">
        <f ca="1">SUM(AI213:AN213,AP213,AO213)+$A$4</f>
        <v>-2.1019871372243086</v>
      </c>
      <c r="G213" s="29">
        <f ca="1">SUM(Y213:AF213)+$A$4</f>
        <v>-2.1019871372243086</v>
      </c>
      <c r="H213" s="10">
        <v>1</v>
      </c>
      <c r="I213" s="10">
        <v>0</v>
      </c>
      <c r="K213" s="17">
        <v>208</v>
      </c>
      <c r="L213" s="17" t="s">
        <v>270</v>
      </c>
      <c r="M213" s="17" t="s">
        <v>48</v>
      </c>
      <c r="N213" s="17" t="s">
        <v>55</v>
      </c>
      <c r="O213" s="22">
        <v>6.4113636363636362</v>
      </c>
      <c r="P213" s="22">
        <v>0.94606060606060605</v>
      </c>
      <c r="Q213" s="22">
        <v>3.1768181818181822</v>
      </c>
      <c r="R213" s="22">
        <v>1.3196969696969696</v>
      </c>
      <c r="S213" s="22">
        <v>1.2218181818181819</v>
      </c>
      <c r="T213" s="22">
        <v>0.48878787878787877</v>
      </c>
      <c r="U213" s="22">
        <v>0.43475186947654654</v>
      </c>
      <c r="V213" s="22">
        <v>5.5719696969696972</v>
      </c>
      <c r="W213" s="22">
        <v>0.69595513256288244</v>
      </c>
      <c r="X213" s="22">
        <v>0.89151515151515159</v>
      </c>
      <c r="Y213" s="14">
        <f t="shared" ca="1" si="63"/>
        <v>-1.6914132418630736</v>
      </c>
      <c r="Z213" s="14">
        <f t="shared" ca="1" si="64"/>
        <v>-0.77253703794300277</v>
      </c>
      <c r="AA213" s="14">
        <f t="shared" ca="1" si="65"/>
        <v>-1.0581417355056499</v>
      </c>
      <c r="AB213" s="14">
        <f t="shared" ca="1" si="66"/>
        <v>-1.0973610023997951</v>
      </c>
      <c r="AC213" s="14">
        <f t="shared" ca="1" si="67"/>
        <v>0.74264046421175212</v>
      </c>
      <c r="AD213" s="14">
        <f t="shared" ca="1" si="68"/>
        <v>-0.3345323595745594</v>
      </c>
      <c r="AE213" s="14">
        <f ca="1">U$4*AO213</f>
        <v>-0.35723291655853412</v>
      </c>
      <c r="AF213" s="15">
        <f ca="1">AP213*W$4</f>
        <v>-0.33340930759144499</v>
      </c>
      <c r="AG213" s="12">
        <f t="shared" ca="1" si="69"/>
        <v>-4.9019871372243085</v>
      </c>
      <c r="AH213" s="14">
        <f t="shared" ca="1" si="70"/>
        <v>-1.6119566374903167</v>
      </c>
      <c r="AI213" s="14">
        <f t="shared" ca="1" si="71"/>
        <v>-1.6914132418630736</v>
      </c>
      <c r="AJ213" s="14">
        <f t="shared" ca="1" si="72"/>
        <v>-0.77253703794300277</v>
      </c>
      <c r="AK213" s="14">
        <f t="shared" ca="1" si="73"/>
        <v>-1.0581417355056499</v>
      </c>
      <c r="AL213" s="14">
        <f t="shared" ca="1" si="74"/>
        <v>-1.0973610023997951</v>
      </c>
      <c r="AM213" s="14">
        <f t="shared" ca="1" si="75"/>
        <v>0.74264046421175212</v>
      </c>
      <c r="AN213" s="14">
        <f t="shared" ca="1" si="76"/>
        <v>-0.3345323595745594</v>
      </c>
      <c r="AO213" s="14">
        <f t="shared" ca="1" si="77"/>
        <v>-0.35723291655853412</v>
      </c>
      <c r="AP213" s="14">
        <f ca="1">(AV213-$AP$3)/$AP$4</f>
        <v>-0.33340930759144499</v>
      </c>
      <c r="AQ213" s="22">
        <f t="shared" si="78"/>
        <v>2.4224242424242424</v>
      </c>
      <c r="AR213" s="22">
        <f t="shared" si="79"/>
        <v>0.62045454545454559</v>
      </c>
      <c r="AS213" s="22">
        <f ca="1">(U213-AS$3)</f>
        <v>-4.1222835711565431E-2</v>
      </c>
      <c r="AT213" s="22">
        <f ca="1">(W213-AT$3)</f>
        <v>-0.10414755917723273</v>
      </c>
      <c r="AU213" s="11">
        <f ca="1">AS213*V213</f>
        <v>-0.22969239140800285</v>
      </c>
      <c r="AV213" s="11">
        <f ca="1">AT213*X213</f>
        <v>-9.2849126999823853E-2</v>
      </c>
    </row>
    <row r="214" spans="1:48">
      <c r="A214">
        <v>209</v>
      </c>
      <c r="B214" s="27" t="str">
        <f t="shared" si="60"/>
        <v>Kendrick Nunn</v>
      </c>
      <c r="C214" s="21">
        <v>1</v>
      </c>
      <c r="D214" s="12">
        <f t="shared" ca="1" si="61"/>
        <v>-13.334241646840931</v>
      </c>
      <c r="E214" s="12">
        <f t="shared" ca="1" si="62"/>
        <v>-13.334241646840931</v>
      </c>
      <c r="F214" s="29">
        <f ca="1">SUM(AI214:AN214,AP214,AO214)+$A$4</f>
        <v>-2.4941091814520293</v>
      </c>
      <c r="G214" s="29">
        <f ca="1">SUM(Y214:AF214)+$A$4</f>
        <v>-2.4941091814520293</v>
      </c>
      <c r="H214" s="10">
        <v>1</v>
      </c>
      <c r="I214" s="10">
        <v>0</v>
      </c>
      <c r="K214" s="17">
        <v>209</v>
      </c>
      <c r="L214" s="17" t="s">
        <v>271</v>
      </c>
      <c r="M214" s="17" t="s">
        <v>39</v>
      </c>
      <c r="N214" s="17" t="s">
        <v>55</v>
      </c>
      <c r="O214" s="22">
        <v>9.6045714285714308</v>
      </c>
      <c r="P214" s="22">
        <v>1.485857142857143</v>
      </c>
      <c r="Q214" s="22">
        <v>2.0569999999999999</v>
      </c>
      <c r="R214" s="22">
        <v>1.87</v>
      </c>
      <c r="S214" s="22">
        <v>0.70128571428571429</v>
      </c>
      <c r="T214" s="22">
        <v>0.187</v>
      </c>
      <c r="U214" s="22">
        <v>0.47398033470547002</v>
      </c>
      <c r="V214" s="22">
        <v>7.9472857142857132</v>
      </c>
      <c r="W214" s="22">
        <v>0.92001797348910364</v>
      </c>
      <c r="X214" s="22">
        <v>0.63585714285714279</v>
      </c>
      <c r="Y214" s="14">
        <f t="shared" ca="1" si="63"/>
        <v>-1.1361935686157902</v>
      </c>
      <c r="Z214" s="14">
        <f t="shared" ca="1" si="64"/>
        <v>-0.23649940356534566</v>
      </c>
      <c r="AA214" s="14">
        <f t="shared" ca="1" si="65"/>
        <v>-1.526283411289592</v>
      </c>
      <c r="AB214" s="14">
        <f t="shared" ca="1" si="66"/>
        <v>-0.83534265576215128</v>
      </c>
      <c r="AC214" s="14">
        <f t="shared" ca="1" si="67"/>
        <v>-0.91937890408039691</v>
      </c>
      <c r="AD214" s="14">
        <f t="shared" ca="1" si="68"/>
        <v>-0.88956086182460636</v>
      </c>
      <c r="AE214" s="14">
        <f ca="1">U$4*AO214</f>
        <v>-2.4650715219332729E-2</v>
      </c>
      <c r="AF214" s="15">
        <f ca="1">AP214*W$4</f>
        <v>0.27380033890518707</v>
      </c>
      <c r="AG214" s="12">
        <f t="shared" ca="1" si="69"/>
        <v>-5.2941091814520291</v>
      </c>
      <c r="AH214" s="14">
        <f t="shared" ca="1" si="70"/>
        <v>-1.7409010255935169</v>
      </c>
      <c r="AI214" s="14">
        <f t="shared" ca="1" si="71"/>
        <v>-1.1361935686157902</v>
      </c>
      <c r="AJ214" s="14">
        <f t="shared" ca="1" si="72"/>
        <v>-0.23649940356534566</v>
      </c>
      <c r="AK214" s="14">
        <f t="shared" ca="1" si="73"/>
        <v>-1.526283411289592</v>
      </c>
      <c r="AL214" s="14">
        <f t="shared" ca="1" si="74"/>
        <v>-0.83534265576215128</v>
      </c>
      <c r="AM214" s="14">
        <f t="shared" ca="1" si="75"/>
        <v>-0.91937890408039691</v>
      </c>
      <c r="AN214" s="14">
        <f t="shared" ca="1" si="76"/>
        <v>-0.88956086182460636</v>
      </c>
      <c r="AO214" s="14">
        <f t="shared" ca="1" si="77"/>
        <v>-2.4650715219332729E-2</v>
      </c>
      <c r="AP214" s="14">
        <f ca="1">(AV214-$AP$3)/$AP$4</f>
        <v>0.27380033890518707</v>
      </c>
      <c r="AQ214" s="22">
        <f t="shared" si="78"/>
        <v>3.7668571428571429</v>
      </c>
      <c r="AR214" s="22">
        <f t="shared" si="79"/>
        <v>0.58499999999999996</v>
      </c>
      <c r="AS214" s="22">
        <f ca="1">(U214-AS$3)</f>
        <v>-1.9943704826419495E-3</v>
      </c>
      <c r="AT214" s="22">
        <f ca="1">(W214-AT$3)</f>
        <v>0.11991528174898847</v>
      </c>
      <c r="AU214" s="11">
        <f ca="1">AS214*V214</f>
        <v>-1.5849832045693468E-2</v>
      </c>
      <c r="AV214" s="11">
        <f ca="1">AT214*X214</f>
        <v>7.6248988437821089E-2</v>
      </c>
    </row>
    <row r="215" spans="1:48">
      <c r="A215">
        <v>210</v>
      </c>
      <c r="B215" s="27" t="str">
        <f t="shared" si="60"/>
        <v>Delon Wright</v>
      </c>
      <c r="C215" s="21">
        <v>1</v>
      </c>
      <c r="D215" s="12">
        <f t="shared" ca="1" si="61"/>
        <v>-11.355341675136462</v>
      </c>
      <c r="E215" s="12">
        <f t="shared" ca="1" si="62"/>
        <v>-11.355341675136462</v>
      </c>
      <c r="F215" s="29">
        <f ca="1">SUM(AI215:AN215,AP215,AO215)+$A$4</f>
        <v>-2.1239649528319795</v>
      </c>
      <c r="G215" s="29">
        <f ca="1">SUM(Y215:AF215)+$A$4</f>
        <v>-2.1239649528319795</v>
      </c>
      <c r="H215" s="10">
        <v>1</v>
      </c>
      <c r="I215" s="10">
        <v>0</v>
      </c>
      <c r="K215" s="17">
        <v>210</v>
      </c>
      <c r="L215" s="17" t="s">
        <v>272</v>
      </c>
      <c r="M215" s="17" t="s">
        <v>25</v>
      </c>
      <c r="N215" s="17" t="s">
        <v>61</v>
      </c>
      <c r="O215" s="22">
        <v>5.82</v>
      </c>
      <c r="P215" s="22">
        <v>0.62558823529411767</v>
      </c>
      <c r="Q215" s="22">
        <v>2.8895588235294114</v>
      </c>
      <c r="R215" s="22">
        <v>2.85</v>
      </c>
      <c r="S215" s="22">
        <v>1.1083823529411765</v>
      </c>
      <c r="T215" s="22">
        <v>0.27705882352941175</v>
      </c>
      <c r="U215" s="22">
        <v>0.46396880469157786</v>
      </c>
      <c r="V215" s="22">
        <v>4.7895588235294113</v>
      </c>
      <c r="W215" s="22">
        <v>0.78292907583665949</v>
      </c>
      <c r="X215" s="22">
        <v>0.9579411764705883</v>
      </c>
      <c r="Y215" s="14">
        <f t="shared" ca="1" si="63"/>
        <v>-1.7942367179153884</v>
      </c>
      <c r="Z215" s="14">
        <f t="shared" ca="1" si="64"/>
        <v>-1.0907777819991618</v>
      </c>
      <c r="AA215" s="14">
        <f t="shared" ca="1" si="65"/>
        <v>-1.1782309424477813</v>
      </c>
      <c r="AB215" s="14">
        <f t="shared" ca="1" si="66"/>
        <v>-0.36873068823674371</v>
      </c>
      <c r="AC215" s="14">
        <f t="shared" ca="1" si="67"/>
        <v>0.38044875397016686</v>
      </c>
      <c r="AD215" s="14">
        <f t="shared" ca="1" si="68"/>
        <v>-0.72393057163967689</v>
      </c>
      <c r="AE215" s="14">
        <f ca="1">U$4*AO215</f>
        <v>-8.9432446429498227E-2</v>
      </c>
      <c r="AF215" s="15">
        <f ca="1">AP215*W$4</f>
        <v>-5.9074558133895387E-2</v>
      </c>
      <c r="AG215" s="12">
        <f t="shared" ca="1" si="69"/>
        <v>-4.9239649528319793</v>
      </c>
      <c r="AH215" s="14">
        <f t="shared" ca="1" si="70"/>
        <v>-1.6191837649295748</v>
      </c>
      <c r="AI215" s="14">
        <f t="shared" ca="1" si="71"/>
        <v>-1.7942367179153884</v>
      </c>
      <c r="AJ215" s="14">
        <f t="shared" ca="1" si="72"/>
        <v>-1.0907777819991618</v>
      </c>
      <c r="AK215" s="14">
        <f t="shared" ca="1" si="73"/>
        <v>-1.1782309424477813</v>
      </c>
      <c r="AL215" s="14">
        <f t="shared" ca="1" si="74"/>
        <v>-0.36873068823674371</v>
      </c>
      <c r="AM215" s="14">
        <f t="shared" ca="1" si="75"/>
        <v>0.38044875397016686</v>
      </c>
      <c r="AN215" s="14">
        <f t="shared" ca="1" si="76"/>
        <v>-0.72393057163967689</v>
      </c>
      <c r="AO215" s="14">
        <f t="shared" ca="1" si="77"/>
        <v>-8.9432446429498227E-2</v>
      </c>
      <c r="AP215" s="14">
        <f ca="1">(AV215-$AP$3)/$AP$4</f>
        <v>-5.9074558133895387E-2</v>
      </c>
      <c r="AQ215" s="22">
        <f t="shared" si="78"/>
        <v>2.2222058823529407</v>
      </c>
      <c r="AR215" s="22">
        <f t="shared" si="79"/>
        <v>0.75</v>
      </c>
      <c r="AS215" s="22">
        <f ca="1">(U215-AS$3)</f>
        <v>-1.2005900496534105E-2</v>
      </c>
      <c r="AT215" s="22">
        <f ca="1">(W215-AT$3)</f>
        <v>-1.7173615903455675E-2</v>
      </c>
      <c r="AU215" s="11">
        <f ca="1">AS215*V215</f>
        <v>-5.7502966657591068E-2</v>
      </c>
      <c r="AV215" s="11">
        <f ca="1">AT215*X215</f>
        <v>-1.6451313822810332E-2</v>
      </c>
    </row>
    <row r="216" spans="1:48">
      <c r="A216">
        <v>211</v>
      </c>
      <c r="B216" s="27" t="str">
        <f t="shared" si="60"/>
        <v>Maxi Kleber</v>
      </c>
      <c r="C216" s="21">
        <v>1</v>
      </c>
      <c r="D216" s="12">
        <f t="shared" ca="1" si="61"/>
        <v>-8.3184942491795919</v>
      </c>
      <c r="E216" s="12">
        <f t="shared" ca="1" si="62"/>
        <v>-8.3184942491795972</v>
      </c>
      <c r="F216" s="29">
        <f ca="1">SUM(AI216:AN216,AP216,AO216)+$A$4</f>
        <v>-1.555936470346631</v>
      </c>
      <c r="G216" s="29">
        <f ca="1">SUM(Y216:AF216)+$A$4</f>
        <v>-1.5559364703466319</v>
      </c>
      <c r="H216" s="10">
        <v>1</v>
      </c>
      <c r="I216" s="10">
        <v>0</v>
      </c>
      <c r="K216" s="17">
        <v>211</v>
      </c>
      <c r="L216" s="17" t="s">
        <v>273</v>
      </c>
      <c r="M216" s="17" t="s">
        <v>45</v>
      </c>
      <c r="N216" s="17" t="s">
        <v>51</v>
      </c>
      <c r="O216" s="22">
        <v>7.7402702702702699</v>
      </c>
      <c r="P216" s="22">
        <v>1.9071621621621622</v>
      </c>
      <c r="Q216" s="22">
        <v>5.0331081081081077</v>
      </c>
      <c r="R216" s="22">
        <v>1.3129729729729729</v>
      </c>
      <c r="S216" s="22">
        <v>0.4924324324324324</v>
      </c>
      <c r="T216" s="22">
        <v>0.76594594594594589</v>
      </c>
      <c r="U216" s="22">
        <v>0.42259770918947276</v>
      </c>
      <c r="V216" s="22">
        <v>6.1821621621621619</v>
      </c>
      <c r="W216" s="22">
        <v>0.89407790143084265</v>
      </c>
      <c r="X216" s="22">
        <v>0.68</v>
      </c>
      <c r="Y216" s="14">
        <f t="shared" ca="1" si="63"/>
        <v>-1.4603493227362678</v>
      </c>
      <c r="Z216" s="14">
        <f t="shared" ca="1" si="64"/>
        <v>0.18187183542024035</v>
      </c>
      <c r="AA216" s="14">
        <f t="shared" ca="1" si="65"/>
        <v>-0.28211693885226685</v>
      </c>
      <c r="AB216" s="14">
        <f t="shared" ca="1" si="66"/>
        <v>-1.1005625302987936</v>
      </c>
      <c r="AC216" s="14">
        <f t="shared" ca="1" si="67"/>
        <v>-1.5862310626345271</v>
      </c>
      <c r="AD216" s="14">
        <f t="shared" ca="1" si="68"/>
        <v>0.17519860615910637</v>
      </c>
      <c r="AE216" s="14">
        <f ca="1">U$4*AO216</f>
        <v>-0.51321504716549393</v>
      </c>
      <c r="AF216" s="15">
        <f ca="1">AP216*W$4</f>
        <v>0.22946798976137248</v>
      </c>
      <c r="AG216" s="12">
        <f t="shared" ca="1" si="69"/>
        <v>-4.3559364703466317</v>
      </c>
      <c r="AH216" s="14">
        <f t="shared" ca="1" si="70"/>
        <v>-1.4323947634504159</v>
      </c>
      <c r="AI216" s="14">
        <f t="shared" ca="1" si="71"/>
        <v>-1.4603493227362678</v>
      </c>
      <c r="AJ216" s="14">
        <f t="shared" ca="1" si="72"/>
        <v>0.18187183542024035</v>
      </c>
      <c r="AK216" s="14">
        <f t="shared" ca="1" si="73"/>
        <v>-0.28211693885226685</v>
      </c>
      <c r="AL216" s="14">
        <f t="shared" ca="1" si="74"/>
        <v>-1.1005625302987936</v>
      </c>
      <c r="AM216" s="14">
        <f t="shared" ca="1" si="75"/>
        <v>-1.5862310626345271</v>
      </c>
      <c r="AN216" s="14">
        <f t="shared" ca="1" si="76"/>
        <v>0.17519860615910637</v>
      </c>
      <c r="AO216" s="14">
        <f t="shared" ca="1" si="77"/>
        <v>-0.51321504716549393</v>
      </c>
      <c r="AP216" s="14">
        <f ca="1">(AV216-$AP$3)/$AP$4</f>
        <v>0.22946798976137248</v>
      </c>
      <c r="AQ216" s="22">
        <f t="shared" si="78"/>
        <v>2.6125675675675675</v>
      </c>
      <c r="AR216" s="22">
        <f t="shared" si="79"/>
        <v>0.60797297297297304</v>
      </c>
      <c r="AS216" s="22">
        <f ca="1">(U216-AS$3)</f>
        <v>-5.337699599863921E-2</v>
      </c>
      <c r="AT216" s="22">
        <f ca="1">(W216-AT$3)</f>
        <v>9.3975209690727479E-2</v>
      </c>
      <c r="AU216" s="11">
        <f ca="1">AS216*V216</f>
        <v>-0.32998524499266846</v>
      </c>
      <c r="AV216" s="11">
        <f ca="1">AT216*X216</f>
        <v>6.3903142589694692E-2</v>
      </c>
    </row>
    <row r="217" spans="1:48">
      <c r="A217">
        <v>212</v>
      </c>
      <c r="B217" s="27" t="str">
        <f t="shared" si="60"/>
        <v>Coby White</v>
      </c>
      <c r="C217" s="21">
        <v>1</v>
      </c>
      <c r="D217" s="12">
        <f t="shared" ca="1" si="61"/>
        <v>-7.7746995122798443</v>
      </c>
      <c r="E217" s="12">
        <f t="shared" ca="1" si="62"/>
        <v>-7.7746995122798443</v>
      </c>
      <c r="F217" s="29">
        <f ca="1">SUM(AI217:AN217,AP217,AO217)+$A$4</f>
        <v>-1.4542221410245526</v>
      </c>
      <c r="G217" s="29">
        <f ca="1">SUM(Y217:AF217)+$A$4</f>
        <v>-1.4542221410245526</v>
      </c>
      <c r="H217" s="10">
        <v>1</v>
      </c>
      <c r="I217" s="10">
        <v>0</v>
      </c>
      <c r="K217" s="17">
        <v>212</v>
      </c>
      <c r="L217" s="17" t="s">
        <v>274</v>
      </c>
      <c r="M217" s="17" t="s">
        <v>28</v>
      </c>
      <c r="N217" s="17" t="s">
        <v>59</v>
      </c>
      <c r="O217" s="22">
        <v>12.33</v>
      </c>
      <c r="P217" s="22">
        <v>2.0196774193548386</v>
      </c>
      <c r="Q217" s="22">
        <v>3.03</v>
      </c>
      <c r="R217" s="22">
        <v>3.2319354838709677</v>
      </c>
      <c r="S217" s="22">
        <v>0.505</v>
      </c>
      <c r="T217" s="22">
        <v>0.20193548387096774</v>
      </c>
      <c r="U217" s="22">
        <v>0.42079460892338155</v>
      </c>
      <c r="V217" s="22">
        <v>10.100322580645162</v>
      </c>
      <c r="W217" s="22">
        <v>0.89603960396039606</v>
      </c>
      <c r="X217" s="22">
        <v>2.02</v>
      </c>
      <c r="Y217" s="14">
        <f t="shared" ca="1" si="63"/>
        <v>-0.66230910529336384</v>
      </c>
      <c r="Z217" s="14">
        <f t="shared" ca="1" si="64"/>
        <v>0.29360358652572993</v>
      </c>
      <c r="AA217" s="14">
        <f t="shared" ca="1" si="65"/>
        <v>-1.1195192973169072</v>
      </c>
      <c r="AB217" s="14">
        <f t="shared" ca="1" si="66"/>
        <v>-0.18687796619919189</v>
      </c>
      <c r="AC217" s="14">
        <f t="shared" ca="1" si="67"/>
        <v>-1.5461038044663038</v>
      </c>
      <c r="AD217" s="14">
        <f t="shared" ca="1" si="68"/>
        <v>-0.86209249803021559</v>
      </c>
      <c r="AE217" s="14">
        <f ca="1">U$4*AO217</f>
        <v>-0.86680729585906935</v>
      </c>
      <c r="AF217" s="15">
        <f ca="1">AP217*W$4</f>
        <v>0.69588423961476886</v>
      </c>
      <c r="AG217" s="12">
        <f t="shared" ca="1" si="69"/>
        <v>-4.2542221410245524</v>
      </c>
      <c r="AH217" s="14">
        <f t="shared" ca="1" si="70"/>
        <v>-1.3989472892549937</v>
      </c>
      <c r="AI217" s="14">
        <f t="shared" ca="1" si="71"/>
        <v>-0.66230910529336384</v>
      </c>
      <c r="AJ217" s="14">
        <f t="shared" ca="1" si="72"/>
        <v>0.29360358652572993</v>
      </c>
      <c r="AK217" s="14">
        <f t="shared" ca="1" si="73"/>
        <v>-1.1195192973169072</v>
      </c>
      <c r="AL217" s="14">
        <f t="shared" ca="1" si="74"/>
        <v>-0.18687796619919189</v>
      </c>
      <c r="AM217" s="14">
        <f t="shared" ca="1" si="75"/>
        <v>-1.5461038044663038</v>
      </c>
      <c r="AN217" s="14">
        <f t="shared" ca="1" si="76"/>
        <v>-0.86209249803021559</v>
      </c>
      <c r="AO217" s="14">
        <f t="shared" ca="1" si="77"/>
        <v>-0.86680729585906935</v>
      </c>
      <c r="AP217" s="14">
        <f ca="1">(AV217-$AP$3)/$AP$4</f>
        <v>0.69588423961476886</v>
      </c>
      <c r="AQ217" s="22">
        <f t="shared" si="78"/>
        <v>4.2501612903225814</v>
      </c>
      <c r="AR217" s="22">
        <f t="shared" si="79"/>
        <v>1.81</v>
      </c>
      <c r="AS217" s="22">
        <f ca="1">(U217-AS$3)</f>
        <v>-5.5180096264730416E-2</v>
      </c>
      <c r="AT217" s="22">
        <f ca="1">(W217-AT$3)</f>
        <v>9.593691222028089E-2</v>
      </c>
      <c r="AU217" s="11">
        <f ca="1">AS217*V217</f>
        <v>-0.55733677230483036</v>
      </c>
      <c r="AV217" s="11">
        <f ca="1">AT217*X217</f>
        <v>0.19379256268496739</v>
      </c>
    </row>
    <row r="218" spans="1:48">
      <c r="A218">
        <v>213</v>
      </c>
      <c r="B218" s="27" t="str">
        <f t="shared" si="60"/>
        <v>Davis Bertans</v>
      </c>
      <c r="C218" s="21">
        <v>1</v>
      </c>
      <c r="D218" s="12">
        <f t="shared" ca="1" si="61"/>
        <v>-11.115066126748991</v>
      </c>
      <c r="E218" s="12">
        <f t="shared" ca="1" si="62"/>
        <v>-11.115066126748991</v>
      </c>
      <c r="F218" s="29">
        <f ca="1">SUM(AI218:AN218,AP218,AO218)+$A$4</f>
        <v>-2.0790225056209986</v>
      </c>
      <c r="G218" s="29">
        <f ca="1">SUM(Y218:AF218)+$A$4</f>
        <v>-2.0790225056209986</v>
      </c>
      <c r="H218" s="10">
        <v>1</v>
      </c>
      <c r="I218" s="10">
        <v>0</v>
      </c>
      <c r="K218" s="17">
        <v>213</v>
      </c>
      <c r="L218" s="17" t="s">
        <v>275</v>
      </c>
      <c r="M218" s="17" t="s">
        <v>45</v>
      </c>
      <c r="N218" s="17" t="s">
        <v>40</v>
      </c>
      <c r="O218" s="22">
        <v>10.795757575757575</v>
      </c>
      <c r="P218" s="22">
        <v>2.6721212121212123</v>
      </c>
      <c r="Q218" s="22">
        <v>2.9531818181818181</v>
      </c>
      <c r="R218" s="22">
        <v>0.76560606060606062</v>
      </c>
      <c r="S218" s="22">
        <v>0.54681818181818187</v>
      </c>
      <c r="T218" s="22">
        <v>0.21878787878787878</v>
      </c>
      <c r="U218" s="22">
        <v>0.42594622605783988</v>
      </c>
      <c r="V218" s="22">
        <v>7.6019696969696975</v>
      </c>
      <c r="W218" s="22">
        <v>0.8670068569606123</v>
      </c>
      <c r="X218" s="22">
        <v>1.9003030303030304</v>
      </c>
      <c r="Y218" s="14">
        <f t="shared" ca="1" si="63"/>
        <v>-0.92907582794407906</v>
      </c>
      <c r="Z218" s="14">
        <f t="shared" ca="1" si="64"/>
        <v>0.9415040516054034</v>
      </c>
      <c r="AA218" s="14">
        <f t="shared" ca="1" si="65"/>
        <v>-1.1516332538063885</v>
      </c>
      <c r="AB218" s="14">
        <f t="shared" ca="1" si="66"/>
        <v>-1.3611828894190308</v>
      </c>
      <c r="AC218" s="14">
        <f t="shared" ca="1" si="67"/>
        <v>-1.4125816277266834</v>
      </c>
      <c r="AD218" s="14">
        <f t="shared" ca="1" si="68"/>
        <v>-0.83109867698071649</v>
      </c>
      <c r="AE218" s="14">
        <f ca="1">U$4*AO218</f>
        <v>-0.59149120925248166</v>
      </c>
      <c r="AF218" s="15">
        <f ca="1">AP218*W$4</f>
        <v>0.45653692790297867</v>
      </c>
      <c r="AG218" s="12">
        <f t="shared" ca="1" si="69"/>
        <v>-4.8790225056209984</v>
      </c>
      <c r="AH218" s="14">
        <f t="shared" ca="1" si="70"/>
        <v>-1.6044050080583725</v>
      </c>
      <c r="AI218" s="14">
        <f t="shared" ca="1" si="71"/>
        <v>-0.92907582794407906</v>
      </c>
      <c r="AJ218" s="14">
        <f t="shared" ca="1" si="72"/>
        <v>0.9415040516054034</v>
      </c>
      <c r="AK218" s="14">
        <f t="shared" ca="1" si="73"/>
        <v>-1.1516332538063885</v>
      </c>
      <c r="AL218" s="14">
        <f t="shared" ca="1" si="74"/>
        <v>-1.3611828894190308</v>
      </c>
      <c r="AM218" s="14">
        <f t="shared" ca="1" si="75"/>
        <v>-1.4125816277266834</v>
      </c>
      <c r="AN218" s="14">
        <f t="shared" ca="1" si="76"/>
        <v>-0.83109867698071649</v>
      </c>
      <c r="AO218" s="14">
        <f t="shared" ca="1" si="77"/>
        <v>-0.59149120925248166</v>
      </c>
      <c r="AP218" s="14">
        <f ca="1">(AV218-$AP$3)/$AP$4</f>
        <v>0.45653692790297867</v>
      </c>
      <c r="AQ218" s="22">
        <f t="shared" si="78"/>
        <v>3.2380303030303033</v>
      </c>
      <c r="AR218" s="22">
        <f t="shared" si="79"/>
        <v>1.6475757575757575</v>
      </c>
      <c r="AS218" s="22">
        <f ca="1">(U218-AS$3)</f>
        <v>-5.0028479130272085E-2</v>
      </c>
      <c r="AT218" s="22">
        <f ca="1">(W218-AT$3)</f>
        <v>6.6904165220497136E-2</v>
      </c>
      <c r="AU218" s="11">
        <f ca="1">AS218*V218</f>
        <v>-0.38031498233380934</v>
      </c>
      <c r="AV218" s="11">
        <f ca="1">AT218*X218</f>
        <v>0.12713818790840531</v>
      </c>
    </row>
    <row r="219" spans="1:48">
      <c r="A219">
        <v>214</v>
      </c>
      <c r="B219" s="27" t="str">
        <f t="shared" si="60"/>
        <v>Reggie Bullock</v>
      </c>
      <c r="C219" s="21">
        <v>1</v>
      </c>
      <c r="D219" s="12">
        <f t="shared" ca="1" si="61"/>
        <v>-6.7195762071228273</v>
      </c>
      <c r="E219" s="12">
        <f t="shared" ca="1" si="62"/>
        <v>-6.7195762071228273</v>
      </c>
      <c r="F219" s="29">
        <f ca="1">SUM(AI219:AN219,AP219,AO219)+$A$4</f>
        <v>-1.2568661313875449</v>
      </c>
      <c r="G219" s="29">
        <f ca="1">SUM(Y219:AF219)+$A$4</f>
        <v>-1.2568661313875449</v>
      </c>
      <c r="H219" s="10">
        <v>1</v>
      </c>
      <c r="I219" s="10">
        <v>0</v>
      </c>
      <c r="K219" s="17">
        <v>214</v>
      </c>
      <c r="L219" s="17" t="s">
        <v>276</v>
      </c>
      <c r="M219" s="17" t="s">
        <v>48</v>
      </c>
      <c r="N219" s="17" t="s">
        <v>51</v>
      </c>
      <c r="O219" s="22">
        <v>10.896056338028169</v>
      </c>
      <c r="P219" s="22">
        <v>2.6671830985915492</v>
      </c>
      <c r="Q219" s="22">
        <v>3.0678873239436619</v>
      </c>
      <c r="R219" s="22">
        <v>1.4771830985915493</v>
      </c>
      <c r="S219" s="22">
        <v>0.73859154929577464</v>
      </c>
      <c r="T219" s="22">
        <v>0.11366197183098592</v>
      </c>
      <c r="U219" s="22">
        <v>0.43633899649633107</v>
      </c>
      <c r="V219" s="22">
        <v>8.5222535211267587</v>
      </c>
      <c r="W219" s="22">
        <v>0.92893736572467367</v>
      </c>
      <c r="X219" s="22">
        <v>0.85225352112676056</v>
      </c>
      <c r="Y219" s="14">
        <f t="shared" ca="1" si="63"/>
        <v>-0.91163635966053103</v>
      </c>
      <c r="Z219" s="14">
        <f t="shared" ca="1" si="64"/>
        <v>0.93660032489674783</v>
      </c>
      <c r="AA219" s="14">
        <f t="shared" ca="1" si="65"/>
        <v>-1.1036804445371131</v>
      </c>
      <c r="AB219" s="14">
        <f t="shared" ca="1" si="66"/>
        <v>-1.0223763978472853</v>
      </c>
      <c r="AC219" s="14">
        <f t="shared" ca="1" si="67"/>
        <v>-0.80026429701092672</v>
      </c>
      <c r="AD219" s="14">
        <f t="shared" ca="1" si="68"/>
        <v>-1.024439360245778</v>
      </c>
      <c r="AE219" s="14">
        <f ca="1">U$4*AO219</f>
        <v>-0.52534661379956393</v>
      </c>
      <c r="AF219" s="15">
        <f ca="1">AP219*W$4</f>
        <v>0.39427701681690591</v>
      </c>
      <c r="AG219" s="12">
        <f t="shared" ca="1" si="69"/>
        <v>-4.0568661313875447</v>
      </c>
      <c r="AH219" s="14">
        <f t="shared" ca="1" si="70"/>
        <v>-1.3340492548910938</v>
      </c>
      <c r="AI219" s="14">
        <f t="shared" ca="1" si="71"/>
        <v>-0.91163635966053103</v>
      </c>
      <c r="AJ219" s="14">
        <f t="shared" ca="1" si="72"/>
        <v>0.93660032489674783</v>
      </c>
      <c r="AK219" s="14">
        <f t="shared" ca="1" si="73"/>
        <v>-1.1036804445371131</v>
      </c>
      <c r="AL219" s="14">
        <f t="shared" ca="1" si="74"/>
        <v>-1.0223763978472853</v>
      </c>
      <c r="AM219" s="14">
        <f t="shared" ca="1" si="75"/>
        <v>-0.80026429701092672</v>
      </c>
      <c r="AN219" s="14">
        <f t="shared" ca="1" si="76"/>
        <v>-1.024439360245778</v>
      </c>
      <c r="AO219" s="14">
        <f t="shared" ca="1" si="77"/>
        <v>-0.52534661379956393</v>
      </c>
      <c r="AP219" s="14">
        <f ca="1">(AV219-$AP$3)/$AP$4</f>
        <v>0.39427701681690591</v>
      </c>
      <c r="AQ219" s="22">
        <f t="shared" si="78"/>
        <v>3.7185915492957737</v>
      </c>
      <c r="AR219" s="22">
        <f t="shared" si="79"/>
        <v>0.7916901408450705</v>
      </c>
      <c r="AS219" s="22">
        <f ca="1">(U219-AS$3)</f>
        <v>-3.9635708691780902E-2</v>
      </c>
      <c r="AT219" s="22">
        <f ca="1">(W219-AT$3)</f>
        <v>0.1288346739845585</v>
      </c>
      <c r="AU219" s="11">
        <f ca="1">AS219*V219</f>
        <v>-0.33778555796088428</v>
      </c>
      <c r="AV219" s="11">
        <f ca="1">AT219*X219</f>
        <v>0.10979980454655824</v>
      </c>
    </row>
    <row r="220" spans="1:48">
      <c r="A220">
        <v>215</v>
      </c>
      <c r="B220" s="27" t="str">
        <f t="shared" si="60"/>
        <v>Jeremy Lamb</v>
      </c>
      <c r="C220" s="21">
        <v>1</v>
      </c>
      <c r="D220" s="12">
        <f t="shared" ca="1" si="61"/>
        <v>-8.4731593516549975</v>
      </c>
      <c r="E220" s="12">
        <f t="shared" ca="1" si="62"/>
        <v>-8.4731593516549975</v>
      </c>
      <c r="F220" s="29">
        <f ca="1">SUM(AI220:AN220,AP220,AO220)+$A$4</f>
        <v>-1.5848658734841177</v>
      </c>
      <c r="G220" s="29">
        <f ca="1">SUM(Y220:AF220)+$A$4</f>
        <v>-1.5848658734841177</v>
      </c>
      <c r="H220" s="10">
        <v>1</v>
      </c>
      <c r="I220" s="10">
        <v>0</v>
      </c>
      <c r="K220" s="17">
        <v>215</v>
      </c>
      <c r="L220" s="17" t="s">
        <v>277</v>
      </c>
      <c r="M220" s="17" t="s">
        <v>48</v>
      </c>
      <c r="N220" s="17" t="s">
        <v>75</v>
      </c>
      <c r="O220" s="22">
        <v>9.2201612903225829</v>
      </c>
      <c r="P220" s="22">
        <v>1.2453225806451611</v>
      </c>
      <c r="Q220" s="22">
        <v>3.1183870967741938</v>
      </c>
      <c r="R220" s="22">
        <v>1.3593548387096774</v>
      </c>
      <c r="S220" s="22">
        <v>0.83951612903225803</v>
      </c>
      <c r="T220" s="22">
        <v>0.51967741935483869</v>
      </c>
      <c r="U220" s="22">
        <v>0.4377970052900565</v>
      </c>
      <c r="V220" s="22">
        <v>7.1954838709677418</v>
      </c>
      <c r="W220" s="22">
        <v>0.89499999999999991</v>
      </c>
      <c r="X220" s="22">
        <v>1.8709677419354838</v>
      </c>
      <c r="Y220" s="14">
        <f t="shared" ca="1" si="63"/>
        <v>-1.2030329618655169</v>
      </c>
      <c r="Z220" s="14">
        <f t="shared" ca="1" si="64"/>
        <v>-0.47535899032622786</v>
      </c>
      <c r="AA220" s="14">
        <f t="shared" ca="1" si="65"/>
        <v>-1.0825689385235127</v>
      </c>
      <c r="AB220" s="14">
        <f t="shared" ca="1" si="66"/>
        <v>-1.0784785163917499</v>
      </c>
      <c r="AC220" s="14">
        <f t="shared" ca="1" si="67"/>
        <v>-0.47802002461437687</v>
      </c>
      <c r="AD220" s="14">
        <f t="shared" ca="1" si="68"/>
        <v>-0.27772233955343578</v>
      </c>
      <c r="AE220" s="14">
        <f ca="1">U$4*AO220</f>
        <v>-0.42724267323988019</v>
      </c>
      <c r="AF220" s="15">
        <f ca="1">AP220*W$4</f>
        <v>0.63755857103058311</v>
      </c>
      <c r="AG220" s="12">
        <f t="shared" ca="1" si="69"/>
        <v>-4.3848658734841175</v>
      </c>
      <c r="AH220" s="14">
        <f t="shared" ca="1" si="70"/>
        <v>-1.4419078327630597</v>
      </c>
      <c r="AI220" s="14">
        <f t="shared" ca="1" si="71"/>
        <v>-1.2030329618655169</v>
      </c>
      <c r="AJ220" s="14">
        <f t="shared" ca="1" si="72"/>
        <v>-0.47535899032622786</v>
      </c>
      <c r="AK220" s="14">
        <f t="shared" ca="1" si="73"/>
        <v>-1.0825689385235127</v>
      </c>
      <c r="AL220" s="14">
        <f t="shared" ca="1" si="74"/>
        <v>-1.0784785163917499</v>
      </c>
      <c r="AM220" s="14">
        <f t="shared" ca="1" si="75"/>
        <v>-0.47802002461437687</v>
      </c>
      <c r="AN220" s="14">
        <f t="shared" ca="1" si="76"/>
        <v>-0.27772233955343578</v>
      </c>
      <c r="AO220" s="14">
        <f t="shared" ca="1" si="77"/>
        <v>-0.42724267323988019</v>
      </c>
      <c r="AP220" s="14">
        <f ca="1">(AV220-$AP$3)/$AP$4</f>
        <v>0.63755857103058311</v>
      </c>
      <c r="AQ220" s="22">
        <f t="shared" si="78"/>
        <v>3.1501612903225809</v>
      </c>
      <c r="AR220" s="22">
        <f t="shared" si="79"/>
        <v>1.6745161290322579</v>
      </c>
      <c r="AS220" s="22">
        <f ca="1">(U220-AS$3)</f>
        <v>-3.8177699898055473E-2</v>
      </c>
      <c r="AT220" s="22">
        <f ca="1">(W220-AT$3)</f>
        <v>9.4897308259884738E-2</v>
      </c>
      <c r="AU220" s="11">
        <f ca="1">AS220*V220</f>
        <v>-0.27470702384710494</v>
      </c>
      <c r="AV220" s="11">
        <f ca="1">AT220*X220</f>
        <v>0.17754980255075209</v>
      </c>
    </row>
    <row r="221" spans="1:48">
      <c r="A221">
        <v>216</v>
      </c>
      <c r="B221" s="27" t="str">
        <f t="shared" si="60"/>
        <v>Bruce Brown</v>
      </c>
      <c r="C221" s="21">
        <v>1</v>
      </c>
      <c r="D221" s="12">
        <f t="shared" ca="1" si="61"/>
        <v>-6.6827080878714646</v>
      </c>
      <c r="E221" s="12">
        <f t="shared" ca="1" si="62"/>
        <v>-6.68270808787147</v>
      </c>
      <c r="F221" s="29">
        <f ca="1">SUM(AI221:AN221,AP221,AO221)+$A$4</f>
        <v>-1.2499701175636559</v>
      </c>
      <c r="G221" s="29">
        <f ca="1">SUM(Y221:AF221)+$A$4</f>
        <v>-1.2499701175636568</v>
      </c>
      <c r="H221" s="10">
        <v>1</v>
      </c>
      <c r="I221" s="10">
        <v>0</v>
      </c>
      <c r="K221" s="17">
        <v>216</v>
      </c>
      <c r="L221" s="17" t="s">
        <v>278</v>
      </c>
      <c r="M221" s="17" t="s">
        <v>39</v>
      </c>
      <c r="N221" s="17" t="s">
        <v>26</v>
      </c>
      <c r="O221" s="22">
        <v>7.6810666666666654</v>
      </c>
      <c r="P221" s="22">
        <v>0.25</v>
      </c>
      <c r="Q221" s="22">
        <v>5.7</v>
      </c>
      <c r="R221" s="22">
        <v>1.75</v>
      </c>
      <c r="S221" s="22">
        <v>0.95</v>
      </c>
      <c r="T221" s="22">
        <v>0.45</v>
      </c>
      <c r="U221" s="22">
        <v>0.54056435345127407</v>
      </c>
      <c r="V221" s="22">
        <v>5.7505333333333333</v>
      </c>
      <c r="W221" s="22">
        <v>0.75403726708074537</v>
      </c>
      <c r="X221" s="22">
        <v>1.61</v>
      </c>
      <c r="Y221" s="14">
        <f t="shared" ca="1" si="63"/>
        <v>-1.4706433617048771</v>
      </c>
      <c r="Z221" s="14">
        <f t="shared" ca="1" si="64"/>
        <v>-1.4637505882752864</v>
      </c>
      <c r="AA221" s="14">
        <f t="shared" ca="1" si="65"/>
        <v>-3.3217800434559275E-3</v>
      </c>
      <c r="AB221" s="14">
        <f t="shared" ca="1" si="66"/>
        <v>-0.89247881505097681</v>
      </c>
      <c r="AC221" s="14">
        <f t="shared" ca="1" si="67"/>
        <v>-0.12525368459577993</v>
      </c>
      <c r="AD221" s="14">
        <f t="shared" ca="1" si="68"/>
        <v>-0.40586848598083108</v>
      </c>
      <c r="AE221" s="14">
        <f ca="1">U$4*AO221</f>
        <v>0.57766480005385346</v>
      </c>
      <c r="AF221" s="15">
        <f ca="1">AP221*W$4</f>
        <v>-0.26631820196630279</v>
      </c>
      <c r="AG221" s="12">
        <f t="shared" ca="1" si="69"/>
        <v>-4.0499701175636567</v>
      </c>
      <c r="AH221" s="14">
        <f t="shared" ca="1" si="70"/>
        <v>-1.3317815877299075</v>
      </c>
      <c r="AI221" s="14">
        <f t="shared" ca="1" si="71"/>
        <v>-1.4706433617048771</v>
      </c>
      <c r="AJ221" s="14">
        <f t="shared" ca="1" si="72"/>
        <v>-1.4637505882752864</v>
      </c>
      <c r="AK221" s="14">
        <f t="shared" ca="1" si="73"/>
        <v>-3.3217800434559275E-3</v>
      </c>
      <c r="AL221" s="14">
        <f t="shared" ca="1" si="74"/>
        <v>-0.89247881505097681</v>
      </c>
      <c r="AM221" s="14">
        <f t="shared" ca="1" si="75"/>
        <v>-0.12525368459577993</v>
      </c>
      <c r="AN221" s="14">
        <f t="shared" ca="1" si="76"/>
        <v>-0.40586848598083108</v>
      </c>
      <c r="AO221" s="14">
        <f t="shared" ca="1" si="77"/>
        <v>0.57766480005385346</v>
      </c>
      <c r="AP221" s="14">
        <f ca="1">(AV221-$AP$3)/$AP$4</f>
        <v>-0.26631820196630279</v>
      </c>
      <c r="AQ221" s="22">
        <f t="shared" si="78"/>
        <v>3.1085333333333334</v>
      </c>
      <c r="AR221" s="22">
        <f t="shared" si="79"/>
        <v>1.2140000000000002</v>
      </c>
      <c r="AS221" s="22">
        <f ca="1">(U221-AS$3)</f>
        <v>6.4589648263162103E-2</v>
      </c>
      <c r="AT221" s="22">
        <f ca="1">(W221-AT$3)</f>
        <v>-4.6065424659369802E-2</v>
      </c>
      <c r="AU221" s="11">
        <f ca="1">AS221*V221</f>
        <v>0.37142492532558913</v>
      </c>
      <c r="AV221" s="11">
        <f ca="1">AT221*X221</f>
        <v>-7.4165333701585387E-2</v>
      </c>
    </row>
    <row r="222" spans="1:48">
      <c r="A222">
        <v>217</v>
      </c>
      <c r="B222" s="27" t="str">
        <f t="shared" si="60"/>
        <v>Shake Milton</v>
      </c>
      <c r="C222" s="21">
        <v>1</v>
      </c>
      <c r="D222" s="12">
        <f t="shared" ca="1" si="61"/>
        <v>-12.904497877603557</v>
      </c>
      <c r="E222" s="12">
        <f t="shared" ca="1" si="62"/>
        <v>-12.904497877603557</v>
      </c>
      <c r="F222" s="29">
        <f ca="1">SUM(AI222:AN222,AP222,AO222)+$A$4</f>
        <v>-2.4137275662905351</v>
      </c>
      <c r="G222" s="29">
        <f ca="1">SUM(Y222:AF222)+$A$4</f>
        <v>-2.4137275662905351</v>
      </c>
      <c r="H222" s="10">
        <v>1</v>
      </c>
      <c r="I222" s="10">
        <v>0</v>
      </c>
      <c r="K222" s="17">
        <v>217</v>
      </c>
      <c r="L222" s="17" t="s">
        <v>279</v>
      </c>
      <c r="M222" s="17" t="s">
        <v>25</v>
      </c>
      <c r="N222" s="17" t="s">
        <v>37</v>
      </c>
      <c r="O222" s="22">
        <v>11.777285714285716</v>
      </c>
      <c r="P222" s="22">
        <v>1.1477142857142857</v>
      </c>
      <c r="Q222" s="22">
        <v>2.5165714285714285</v>
      </c>
      <c r="R222" s="22">
        <v>2.8069999999999999</v>
      </c>
      <c r="S222" s="22">
        <v>0.58071428571428574</v>
      </c>
      <c r="T222" s="22">
        <v>0.33871428571428575</v>
      </c>
      <c r="U222" s="22">
        <v>0.45173276598294954</v>
      </c>
      <c r="V222" s="22">
        <v>9.5347142857142853</v>
      </c>
      <c r="W222" s="22">
        <v>0.81298985707699389</v>
      </c>
      <c r="X222" s="22">
        <v>2.4788571428571431</v>
      </c>
      <c r="Y222" s="14">
        <f t="shared" ca="1" si="63"/>
        <v>-0.75841241741174437</v>
      </c>
      <c r="Z222" s="14">
        <f t="shared" ca="1" si="64"/>
        <v>-0.57228758460897422</v>
      </c>
      <c r="AA222" s="14">
        <f t="shared" ca="1" si="65"/>
        <v>-1.3341588841056062</v>
      </c>
      <c r="AB222" s="14">
        <f t="shared" ca="1" si="66"/>
        <v>-0.38920447864857288</v>
      </c>
      <c r="AC222" s="14">
        <f t="shared" ca="1" si="67"/>
        <v>-1.3043540248414633</v>
      </c>
      <c r="AD222" s="14">
        <f t="shared" ca="1" si="68"/>
        <v>-0.61053788347257509</v>
      </c>
      <c r="AE222" s="14">
        <f ca="1">U$4*AO222</f>
        <v>-0.35948427801935434</v>
      </c>
      <c r="AF222" s="15">
        <f ca="1">AP222*W$4</f>
        <v>0.11471198481775553</v>
      </c>
      <c r="AG222" s="12">
        <f t="shared" ca="1" si="69"/>
        <v>-5.2137275662905349</v>
      </c>
      <c r="AH222" s="14">
        <f t="shared" ca="1" si="70"/>
        <v>-1.7144685453636461</v>
      </c>
      <c r="AI222" s="14">
        <f t="shared" ca="1" si="71"/>
        <v>-0.75841241741174437</v>
      </c>
      <c r="AJ222" s="14">
        <f t="shared" ca="1" si="72"/>
        <v>-0.57228758460897422</v>
      </c>
      <c r="AK222" s="14">
        <f t="shared" ca="1" si="73"/>
        <v>-1.3341588841056062</v>
      </c>
      <c r="AL222" s="14">
        <f t="shared" ca="1" si="74"/>
        <v>-0.38920447864857288</v>
      </c>
      <c r="AM222" s="14">
        <f t="shared" ca="1" si="75"/>
        <v>-1.3043540248414633</v>
      </c>
      <c r="AN222" s="14">
        <f t="shared" ca="1" si="76"/>
        <v>-0.61053788347257509</v>
      </c>
      <c r="AO222" s="14">
        <f t="shared" ca="1" si="77"/>
        <v>-0.35948427801935434</v>
      </c>
      <c r="AP222" s="14">
        <f ca="1">(AV222-$AP$3)/$AP$4</f>
        <v>0.11471198481775553</v>
      </c>
      <c r="AQ222" s="22">
        <f t="shared" si="78"/>
        <v>4.3071428571428569</v>
      </c>
      <c r="AR222" s="22">
        <f t="shared" si="79"/>
        <v>2.0152857142857141</v>
      </c>
      <c r="AS222" s="22">
        <f ca="1">(U222-AS$3)</f>
        <v>-2.4241939205162433E-2</v>
      </c>
      <c r="AT222" s="22">
        <f ca="1">(W222-AT$3)</f>
        <v>1.2887165336878725E-2</v>
      </c>
      <c r="AU222" s="11">
        <f ca="1">AS222*V222</f>
        <v>-0.23113996405287945</v>
      </c>
      <c r="AV222" s="11">
        <f ca="1">AT222*X222</f>
        <v>3.194544184650281E-2</v>
      </c>
    </row>
    <row r="223" spans="1:48">
      <c r="A223">
        <v>218</v>
      </c>
      <c r="B223" s="27" t="str">
        <f t="shared" si="60"/>
        <v>Jalen Brunson</v>
      </c>
      <c r="C223" s="21">
        <v>1</v>
      </c>
      <c r="D223" s="12">
        <f t="shared" ca="1" si="61"/>
        <v>-12.828356820561586</v>
      </c>
      <c r="E223" s="12">
        <f t="shared" ca="1" si="62"/>
        <v>-12.828356820561586</v>
      </c>
      <c r="F223" s="29">
        <f ca="1">SUM(AI223:AN223,AP223,AO223)+$A$4</f>
        <v>-2.3994857282855344</v>
      </c>
      <c r="G223" s="29">
        <f ca="1">SUM(Y223:AF223)+$A$4</f>
        <v>-2.3994857282855344</v>
      </c>
      <c r="H223" s="10">
        <v>1</v>
      </c>
      <c r="I223" s="10">
        <v>0</v>
      </c>
      <c r="K223" s="17">
        <v>218</v>
      </c>
      <c r="L223" s="17" t="s">
        <v>280</v>
      </c>
      <c r="M223" s="17" t="s">
        <v>28</v>
      </c>
      <c r="N223" s="17" t="s">
        <v>51</v>
      </c>
      <c r="O223" s="22">
        <v>11.401733333333333</v>
      </c>
      <c r="P223" s="22">
        <v>1.0161333333333333</v>
      </c>
      <c r="Q223" s="22">
        <v>3.0551999999999997</v>
      </c>
      <c r="R223" s="22">
        <v>3.2866666666666666</v>
      </c>
      <c r="S223" s="22">
        <v>0.46293333333333331</v>
      </c>
      <c r="T223" s="22">
        <v>4.6266666666666671E-2</v>
      </c>
      <c r="U223" s="22">
        <v>0.50618500439620406</v>
      </c>
      <c r="V223" s="22">
        <v>8.7954666666666661</v>
      </c>
      <c r="W223" s="22">
        <v>0.80199234822782062</v>
      </c>
      <c r="X223" s="22">
        <v>1.8470666666666666</v>
      </c>
      <c r="Y223" s="14">
        <f t="shared" ca="1" si="63"/>
        <v>-0.82371166625751213</v>
      </c>
      <c r="Z223" s="14">
        <f t="shared" ca="1" si="64"/>
        <v>-0.70295226590171522</v>
      </c>
      <c r="AA223" s="14">
        <f t="shared" ca="1" si="65"/>
        <v>-1.108984399401068</v>
      </c>
      <c r="AB223" s="14">
        <f t="shared" ca="1" si="66"/>
        <v>-0.16081855304685128</v>
      </c>
      <c r="AC223" s="14">
        <f t="shared" ca="1" si="67"/>
        <v>-1.680419373850319</v>
      </c>
      <c r="AD223" s="14">
        <f t="shared" ca="1" si="68"/>
        <v>-1.1483883917121118</v>
      </c>
      <c r="AE223" s="14">
        <f ca="1">U$4*AO223</f>
        <v>0.4132556249593794</v>
      </c>
      <c r="AF223" s="15">
        <f ca="1">AP223*W$4</f>
        <v>1.2533296924663933E-2</v>
      </c>
      <c r="AG223" s="12">
        <f t="shared" ca="1" si="69"/>
        <v>-5.1994857282855342</v>
      </c>
      <c r="AH223" s="14">
        <f t="shared" ca="1" si="70"/>
        <v>-1.7097852965791089</v>
      </c>
      <c r="AI223" s="14">
        <f t="shared" ca="1" si="71"/>
        <v>-0.82371166625751213</v>
      </c>
      <c r="AJ223" s="14">
        <f t="shared" ca="1" si="72"/>
        <v>-0.70295226590171522</v>
      </c>
      <c r="AK223" s="14">
        <f t="shared" ca="1" si="73"/>
        <v>-1.108984399401068</v>
      </c>
      <c r="AL223" s="14">
        <f t="shared" ca="1" si="74"/>
        <v>-0.16081855304685128</v>
      </c>
      <c r="AM223" s="14">
        <f t="shared" ca="1" si="75"/>
        <v>-1.680419373850319</v>
      </c>
      <c r="AN223" s="14">
        <f t="shared" ca="1" si="76"/>
        <v>-1.1483883917121118</v>
      </c>
      <c r="AO223" s="14">
        <f t="shared" ca="1" si="77"/>
        <v>0.4132556249593794</v>
      </c>
      <c r="AP223" s="14">
        <f ca="1">(AV223-$AP$3)/$AP$4</f>
        <v>1.2533296924663933E-2</v>
      </c>
      <c r="AQ223" s="22">
        <f t="shared" si="78"/>
        <v>4.4521333333333324</v>
      </c>
      <c r="AR223" s="22">
        <f t="shared" si="79"/>
        <v>1.4813333333333332</v>
      </c>
      <c r="AS223" s="22">
        <f ca="1">(U223-AS$3)</f>
        <v>3.0210299208092095E-2</v>
      </c>
      <c r="AT223" s="22">
        <f ca="1">(W223-AT$3)</f>
        <v>1.8896564877054489E-3</v>
      </c>
      <c r="AU223" s="11">
        <f ca="1">AS223*V223</f>
        <v>0.26571367967480042</v>
      </c>
      <c r="AV223" s="11">
        <f ca="1">AT223*X223</f>
        <v>3.4903215098911443E-3</v>
      </c>
    </row>
    <row r="224" spans="1:48">
      <c r="A224">
        <v>219</v>
      </c>
      <c r="B224" s="27" t="str">
        <f t="shared" si="60"/>
        <v>Khem Birch</v>
      </c>
      <c r="C224" s="21">
        <v>1</v>
      </c>
      <c r="D224" s="12">
        <f t="shared" ca="1" si="61"/>
        <v>-8.4244805833311904</v>
      </c>
      <c r="E224" s="12">
        <f t="shared" ca="1" si="62"/>
        <v>-8.4244805833311904</v>
      </c>
      <c r="F224" s="29">
        <f ca="1">SUM(AI224:AN224,AP224,AO224)+$A$4</f>
        <v>-1.5757607315320108</v>
      </c>
      <c r="G224" s="29">
        <f ca="1">SUM(Y224:AF224)+$A$4</f>
        <v>-1.5757607315320108</v>
      </c>
      <c r="H224" s="10">
        <v>1</v>
      </c>
      <c r="I224" s="10">
        <v>0</v>
      </c>
      <c r="K224" s="17">
        <v>219</v>
      </c>
      <c r="L224" s="17" t="s">
        <v>281</v>
      </c>
      <c r="M224" s="17" t="s">
        <v>22</v>
      </c>
      <c r="N224" s="17" t="s">
        <v>57</v>
      </c>
      <c r="O224" s="22">
        <v>8.5838157894736824</v>
      </c>
      <c r="P224" s="22">
        <v>0.29644736842105263</v>
      </c>
      <c r="Q224" s="22">
        <v>6.4009210526315794</v>
      </c>
      <c r="R224" s="22">
        <v>1.5318421052631579</v>
      </c>
      <c r="S224" s="22">
        <v>0.82065789473684203</v>
      </c>
      <c r="T224" s="22">
        <v>0.87539473684210523</v>
      </c>
      <c r="U224" s="22">
        <v>0.49229829550877052</v>
      </c>
      <c r="V224" s="22">
        <v>6.893552631578947</v>
      </c>
      <c r="W224" s="22">
        <v>0.6800286327845384</v>
      </c>
      <c r="X224" s="22">
        <v>2.2057894736842103</v>
      </c>
      <c r="Y224" s="14">
        <f t="shared" ca="1" si="63"/>
        <v>-1.3136776690204572</v>
      </c>
      <c r="Z224" s="14">
        <f t="shared" ca="1" si="64"/>
        <v>-1.4176266586197817</v>
      </c>
      <c r="AA224" s="14">
        <f t="shared" ca="1" si="65"/>
        <v>0.28969932061274734</v>
      </c>
      <c r="AB224" s="14">
        <f t="shared" ca="1" si="66"/>
        <v>-0.99635135024930199</v>
      </c>
      <c r="AC224" s="14">
        <f t="shared" ca="1" si="67"/>
        <v>-0.53823288856760887</v>
      </c>
      <c r="AD224" s="14">
        <f t="shared" ca="1" si="68"/>
        <v>0.37648965445489291</v>
      </c>
      <c r="AE224" s="14">
        <f ca="1">U$4*AO224</f>
        <v>0.17501031329593608</v>
      </c>
      <c r="AF224" s="15">
        <f ca="1">AP224*W$4</f>
        <v>-0.95107145343843691</v>
      </c>
      <c r="AG224" s="12">
        <f t="shared" ca="1" si="69"/>
        <v>-4.3757607315320106</v>
      </c>
      <c r="AH224" s="14">
        <f t="shared" ca="1" si="70"/>
        <v>-1.4389137216823642</v>
      </c>
      <c r="AI224" s="14">
        <f t="shared" ca="1" si="71"/>
        <v>-1.3136776690204572</v>
      </c>
      <c r="AJ224" s="14">
        <f t="shared" ca="1" si="72"/>
        <v>-1.4176266586197817</v>
      </c>
      <c r="AK224" s="14">
        <f t="shared" ca="1" si="73"/>
        <v>0.28969932061274734</v>
      </c>
      <c r="AL224" s="14">
        <f t="shared" ca="1" si="74"/>
        <v>-0.99635135024930199</v>
      </c>
      <c r="AM224" s="14">
        <f t="shared" ca="1" si="75"/>
        <v>-0.53823288856760887</v>
      </c>
      <c r="AN224" s="14">
        <f t="shared" ca="1" si="76"/>
        <v>0.37648965445489291</v>
      </c>
      <c r="AO224" s="14">
        <f t="shared" ca="1" si="77"/>
        <v>0.17501031329593608</v>
      </c>
      <c r="AP224" s="14">
        <f ca="1">(AV224-$AP$3)/$AP$4</f>
        <v>-0.95107145343843691</v>
      </c>
      <c r="AQ224" s="22">
        <f t="shared" si="78"/>
        <v>3.393684210526315</v>
      </c>
      <c r="AR224" s="22">
        <f t="shared" si="79"/>
        <v>1.5</v>
      </c>
      <c r="AS224" s="22">
        <f ca="1">(U224-AS$3)</f>
        <v>1.6323590320658554E-2</v>
      </c>
      <c r="AT224" s="22">
        <f ca="1">(W224-AT$3)</f>
        <v>-0.12007405895557677</v>
      </c>
      <c r="AU224" s="11">
        <f ca="1">AS224*V224</f>
        <v>0.1125275290117924</v>
      </c>
      <c r="AV224" s="11">
        <f ca="1">AT224*X224</f>
        <v>-0.26485809530674853</v>
      </c>
    </row>
    <row r="235" spans="4:11">
      <c r="D235" s="8"/>
      <c r="K235"/>
    </row>
  </sheetData>
  <autoFilter ref="B5:AV205" xr:uid="{A18FAF6B-46C3-7748-9589-5640E80DF82D}"/>
  <conditionalFormatting sqref="H6:I22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:J20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:AF2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89F2-69BA-3547-8955-A73AFE5C9D62}">
  <dimension ref="A1:N159"/>
  <sheetViews>
    <sheetView workbookViewId="0">
      <selection activeCell="A97" sqref="A97:L97"/>
    </sheetView>
  </sheetViews>
  <sheetFormatPr defaultColWidth="11.42578125" defaultRowHeight="15"/>
  <cols>
    <col min="1" max="1" width="7.28515625" customWidth="1"/>
    <col min="4" max="11" width="4.7109375" customWidth="1"/>
    <col min="12" max="12" width="5.7109375" customWidth="1"/>
  </cols>
  <sheetData>
    <row r="1" spans="1:14">
      <c r="C1" s="2" t="s">
        <v>441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13</v>
      </c>
      <c r="L1" s="1"/>
    </row>
    <row r="2" spans="1:14"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</row>
    <row r="3" spans="1:14">
      <c r="A3" t="s">
        <v>382</v>
      </c>
      <c r="B3" s="1" t="s">
        <v>2</v>
      </c>
      <c r="C3" s="1" t="s">
        <v>436</v>
      </c>
      <c r="D3" s="1" t="s">
        <v>383</v>
      </c>
      <c r="E3" s="1" t="s">
        <v>384</v>
      </c>
      <c r="F3" s="1" t="s">
        <v>385</v>
      </c>
      <c r="G3" s="1" t="s">
        <v>386</v>
      </c>
      <c r="H3" s="1" t="s">
        <v>387</v>
      </c>
      <c r="I3" s="1" t="s">
        <v>388</v>
      </c>
      <c r="J3" s="1" t="s">
        <v>389</v>
      </c>
      <c r="K3" s="1" t="s">
        <v>390</v>
      </c>
      <c r="L3" s="1" t="s">
        <v>442</v>
      </c>
      <c r="M3" s="2" t="s">
        <v>379</v>
      </c>
      <c r="N3" s="1" t="s">
        <v>19</v>
      </c>
    </row>
    <row r="4" spans="1:14">
      <c r="A4">
        <v>1</v>
      </c>
      <c r="B4" s="8" t="str">
        <f>VLOOKUP($A4,Valorisation!$A$5:$AF$224,2,0)</f>
        <v>Nikola Jokic</v>
      </c>
      <c r="C4" s="39">
        <f ca="1">VLOOKUP($A4,Valorisation!$A$5:$AF$224,4,0)</f>
        <v>68.452933544242413</v>
      </c>
      <c r="D4" s="31">
        <f ca="1">VLOOKUP($A4,Valorisation!$A$5:$AZ$224,35+COLUMN(D3)-4,0)*D$2</f>
        <v>0</v>
      </c>
      <c r="E4" s="31">
        <f ca="1">VLOOKUP($A4,Valorisation!$A$5:$AZ$224,35+COLUMN(E3)-4,0)*E$2</f>
        <v>-0.59092381745723632</v>
      </c>
      <c r="F4" s="31">
        <f ca="1">VLOOKUP($A4,Valorisation!$A$5:$AZ$224,35+COLUMN(F3)-4,0)*F$2</f>
        <v>2.0990922406399948</v>
      </c>
      <c r="G4" s="31">
        <f ca="1">VLOOKUP($A4,Valorisation!$A$5:$AZ$224,35+COLUMN(G3)-4,0)*G$2</f>
        <v>0</v>
      </c>
      <c r="H4" s="31">
        <f ca="1">VLOOKUP($A4,Valorisation!$A$5:$AZ$224,35+COLUMN(H3)-4,0)*H$2</f>
        <v>0.64776944389675795</v>
      </c>
      <c r="I4" s="31">
        <f ca="1">VLOOKUP($A4,Valorisation!$A$5:$AZ$224,35+COLUMN(I3)-4,0)*I$2</f>
        <v>-7.2646351931962533E-2</v>
      </c>
      <c r="J4" s="31">
        <f ca="1">VLOOKUP($A4,Valorisation!$A$5:$AZ$224,35+COLUMN(J3)-4,0)*J$2</f>
        <v>2.4681248227026131</v>
      </c>
      <c r="K4" s="31">
        <f ca="1">VLOOKUP($A4,Valorisation!$A$5:$AZ$224,35+COLUMN(K3)-4,0)*K$2</f>
        <v>1.6480295279512815</v>
      </c>
      <c r="L4" s="31">
        <f ca="1">SUM(D4:K4)</f>
        <v>6.1994458658014491</v>
      </c>
      <c r="M4" s="40">
        <f>VLOOKUP($A4,Valorisation!$A$5:$AF$224,8,0)</f>
        <v>1</v>
      </c>
      <c r="N4" s="31" t="str">
        <f>VLOOKUP($A4,Valorisation!$A$5:$AF$224,13,0)</f>
        <v>C</v>
      </c>
    </row>
    <row r="5" spans="1:14">
      <c r="A5">
        <v>3</v>
      </c>
      <c r="B5" s="8" t="str">
        <f>VLOOKUP($A5,Valorisation!$A$5:$AF$224,2,0)</f>
        <v>Stephen Curry</v>
      </c>
      <c r="C5" s="39">
        <f ca="1">VLOOKUP($A5,Valorisation!$A$5:$AF$224,4,0)</f>
        <v>65.939753639034592</v>
      </c>
      <c r="D5" s="31">
        <f ca="1">VLOOKUP($A5,Valorisation!$A$5:$AZ$224,35+COLUMN(D4)-4,0)*D$2</f>
        <v>0</v>
      </c>
      <c r="E5" s="31">
        <f ca="1">VLOOKUP($A5,Valorisation!$A$5:$AZ$224,35+COLUMN(E4)-4,0)*E$2</f>
        <v>3.7430705094171404</v>
      </c>
      <c r="F5" s="31">
        <f ca="1">VLOOKUP($A5,Valorisation!$A$5:$AZ$224,35+COLUMN(F4)-4,0)*F$2</f>
        <v>-9.8660748175114679E-2</v>
      </c>
      <c r="G5" s="31">
        <f ca="1">VLOOKUP($A5,Valorisation!$A$5:$AZ$224,35+COLUMN(G4)-4,0)*G$2</f>
        <v>0</v>
      </c>
      <c r="H5" s="31">
        <f ca="1">VLOOKUP($A5,Valorisation!$A$5:$AZ$224,35+COLUMN(H4)-4,0)*H$2</f>
        <v>0.80158050720490548</v>
      </c>
      <c r="I5" s="31">
        <f ca="1">VLOOKUP($A5,Valorisation!$A$5:$AZ$224,35+COLUMN(I4)-4,0)*I$2</f>
        <v>-0.96501646375967787</v>
      </c>
      <c r="J5" s="31">
        <f ca="1">VLOOKUP($A5,Valorisation!$A$5:$AZ$224,35+COLUMN(J4)-4,0)*J$2</f>
        <v>-0.2385508946707455</v>
      </c>
      <c r="K5" s="31">
        <f ca="1">VLOOKUP($A5,Valorisation!$A$5:$AZ$224,35+COLUMN(K4)-4,0)*K$2</f>
        <v>2.5389305742341892</v>
      </c>
      <c r="L5" s="31">
        <f ca="1">SUM(D5:K5)</f>
        <v>5.7813534842506975</v>
      </c>
      <c r="M5" s="40">
        <f>VLOOKUP($A5,Valorisation!$A$5:$AF$224,8,0)</f>
        <v>1</v>
      </c>
      <c r="N5" s="31" t="str">
        <f>VLOOKUP($A5,Valorisation!$A$5:$AF$224,13,0)</f>
        <v>PG</v>
      </c>
    </row>
    <row r="6" spans="1:14">
      <c r="A6">
        <v>7</v>
      </c>
      <c r="B6" s="8" t="str">
        <f>VLOOKUP($A6,Valorisation!$A$5:$AF$224,2,0)</f>
        <v>Joel Embiid</v>
      </c>
      <c r="C6" s="39">
        <f ca="1">VLOOKUP($A6,Valorisation!$A$5:$AF$224,4,0)</f>
        <v>50.943198786438117</v>
      </c>
      <c r="D6" s="31">
        <f ca="1">VLOOKUP($A6,Valorisation!$A$5:$AZ$224,35+COLUMN(D5)-4,0)*D$2</f>
        <v>0</v>
      </c>
      <c r="E6" s="31">
        <f ca="1">VLOOKUP($A6,Valorisation!$A$5:$AZ$224,35+COLUMN(E5)-4,0)*E$2</f>
        <v>-0.59468353099581905</v>
      </c>
      <c r="F6" s="31">
        <f ca="1">VLOOKUP($A6,Valorisation!$A$5:$AZ$224,35+COLUMN(F5)-4,0)*F$2</f>
        <v>2.0586835525492355</v>
      </c>
      <c r="G6" s="31">
        <f ca="1">VLOOKUP($A6,Valorisation!$A$5:$AZ$224,35+COLUMN(G5)-4,0)*G$2</f>
        <v>0</v>
      </c>
      <c r="H6" s="31">
        <f ca="1">VLOOKUP($A6,Valorisation!$A$5:$AZ$224,35+COLUMN(H5)-4,0)*H$2</f>
        <v>-0.24267080214941503</v>
      </c>
      <c r="I6" s="31">
        <f ca="1">VLOOKUP($A6,Valorisation!$A$5:$AZ$224,35+COLUMN(I5)-4,0)*I$2</f>
        <v>1.2858386276197149</v>
      </c>
      <c r="J6" s="31">
        <f ca="1">VLOOKUP($A6,Valorisation!$A$5:$AZ$224,35+COLUMN(J5)-4,0)*J$2</f>
        <v>0.76496897596568114</v>
      </c>
      <c r="K6" s="31">
        <f ca="1">VLOOKUP($A6,Valorisation!$A$5:$AZ$224,35+COLUMN(K5)-4,0)*K$2</f>
        <v>1.8302419795085589</v>
      </c>
      <c r="L6" s="31">
        <f ca="1">SUM(D6:K6)</f>
        <v>5.1023788024979559</v>
      </c>
      <c r="M6" s="40">
        <f>VLOOKUP($A6,Valorisation!$A$5:$AF$224,8,0)</f>
        <v>1</v>
      </c>
      <c r="N6" s="31" t="str">
        <f>VLOOKUP($A6,Valorisation!$A$5:$AF$224,13,0)</f>
        <v>C</v>
      </c>
    </row>
    <row r="7" spans="1:14">
      <c r="A7">
        <v>4</v>
      </c>
      <c r="B7" s="8" t="str">
        <f>VLOOKUP($A7,Valorisation!$A$5:$AF$224,2,0)</f>
        <v>Karl-Anthony Towns</v>
      </c>
      <c r="C7" s="39">
        <f ca="1">VLOOKUP($A7,Valorisation!$A$5:$AF$224,4,0)</f>
        <v>51.939295112402284</v>
      </c>
      <c r="D7" s="31">
        <f ca="1">VLOOKUP($A7,Valorisation!$A$5:$AZ$224,35+COLUMN(D6)-4,0)*D$2</f>
        <v>0</v>
      </c>
      <c r="E7" s="31">
        <f ca="1">VLOOKUP($A7,Valorisation!$A$5:$AZ$224,35+COLUMN(E6)-4,0)*E$2</f>
        <v>0.75930910926529049</v>
      </c>
      <c r="F7" s="31">
        <f ca="1">VLOOKUP($A7,Valorisation!$A$5:$AZ$224,35+COLUMN(F6)-4,0)*F$2</f>
        <v>2.0058111536701295</v>
      </c>
      <c r="G7" s="31">
        <f ca="1">VLOOKUP($A7,Valorisation!$A$5:$AZ$224,35+COLUMN(G6)-4,0)*G$2</f>
        <v>0</v>
      </c>
      <c r="H7" s="31">
        <f ca="1">VLOOKUP($A7,Valorisation!$A$5:$AZ$224,35+COLUMN(H6)-4,0)*H$2</f>
        <v>-0.82899086816967116</v>
      </c>
      <c r="I7" s="31">
        <f ca="1">VLOOKUP($A7,Valorisation!$A$5:$AZ$224,35+COLUMN(I6)-4,0)*I$2</f>
        <v>1.0475448394401934</v>
      </c>
      <c r="J7" s="31">
        <f ca="1">VLOOKUP($A7,Valorisation!$A$5:$AZ$224,35+COLUMN(J6)-4,0)*J$2</f>
        <v>0.68866623081703282</v>
      </c>
      <c r="K7" s="31">
        <f ca="1">VLOOKUP($A7,Valorisation!$A$5:$AZ$224,35+COLUMN(K6)-4,0)*K$2</f>
        <v>1.0996029861610848</v>
      </c>
      <c r="L7" s="31">
        <f ca="1">SUM(D7:K7)</f>
        <v>4.7719434511840593</v>
      </c>
      <c r="M7" s="40">
        <f>VLOOKUP($A7,Valorisation!$A$5:$AF$224,8,0)</f>
        <v>1</v>
      </c>
      <c r="N7" s="31" t="str">
        <f>VLOOKUP($A7,Valorisation!$A$5:$AF$224,13,0)</f>
        <v>C</v>
      </c>
    </row>
    <row r="8" spans="1:14">
      <c r="A8">
        <v>2</v>
      </c>
      <c r="B8" s="8" t="str">
        <f>VLOOKUP($A8,Valorisation!$A$5:$AF$224,2,0)</f>
        <v>James Harden</v>
      </c>
      <c r="C8" s="39">
        <f ca="1">VLOOKUP($A8,Valorisation!$A$5:$AF$224,4,0)</f>
        <v>66.0187209985301</v>
      </c>
      <c r="D8" s="31">
        <f ca="1">VLOOKUP($A8,Valorisation!$A$5:$AZ$224,35+COLUMN(D7)-4,0)*D$2</f>
        <v>0</v>
      </c>
      <c r="E8" s="31">
        <f ca="1">VLOOKUP($A8,Valorisation!$A$5:$AZ$224,35+COLUMN(E7)-4,0)*E$2</f>
        <v>1.220400086009793</v>
      </c>
      <c r="F8" s="31">
        <f ca="1">VLOOKUP($A8,Valorisation!$A$5:$AZ$224,35+COLUMN(F7)-4,0)*F$2</f>
        <v>0.87458637960981978</v>
      </c>
      <c r="G8" s="31">
        <f ca="1">VLOOKUP($A8,Valorisation!$A$5:$AZ$224,35+COLUMN(G7)-4,0)*G$2</f>
        <v>0</v>
      </c>
      <c r="H8" s="31">
        <f ca="1">VLOOKUP($A8,Valorisation!$A$5:$AZ$224,35+COLUMN(H7)-4,0)*H$2</f>
        <v>0.9124458411523555</v>
      </c>
      <c r="I8" s="31">
        <f ca="1">VLOOKUP($A8,Valorisation!$A$5:$AZ$224,35+COLUMN(I7)-4,0)*I$2</f>
        <v>0.28380695486105367</v>
      </c>
      <c r="J8" s="31">
        <f ca="1">VLOOKUP($A8,Valorisation!$A$5:$AZ$224,35+COLUMN(J7)-4,0)*J$2</f>
        <v>-0.28338618499739709</v>
      </c>
      <c r="K8" s="31">
        <f ca="1">VLOOKUP($A8,Valorisation!$A$5:$AZ$224,35+COLUMN(K7)-4,0)*K$2</f>
        <v>1.6611495843373063</v>
      </c>
      <c r="L8" s="31">
        <f ca="1">SUM(D8:K8)</f>
        <v>4.6690026609729314</v>
      </c>
      <c r="M8" s="40">
        <f>VLOOKUP($A8,Valorisation!$A$5:$AF$224,8,0)</f>
        <v>1</v>
      </c>
      <c r="N8" s="31" t="str">
        <f>VLOOKUP($A8,Valorisation!$A$5:$AF$224,13,0)</f>
        <v>PG/SG</v>
      </c>
    </row>
    <row r="9" spans="1:14">
      <c r="A9">
        <v>5</v>
      </c>
      <c r="B9" s="8" t="str">
        <f>VLOOKUP($A9,Valorisation!$A$5:$AF$224,2,0)</f>
        <v>Kevin Durant</v>
      </c>
      <c r="C9" s="39">
        <f ca="1">VLOOKUP($A9,Valorisation!$A$5:$AF$224,4,0)</f>
        <v>51.538658187954859</v>
      </c>
      <c r="D9" s="31">
        <f ca="1">VLOOKUP($A9,Valorisation!$A$5:$AZ$224,35+COLUMN(D8)-4,0)*D$2</f>
        <v>0</v>
      </c>
      <c r="E9" s="31">
        <f ca="1">VLOOKUP($A9,Valorisation!$A$5:$AZ$224,35+COLUMN(E8)-4,0)*E$2</f>
        <v>0.47904370009522923</v>
      </c>
      <c r="F9" s="31">
        <f ca="1">VLOOKUP($A9,Valorisation!$A$5:$AZ$224,35+COLUMN(F8)-4,0)*F$2</f>
        <v>0.54538641867658044</v>
      </c>
      <c r="G9" s="31">
        <f ca="1">VLOOKUP($A9,Valorisation!$A$5:$AZ$224,35+COLUMN(G8)-4,0)*G$2</f>
        <v>0</v>
      </c>
      <c r="H9" s="31">
        <f ca="1">VLOOKUP($A9,Valorisation!$A$5:$AZ$224,35+COLUMN(H8)-4,0)*H$2</f>
        <v>-0.89679698295914656</v>
      </c>
      <c r="I9" s="31">
        <f ca="1">VLOOKUP($A9,Valorisation!$A$5:$AZ$224,35+COLUMN(I8)-4,0)*I$2</f>
        <v>0.9811683309640622</v>
      </c>
      <c r="J9" s="31">
        <f ca="1">VLOOKUP($A9,Valorisation!$A$5:$AZ$224,35+COLUMN(J8)-4,0)*J$2</f>
        <v>1.6520434682789844</v>
      </c>
      <c r="K9" s="31">
        <f ca="1">VLOOKUP($A9,Valorisation!$A$5:$AZ$224,35+COLUMN(K8)-4,0)*K$2</f>
        <v>1.8439872653612874</v>
      </c>
      <c r="L9" s="31">
        <f ca="1">SUM(D9:K9)</f>
        <v>4.6048322004169968</v>
      </c>
      <c r="M9" s="40">
        <f>VLOOKUP($A9,Valorisation!$A$5:$AF$224,8,0)</f>
        <v>1</v>
      </c>
      <c r="N9" s="31" t="str">
        <f>VLOOKUP($A9,Valorisation!$A$5:$AF$224,13,0)</f>
        <v>SF/PF</v>
      </c>
    </row>
    <row r="10" spans="1:14">
      <c r="A10">
        <v>25</v>
      </c>
      <c r="B10" s="8" t="str">
        <f>VLOOKUP($A10,Valorisation!$A$5:$AF$224,2,0)</f>
        <v>Rudy Gobert</v>
      </c>
      <c r="C10" s="39">
        <f ca="1">VLOOKUP($A10,Valorisation!$A$5:$AF$224,4,0)</f>
        <v>30.664018702295369</v>
      </c>
      <c r="D10" s="31">
        <f ca="1">VLOOKUP($A10,Valorisation!$A$5:$AZ$224,35+COLUMN(D9)-4,0)*D$2</f>
        <v>0</v>
      </c>
      <c r="E10" s="31">
        <f ca="1">VLOOKUP($A10,Valorisation!$A$5:$AZ$224,35+COLUMN(E9)-4,0)*E$2</f>
        <v>-1.7120096997355103</v>
      </c>
      <c r="F10" s="31">
        <f ca="1">VLOOKUP($A10,Valorisation!$A$5:$AZ$224,35+COLUMN(F9)-4,0)*F$2</f>
        <v>3.4982667639786862</v>
      </c>
      <c r="G10" s="31">
        <f ca="1">VLOOKUP($A10,Valorisation!$A$5:$AZ$224,35+COLUMN(G9)-4,0)*G$2</f>
        <v>0</v>
      </c>
      <c r="H10" s="31">
        <f ca="1">VLOOKUP($A10,Valorisation!$A$5:$AZ$224,35+COLUMN(H9)-4,0)*H$2</f>
        <v>-0.98734252137115419</v>
      </c>
      <c r="I10" s="31">
        <f ca="1">VLOOKUP($A10,Valorisation!$A$5:$AZ$224,35+COLUMN(I9)-4,0)*I$2</f>
        <v>3.7689668492487107</v>
      </c>
      <c r="J10" s="31">
        <f ca="1">VLOOKUP($A10,Valorisation!$A$5:$AZ$224,35+COLUMN(J9)-4,0)*J$2</f>
        <v>2.5112190330023525</v>
      </c>
      <c r="K10" s="31">
        <f ca="1">VLOOKUP($A10,Valorisation!$A$5:$AZ$224,35+COLUMN(K9)-4,0)*K$2</f>
        <v>-2.5706321007175492</v>
      </c>
      <c r="L10" s="31">
        <f ca="1">SUM(D10:K10)</f>
        <v>4.5084683244055359</v>
      </c>
      <c r="M10" s="40">
        <f>VLOOKUP($A10,Valorisation!$A$5:$AF$224,8,0)</f>
        <v>1</v>
      </c>
      <c r="N10" s="31" t="str">
        <f>VLOOKUP($A10,Valorisation!$A$5:$AF$224,13,0)</f>
        <v>C</v>
      </c>
    </row>
    <row r="11" spans="1:14">
      <c r="A11">
        <v>15</v>
      </c>
      <c r="B11" s="8" t="str">
        <f>VLOOKUP($A11,Valorisation!$A$5:$AF$224,2,0)</f>
        <v>Anthony Davis</v>
      </c>
      <c r="C11" s="39">
        <f ca="1">VLOOKUP($A11,Valorisation!$A$5:$AF$224,4,0)</f>
        <v>41.5119616886724</v>
      </c>
      <c r="D11" s="31">
        <f ca="1">VLOOKUP($A11,Valorisation!$A$5:$AZ$224,35+COLUMN(D10)-4,0)*D$2</f>
        <v>0</v>
      </c>
      <c r="E11" s="31">
        <f ca="1">VLOOKUP($A11,Valorisation!$A$5:$AZ$224,35+COLUMN(E10)-4,0)*E$2</f>
        <v>-0.82553940382888424</v>
      </c>
      <c r="F11" s="31">
        <f ca="1">VLOOKUP($A11,Valorisation!$A$5:$AZ$224,35+COLUMN(F10)-4,0)*F$2</f>
        <v>0.66262802720454794</v>
      </c>
      <c r="G11" s="31">
        <f ca="1">VLOOKUP($A11,Valorisation!$A$5:$AZ$224,35+COLUMN(G10)-4,0)*G$2</f>
        <v>0</v>
      </c>
      <c r="H11" s="31">
        <f ca="1">VLOOKUP($A11,Valorisation!$A$5:$AZ$224,35+COLUMN(H10)-4,0)*H$2</f>
        <v>1.0956814175703389</v>
      </c>
      <c r="I11" s="31">
        <f ca="1">VLOOKUP($A11,Valorisation!$A$5:$AZ$224,35+COLUMN(I10)-4,0)*I$2</f>
        <v>2.6355658959208932</v>
      </c>
      <c r="J11" s="31">
        <f ca="1">VLOOKUP($A11,Valorisation!$A$5:$AZ$224,35+COLUMN(J10)-4,0)*J$2</f>
        <v>0.72670792269332551</v>
      </c>
      <c r="K11" s="31">
        <f ca="1">VLOOKUP($A11,Valorisation!$A$5:$AZ$224,35+COLUMN(K10)-4,0)*K$2</f>
        <v>-0.14369708051605512</v>
      </c>
      <c r="L11" s="31">
        <f ca="1">SUM(D11:K11)</f>
        <v>4.1513467790441663</v>
      </c>
      <c r="M11" s="40">
        <f>VLOOKUP($A11,Valorisation!$A$5:$AF$224,8,0)</f>
        <v>1</v>
      </c>
      <c r="N11" s="31" t="str">
        <f>VLOOKUP($A11,Valorisation!$A$5:$AF$224,13,0)</f>
        <v>PF</v>
      </c>
    </row>
    <row r="12" spans="1:14">
      <c r="A12">
        <v>46</v>
      </c>
      <c r="B12" s="8" t="str">
        <f>VLOOKUP($A12,Valorisation!$A$5:$AF$224,2,0)</f>
        <v>Robert Williams</v>
      </c>
      <c r="C12" s="39">
        <f ca="1">VLOOKUP($A12,Valorisation!$A$5:$AF$224,4,0)</f>
        <v>26.70560014881131</v>
      </c>
      <c r="D12" s="31">
        <f ca="1">VLOOKUP($A12,Valorisation!$A$5:$AZ$224,35+COLUMN(D11)-4,0)*D$2</f>
        <v>0</v>
      </c>
      <c r="E12" s="31">
        <f ca="1">VLOOKUP($A12,Valorisation!$A$5:$AZ$224,35+COLUMN(E11)-4,0)*E$2</f>
        <v>-1.7120096997355103</v>
      </c>
      <c r="F12" s="31">
        <f ca="1">VLOOKUP($A12,Valorisation!$A$5:$AZ$224,35+COLUMN(F11)-4,0)*F$2</f>
        <v>1.3742846098771146</v>
      </c>
      <c r="G12" s="31">
        <f ca="1">VLOOKUP($A12,Valorisation!$A$5:$AZ$224,35+COLUMN(G11)-4,0)*G$2</f>
        <v>0</v>
      </c>
      <c r="H12" s="31">
        <f ca="1">VLOOKUP($A12,Valorisation!$A$5:$AZ$224,35+COLUMN(H11)-4,0)*H$2</f>
        <v>0.36868161414027928</v>
      </c>
      <c r="I12" s="31">
        <f ca="1">VLOOKUP($A12,Valorisation!$A$5:$AZ$224,35+COLUMN(I11)-4,0)*I$2</f>
        <v>2.6365058425491479</v>
      </c>
      <c r="J12" s="31">
        <f ca="1">VLOOKUP($A12,Valorisation!$A$5:$AZ$224,35+COLUMN(J11)-4,0)*J$2</f>
        <v>2.4051786818760306</v>
      </c>
      <c r="K12" s="31">
        <f ca="1">VLOOKUP($A12,Valorisation!$A$5:$AZ$224,35+COLUMN(K11)-4,0)*K$2</f>
        <v>-1.1675939041797603</v>
      </c>
      <c r="L12" s="31">
        <f ca="1">SUM(D12:K12)</f>
        <v>3.9050471445273018</v>
      </c>
      <c r="M12" s="40">
        <f>VLOOKUP($A12,Valorisation!$A$5:$AF$224,8,0)</f>
        <v>1</v>
      </c>
      <c r="N12" s="31" t="str">
        <f>VLOOKUP($A12,Valorisation!$A$5:$AF$224,13,0)</f>
        <v>PF/C</v>
      </c>
    </row>
    <row r="13" spans="1:14">
      <c r="A13">
        <v>10</v>
      </c>
      <c r="B13" s="8" t="str">
        <f>VLOOKUP($A13,Valorisation!$A$5:$AF$224,2,0)</f>
        <v>Kyrie Irving</v>
      </c>
      <c r="C13" s="39">
        <f ca="1">VLOOKUP($A13,Valorisation!$A$5:$AF$224,4,0)</f>
        <v>46.017258244607717</v>
      </c>
      <c r="D13" s="31">
        <f ca="1">VLOOKUP($A13,Valorisation!$A$5:$AZ$224,35+COLUMN(D12)-4,0)*D$2</f>
        <v>0</v>
      </c>
      <c r="E13" s="31">
        <f ca="1">VLOOKUP($A13,Valorisation!$A$5:$AZ$224,35+COLUMN(E12)-4,0)*E$2</f>
        <v>0.78882085979033612</v>
      </c>
      <c r="F13" s="31">
        <f ca="1">VLOOKUP($A13,Valorisation!$A$5:$AZ$224,35+COLUMN(F12)-4,0)*F$2</f>
        <v>-0.43186723057196974</v>
      </c>
      <c r="G13" s="31">
        <f ca="1">VLOOKUP($A13,Valorisation!$A$5:$AZ$224,35+COLUMN(G12)-4,0)*G$2</f>
        <v>0</v>
      </c>
      <c r="H13" s="31">
        <f ca="1">VLOOKUP($A13,Valorisation!$A$5:$AZ$224,35+COLUMN(H12)-4,0)*H$2</f>
        <v>1.1388826293454342</v>
      </c>
      <c r="I13" s="31">
        <f ca="1">VLOOKUP($A13,Valorisation!$A$5:$AZ$224,35+COLUMN(I12)-4,0)*I$2</f>
        <v>-6.093693216657689E-2</v>
      </c>
      <c r="J13" s="31">
        <f ca="1">VLOOKUP($A13,Valorisation!$A$5:$AZ$224,35+COLUMN(J12)-4,0)*J$2</f>
        <v>0.7104308722468069</v>
      </c>
      <c r="K13" s="31">
        <f ca="1">VLOOKUP($A13,Valorisation!$A$5:$AZ$224,35+COLUMN(K12)-4,0)*K$2</f>
        <v>1.5601684775032192</v>
      </c>
      <c r="L13" s="31">
        <f ca="1">SUM(D13:K13)</f>
        <v>3.7054986761472497</v>
      </c>
      <c r="M13" s="40">
        <f>VLOOKUP($A13,Valorisation!$A$5:$AF$224,8,0)</f>
        <v>1</v>
      </c>
      <c r="N13" s="31" t="str">
        <f>VLOOKUP($A13,Valorisation!$A$5:$AF$224,13,0)</f>
        <v>PG/SG</v>
      </c>
    </row>
    <row r="14" spans="1:14">
      <c r="A14">
        <v>9</v>
      </c>
      <c r="B14" s="8" t="str">
        <f>VLOOKUP($A14,Valorisation!$A$5:$AF$224,2,0)</f>
        <v>Jayson Tatum</v>
      </c>
      <c r="C14" s="39">
        <f ca="1">VLOOKUP($A14,Valorisation!$A$5:$AF$224,4,0)</f>
        <v>46.615352182385195</v>
      </c>
      <c r="D14" s="31">
        <f ca="1">VLOOKUP($A14,Valorisation!$A$5:$AZ$224,35+COLUMN(D13)-4,0)*D$2</f>
        <v>0</v>
      </c>
      <c r="E14" s="31">
        <f ca="1">VLOOKUP($A14,Valorisation!$A$5:$AZ$224,35+COLUMN(E13)-4,0)*E$2</f>
        <v>1.3584589908045379</v>
      </c>
      <c r="F14" s="31">
        <f ca="1">VLOOKUP($A14,Valorisation!$A$5:$AZ$224,35+COLUMN(F13)-4,0)*F$2</f>
        <v>0.78049692097523404</v>
      </c>
      <c r="G14" s="31">
        <f ca="1">VLOOKUP($A14,Valorisation!$A$5:$AZ$224,35+COLUMN(G13)-4,0)*G$2</f>
        <v>0</v>
      </c>
      <c r="H14" s="31">
        <f ca="1">VLOOKUP($A14,Valorisation!$A$5:$AZ$224,35+COLUMN(H13)-4,0)*H$2</f>
        <v>0.71129177923810172</v>
      </c>
      <c r="I14" s="31">
        <f ca="1">VLOOKUP($A14,Valorisation!$A$5:$AZ$224,35+COLUMN(I13)-4,0)*I$2</f>
        <v>-0.25824728939885255</v>
      </c>
      <c r="J14" s="31">
        <f ca="1">VLOOKUP($A14,Valorisation!$A$5:$AZ$224,35+COLUMN(J13)-4,0)*J$2</f>
        <v>-0.50123219756134463</v>
      </c>
      <c r="K14" s="31">
        <f ca="1">VLOOKUP($A14,Valorisation!$A$5:$AZ$224,35+COLUMN(K13)-4,0)*K$2</f>
        <v>1.2987589480412314</v>
      </c>
      <c r="L14" s="31">
        <f ca="1">SUM(D14:K14)</f>
        <v>3.3895271520989079</v>
      </c>
      <c r="M14" s="40">
        <f>VLOOKUP($A14,Valorisation!$A$5:$AF$224,8,0)</f>
        <v>1</v>
      </c>
      <c r="N14" s="31" t="str">
        <f>VLOOKUP($A14,Valorisation!$A$5:$AF$224,13,0)</f>
        <v>SF/PF</v>
      </c>
    </row>
    <row r="15" spans="1:14">
      <c r="A15">
        <v>44</v>
      </c>
      <c r="B15" s="8" t="str">
        <f>VLOOKUP($A15,Valorisation!$A$5:$AF$224,2,0)</f>
        <v>Deandre Ayton</v>
      </c>
      <c r="C15" s="39">
        <f ca="1">VLOOKUP($A15,Valorisation!$A$5:$AF$224,4,0)</f>
        <v>26.902504571937186</v>
      </c>
      <c r="D15" s="31">
        <f ca="1">VLOOKUP($A15,Valorisation!$A$5:$AZ$224,35+COLUMN(D14)-4,0)*D$2</f>
        <v>0</v>
      </c>
      <c r="E15" s="31">
        <f ca="1">VLOOKUP($A15,Valorisation!$A$5:$AZ$224,35+COLUMN(E14)-4,0)*E$2</f>
        <v>-1.6348881679676068</v>
      </c>
      <c r="F15" s="31">
        <f ca="1">VLOOKUP($A15,Valorisation!$A$5:$AZ$224,35+COLUMN(F14)-4,0)*F$2</f>
        <v>2.2491614436853706</v>
      </c>
      <c r="G15" s="31">
        <f ca="1">VLOOKUP($A15,Valorisation!$A$5:$AZ$224,35+COLUMN(G14)-4,0)*G$2</f>
        <v>0</v>
      </c>
      <c r="H15" s="31">
        <f ca="1">VLOOKUP($A15,Valorisation!$A$5:$AZ$224,35+COLUMN(H14)-4,0)*H$2</f>
        <v>-0.6299011662483196</v>
      </c>
      <c r="I15" s="31">
        <f ca="1">VLOOKUP($A15,Valorisation!$A$5:$AZ$224,35+COLUMN(I14)-4,0)*I$2</f>
        <v>1.1941785367723419</v>
      </c>
      <c r="J15" s="31">
        <f ca="1">VLOOKUP($A15,Valorisation!$A$5:$AZ$224,35+COLUMN(J14)-4,0)*J$2</f>
        <v>2.3559204886848293</v>
      </c>
      <c r="K15" s="31">
        <f ca="1">VLOOKUP($A15,Valorisation!$A$5:$AZ$224,35+COLUMN(K14)-4,0)*K$2</f>
        <v>-0.17184304145979679</v>
      </c>
      <c r="L15" s="31">
        <f ca="1">SUM(D15:K15)</f>
        <v>3.3626280934668187</v>
      </c>
      <c r="M15" s="40">
        <f>VLOOKUP($A15,Valorisation!$A$5:$AF$224,8,0)</f>
        <v>1</v>
      </c>
      <c r="N15" s="31" t="str">
        <f>VLOOKUP($A15,Valorisation!$A$5:$AF$224,13,0)</f>
        <v>C</v>
      </c>
    </row>
    <row r="16" spans="1:14">
      <c r="A16">
        <v>55</v>
      </c>
      <c r="B16" s="8" t="str">
        <f>VLOOKUP($A16,Valorisation!$A$5:$AF$224,2,0)</f>
        <v>Myles Turner</v>
      </c>
      <c r="C16" s="39">
        <f ca="1">VLOOKUP($A16,Valorisation!$A$5:$AF$224,4,0)</f>
        <v>22.503369951526871</v>
      </c>
      <c r="D16" s="31">
        <f ca="1">VLOOKUP($A16,Valorisation!$A$5:$AZ$224,35+COLUMN(D15)-4,0)*D$2</f>
        <v>0</v>
      </c>
      <c r="E16" s="31">
        <f ca="1">VLOOKUP($A16,Valorisation!$A$5:$AZ$224,35+COLUMN(E15)-4,0)*E$2</f>
        <v>-0.26930956750327989</v>
      </c>
      <c r="F16" s="31">
        <f ca="1">VLOOKUP($A16,Valorisation!$A$5:$AZ$224,35+COLUMN(F15)-4,0)*F$2</f>
        <v>0.4225019497092265</v>
      </c>
      <c r="G16" s="31">
        <f ca="1">VLOOKUP($A16,Valorisation!$A$5:$AZ$224,35+COLUMN(G15)-4,0)*G$2</f>
        <v>0</v>
      </c>
      <c r="H16" s="31">
        <f ca="1">VLOOKUP($A16,Valorisation!$A$5:$AZ$224,35+COLUMN(H15)-4,0)*H$2</f>
        <v>-0.65905621420056282</v>
      </c>
      <c r="I16" s="31">
        <f ca="1">VLOOKUP($A16,Valorisation!$A$5:$AZ$224,35+COLUMN(I15)-4,0)*I$2</f>
        <v>4.0450960586148899</v>
      </c>
      <c r="J16" s="31">
        <f ca="1">VLOOKUP($A16,Valorisation!$A$5:$AZ$224,35+COLUMN(J15)-4,0)*J$2</f>
        <v>3.2577206881025243E-2</v>
      </c>
      <c r="K16" s="31">
        <f ca="1">VLOOKUP($A16,Valorisation!$A$5:$AZ$224,35+COLUMN(K15)-4,0)*K$2</f>
        <v>-0.30121665898410632</v>
      </c>
      <c r="L16" s="31">
        <f ca="1">SUM(D16:K16)</f>
        <v>3.2705927745171923</v>
      </c>
      <c r="M16" s="40">
        <f>VLOOKUP($A16,Valorisation!$A$5:$AF$224,8,0)</f>
        <v>1</v>
      </c>
      <c r="N16" s="31" t="str">
        <f>VLOOKUP($A16,Valorisation!$A$5:$AF$224,13,0)</f>
        <v>PF/C</v>
      </c>
    </row>
    <row r="17" spans="1:14">
      <c r="A17">
        <v>32</v>
      </c>
      <c r="B17" s="8" t="str">
        <f>VLOOKUP($A17,Valorisation!$A$5:$AF$224,2,0)</f>
        <v>Jaren Jackson Jr.</v>
      </c>
      <c r="C17" s="39">
        <f ca="1">VLOOKUP($A17,Valorisation!$A$5:$AF$224,4,0)</f>
        <v>29.49320681823076</v>
      </c>
      <c r="D17" s="31">
        <f ca="1">VLOOKUP($A17,Valorisation!$A$5:$AZ$224,35+COLUMN(D16)-4,0)*D$2</f>
        <v>0</v>
      </c>
      <c r="E17" s="31">
        <f ca="1">VLOOKUP($A17,Valorisation!$A$5:$AZ$224,35+COLUMN(E16)-4,0)*E$2</f>
        <v>1.1374207607420705</v>
      </c>
      <c r="F17" s="31">
        <f ca="1">VLOOKUP($A17,Valorisation!$A$5:$AZ$224,35+COLUMN(F16)-4,0)*F$2</f>
        <v>0.28347384774243561</v>
      </c>
      <c r="G17" s="31">
        <f ca="1">VLOOKUP($A17,Valorisation!$A$5:$AZ$224,35+COLUMN(G16)-4,0)*G$2</f>
        <v>0</v>
      </c>
      <c r="H17" s="31">
        <f ca="1">VLOOKUP($A17,Valorisation!$A$5:$AZ$224,35+COLUMN(H16)-4,0)*H$2</f>
        <v>-0.18488619127904382</v>
      </c>
      <c r="I17" s="31">
        <f ca="1">VLOOKUP($A17,Valorisation!$A$5:$AZ$224,35+COLUMN(I16)-4,0)*I$2</f>
        <v>2.3144278214653173</v>
      </c>
      <c r="J17" s="31">
        <f ca="1">VLOOKUP($A17,Valorisation!$A$5:$AZ$224,35+COLUMN(J16)-4,0)*J$2</f>
        <v>-0.32887850178240707</v>
      </c>
      <c r="K17" s="31">
        <f ca="1">VLOOKUP($A17,Valorisation!$A$5:$AZ$224,35+COLUMN(K16)-4,0)*K$2</f>
        <v>-0.16004983273424009</v>
      </c>
      <c r="L17" s="31">
        <f ca="1">SUM(D17:K17)</f>
        <v>3.0615079041541322</v>
      </c>
      <c r="M17" s="40">
        <f>VLOOKUP($A17,Valorisation!$A$5:$AF$224,8,0)</f>
        <v>1</v>
      </c>
      <c r="N17" s="31" t="str">
        <f>VLOOKUP($A17,Valorisation!$A$5:$AF$224,13,0)</f>
        <v>PF</v>
      </c>
    </row>
    <row r="18" spans="1:14">
      <c r="A18">
        <v>28</v>
      </c>
      <c r="B18" s="8" t="str">
        <f>VLOOKUP($A18,Valorisation!$A$5:$AF$224,2,0)</f>
        <v>O.G. Anunoby</v>
      </c>
      <c r="C18" s="39">
        <f ca="1">VLOOKUP($A18,Valorisation!$A$5:$AF$224,4,0)</f>
        <v>29.947595014835816</v>
      </c>
      <c r="D18" s="31">
        <f ca="1">VLOOKUP($A18,Valorisation!$A$5:$AZ$224,35+COLUMN(D17)-4,0)*D$2</f>
        <v>0</v>
      </c>
      <c r="E18" s="31">
        <f ca="1">VLOOKUP($A18,Valorisation!$A$5:$AZ$224,35+COLUMN(E17)-4,0)*E$2</f>
        <v>0.92842974543695955</v>
      </c>
      <c r="F18" s="31">
        <f ca="1">VLOOKUP($A18,Valorisation!$A$5:$AZ$224,35+COLUMN(F17)-4,0)*F$2</f>
        <v>1.5209756802103578E-2</v>
      </c>
      <c r="G18" s="31">
        <f ca="1">VLOOKUP($A18,Valorisation!$A$5:$AZ$224,35+COLUMN(G17)-4,0)*G$2</f>
        <v>0</v>
      </c>
      <c r="H18" s="31">
        <f ca="1">VLOOKUP($A18,Valorisation!$A$5:$AZ$224,35+COLUMN(H17)-4,0)*H$2</f>
        <v>2.0144803547195491</v>
      </c>
      <c r="I18" s="31">
        <f ca="1">VLOOKUP($A18,Valorisation!$A$5:$AZ$224,35+COLUMN(I17)-4,0)*I$2</f>
        <v>0.12089257709402558</v>
      </c>
      <c r="J18" s="31">
        <f ca="1">VLOOKUP($A18,Valorisation!$A$5:$AZ$224,35+COLUMN(J17)-4,0)*J$2</f>
        <v>4.1073771583859095E-2</v>
      </c>
      <c r="K18" s="31">
        <f ca="1">VLOOKUP($A18,Valorisation!$A$5:$AZ$224,35+COLUMN(K17)-4,0)*K$2</f>
        <v>-9.659404714818258E-2</v>
      </c>
      <c r="L18" s="31">
        <f ca="1">SUM(D18:K18)</f>
        <v>3.0234921584883141</v>
      </c>
      <c r="M18" s="40">
        <f>VLOOKUP($A18,Valorisation!$A$5:$AF$224,8,0)</f>
        <v>1</v>
      </c>
      <c r="N18" s="31" t="str">
        <f>VLOOKUP($A18,Valorisation!$A$5:$AF$224,13,0)</f>
        <v>SF/PF</v>
      </c>
    </row>
    <row r="19" spans="1:14">
      <c r="A19">
        <v>14</v>
      </c>
      <c r="B19" s="8" t="str">
        <f>VLOOKUP($A19,Valorisation!$A$5:$AF$224,2,0)</f>
        <v>Jimmy Butler</v>
      </c>
      <c r="C19" s="39">
        <f ca="1">VLOOKUP($A19,Valorisation!$A$5:$AF$224,4,0)</f>
        <v>42.843433089290059</v>
      </c>
      <c r="D19" s="31">
        <f ca="1">VLOOKUP($A19,Valorisation!$A$5:$AZ$224,35+COLUMN(D18)-4,0)*D$2</f>
        <v>0</v>
      </c>
      <c r="E19" s="31">
        <f ca="1">VLOOKUP($A19,Valorisation!$A$5:$AZ$224,35+COLUMN(E18)-4,0)*E$2</f>
        <v>-1.1574609095112354</v>
      </c>
      <c r="F19" s="31">
        <f ca="1">VLOOKUP($A19,Valorisation!$A$5:$AZ$224,35+COLUMN(F18)-4,0)*F$2</f>
        <v>0.51578061168009937</v>
      </c>
      <c r="G19" s="31">
        <f ca="1">VLOOKUP($A19,Valorisation!$A$5:$AZ$224,35+COLUMN(G18)-4,0)*G$2</f>
        <v>0</v>
      </c>
      <c r="H19" s="31">
        <f ca="1">VLOOKUP($A19,Valorisation!$A$5:$AZ$224,35+COLUMN(H18)-4,0)*H$2</f>
        <v>2.604195404523475</v>
      </c>
      <c r="I19" s="31">
        <f ca="1">VLOOKUP($A19,Valorisation!$A$5:$AZ$224,35+COLUMN(I18)-4,0)*I$2</f>
        <v>-0.59524186744533192</v>
      </c>
      <c r="J19" s="31">
        <f ca="1">VLOOKUP($A19,Valorisation!$A$5:$AZ$224,35+COLUMN(J18)-4,0)*J$2</f>
        <v>5.2683026868352488E-2</v>
      </c>
      <c r="K19" s="31">
        <f ca="1">VLOOKUP($A19,Valorisation!$A$5:$AZ$224,35+COLUMN(K18)-4,0)*K$2</f>
        <v>1.5833057054499251</v>
      </c>
      <c r="L19" s="31">
        <f ca="1">SUM(D19:K19)</f>
        <v>3.0032619715652844</v>
      </c>
      <c r="M19" s="40">
        <f>VLOOKUP($A19,Valorisation!$A$5:$AF$224,8,0)</f>
        <v>1</v>
      </c>
      <c r="N19" s="31" t="str">
        <f>VLOOKUP($A19,Valorisation!$A$5:$AF$224,13,0)</f>
        <v>SG/SF</v>
      </c>
    </row>
    <row r="20" spans="1:14">
      <c r="A20">
        <v>60</v>
      </c>
      <c r="B20" s="8" t="str">
        <f>VLOOKUP($A20,Valorisation!$A$5:$AF$224,2,0)</f>
        <v>Jonathan Isaac</v>
      </c>
      <c r="C20" s="39">
        <f ca="1">VLOOKUP($A20,Valorisation!$A$5:$AF$224,4,0)</f>
        <v>21.023865698136522</v>
      </c>
      <c r="D20" s="31">
        <f ca="1">VLOOKUP($A20,Valorisation!$A$5:$AZ$224,35+COLUMN(D19)-4,0)*D$2</f>
        <v>0</v>
      </c>
      <c r="E20" s="31">
        <f ca="1">VLOOKUP($A20,Valorisation!$A$5:$AZ$224,35+COLUMN(E19)-4,0)*E$2</f>
        <v>-0.72009442407540314</v>
      </c>
      <c r="F20" s="31">
        <f ca="1">VLOOKUP($A20,Valorisation!$A$5:$AZ$224,35+COLUMN(F19)-4,0)*F$2</f>
        <v>0.3499317413408381</v>
      </c>
      <c r="G20" s="31">
        <f ca="1">VLOOKUP($A20,Valorisation!$A$5:$AZ$224,35+COLUMN(G19)-4,0)*G$2</f>
        <v>0</v>
      </c>
      <c r="H20" s="31">
        <f ca="1">VLOOKUP($A20,Valorisation!$A$5:$AZ$224,35+COLUMN(H19)-4,0)*H$2</f>
        <v>1.2111385086133573</v>
      </c>
      <c r="I20" s="31">
        <f ca="1">VLOOKUP($A20,Valorisation!$A$5:$AZ$224,35+COLUMN(I19)-4,0)*I$2</f>
        <v>2.4872087503765461</v>
      </c>
      <c r="J20" s="31">
        <f ca="1">VLOOKUP($A20,Valorisation!$A$5:$AZ$224,35+COLUMN(J19)-4,0)*J$2</f>
        <v>-0.21745716956856306</v>
      </c>
      <c r="K20" s="31">
        <f ca="1">VLOOKUP($A20,Valorisation!$A$5:$AZ$224,35+COLUMN(K19)-4,0)*K$2</f>
        <v>-0.1125452275082361</v>
      </c>
      <c r="L20" s="31">
        <f ca="1">SUM(D20:K20)</f>
        <v>2.998182179178539</v>
      </c>
      <c r="M20" s="40">
        <f>VLOOKUP($A20,Valorisation!$A$5:$AF$224,8,0)</f>
        <v>1</v>
      </c>
      <c r="N20" s="31" t="str">
        <f>VLOOKUP($A20,Valorisation!$A$5:$AF$224,13,0)</f>
        <v>SF/PF</v>
      </c>
    </row>
    <row r="21" spans="1:14">
      <c r="A21">
        <v>6</v>
      </c>
      <c r="B21" s="8" t="str">
        <f>VLOOKUP($A21,Valorisation!$A$5:$AF$224,2,0)</f>
        <v>Damian Lillard</v>
      </c>
      <c r="C21" s="39">
        <f ca="1">VLOOKUP($A21,Valorisation!$A$5:$AF$224,4,0)</f>
        <v>51.31727178590674</v>
      </c>
      <c r="D21" s="31">
        <f ca="1">VLOOKUP($A21,Valorisation!$A$5:$AZ$224,35+COLUMN(D20)-4,0)*D$2</f>
        <v>0</v>
      </c>
      <c r="E21" s="31">
        <f ca="1">VLOOKUP($A21,Valorisation!$A$5:$AZ$224,35+COLUMN(E20)-4,0)*E$2</f>
        <v>2.1209803185201039</v>
      </c>
      <c r="F21" s="31">
        <f ca="1">VLOOKUP($A21,Valorisation!$A$5:$AZ$224,35+COLUMN(F20)-4,0)*F$2</f>
        <v>-0.64448077183033481</v>
      </c>
      <c r="G21" s="31">
        <f ca="1">VLOOKUP($A21,Valorisation!$A$5:$AZ$224,35+COLUMN(G20)-4,0)*G$2</f>
        <v>0</v>
      </c>
      <c r="H21" s="31">
        <f ca="1">VLOOKUP($A21,Valorisation!$A$5:$AZ$224,35+COLUMN(H20)-4,0)*H$2</f>
        <v>-0.25633151942712329</v>
      </c>
      <c r="I21" s="31">
        <f ca="1">VLOOKUP($A21,Valorisation!$A$5:$AZ$224,35+COLUMN(I20)-4,0)*I$2</f>
        <v>-0.81555989697918585</v>
      </c>
      <c r="J21" s="31">
        <f ca="1">VLOOKUP($A21,Valorisation!$A$5:$AZ$224,35+COLUMN(J20)-4,0)*J$2</f>
        <v>-0.47492376046765022</v>
      </c>
      <c r="K21" s="31">
        <f ca="1">VLOOKUP($A21,Valorisation!$A$5:$AZ$224,35+COLUMN(K20)-4,0)*K$2</f>
        <v>3.0288576060473291</v>
      </c>
      <c r="L21" s="31">
        <f ca="1">SUM(D21:K21)</f>
        <v>2.9585419758631386</v>
      </c>
      <c r="M21" s="40">
        <f>VLOOKUP($A21,Valorisation!$A$5:$AF$224,8,0)</f>
        <v>1</v>
      </c>
      <c r="N21" s="31" t="str">
        <f>VLOOKUP($A21,Valorisation!$A$5:$AF$224,13,0)</f>
        <v>PG</v>
      </c>
    </row>
    <row r="22" spans="1:14">
      <c r="A22">
        <v>12</v>
      </c>
      <c r="B22" s="8" t="str">
        <f>VLOOKUP($A22,Valorisation!$A$5:$AF$224,2,0)</f>
        <v>Paul George</v>
      </c>
      <c r="C22" s="39">
        <f ca="1">VLOOKUP($A22,Valorisation!$A$5:$AF$224,4,0)</f>
        <v>44.443833790097266</v>
      </c>
      <c r="D22" s="31">
        <f ca="1">VLOOKUP($A22,Valorisation!$A$5:$AZ$224,35+COLUMN(D21)-4,0)*D$2</f>
        <v>0</v>
      </c>
      <c r="E22" s="31">
        <f ca="1">VLOOKUP($A22,Valorisation!$A$5:$AZ$224,35+COLUMN(E21)-4,0)*E$2</f>
        <v>1.5121459842755609</v>
      </c>
      <c r="F22" s="31">
        <f ca="1">VLOOKUP($A22,Valorisation!$A$5:$AZ$224,35+COLUMN(F21)-4,0)*F$2</f>
        <v>0.48672065277140841</v>
      </c>
      <c r="G22" s="31">
        <f ca="1">VLOOKUP($A22,Valorisation!$A$5:$AZ$224,35+COLUMN(G21)-4,0)*G$2</f>
        <v>0</v>
      </c>
      <c r="H22" s="31">
        <f ca="1">VLOOKUP($A22,Valorisation!$A$5:$AZ$224,35+COLUMN(H21)-4,0)*H$2</f>
        <v>0.64762116580305806</v>
      </c>
      <c r="I22" s="31">
        <f ca="1">VLOOKUP($A22,Valorisation!$A$5:$AZ$224,35+COLUMN(I21)-4,0)*I$2</f>
        <v>-0.45969021646221742</v>
      </c>
      <c r="J22" s="31">
        <f ca="1">VLOOKUP($A22,Valorisation!$A$5:$AZ$224,35+COLUMN(J21)-4,0)*J$2</f>
        <v>-0.59367509732252488</v>
      </c>
      <c r="K22" s="31">
        <f ca="1">VLOOKUP($A22,Valorisation!$A$5:$AZ$224,35+COLUMN(K21)-4,0)*K$2</f>
        <v>1.2949949276419046</v>
      </c>
      <c r="L22" s="31">
        <f ca="1">SUM(D22:K22)</f>
        <v>2.8881174167071895</v>
      </c>
      <c r="M22" s="40">
        <f>VLOOKUP($A22,Valorisation!$A$5:$AF$224,8,0)</f>
        <v>1</v>
      </c>
      <c r="N22" s="31" t="str">
        <f>VLOOKUP($A22,Valorisation!$A$5:$AF$224,13,0)</f>
        <v>SG/SF</v>
      </c>
    </row>
    <row r="23" spans="1:14">
      <c r="A23">
        <v>19</v>
      </c>
      <c r="B23" s="8" t="str">
        <f>VLOOKUP($A23,Valorisation!$A$5:$AF$224,2,0)</f>
        <v>Bam Adebayo</v>
      </c>
      <c r="C23" s="39">
        <f ca="1">VLOOKUP($A23,Valorisation!$A$5:$AF$224,4,0)</f>
        <v>34.691326549174278</v>
      </c>
      <c r="D23" s="31">
        <f ca="1">VLOOKUP($A23,Valorisation!$A$5:$AZ$224,35+COLUMN(D22)-4,0)*D$2</f>
        <v>0</v>
      </c>
      <c r="E23" s="31">
        <f ca="1">VLOOKUP($A23,Valorisation!$A$5:$AZ$224,35+COLUMN(E22)-4,0)*E$2</f>
        <v>-1.7120096997355103</v>
      </c>
      <c r="F23" s="31">
        <f ca="1">VLOOKUP($A23,Valorisation!$A$5:$AZ$224,35+COLUMN(F22)-4,0)*F$2</f>
        <v>1.4444015817306401</v>
      </c>
      <c r="G23" s="31">
        <f ca="1">VLOOKUP($A23,Valorisation!$A$5:$AZ$224,35+COLUMN(G22)-4,0)*G$2</f>
        <v>0</v>
      </c>
      <c r="H23" s="31">
        <f ca="1">VLOOKUP($A23,Valorisation!$A$5:$AZ$224,35+COLUMN(H22)-4,0)*H$2</f>
        <v>0.83094231564825116</v>
      </c>
      <c r="I23" s="31">
        <f ca="1">VLOOKUP($A23,Valorisation!$A$5:$AZ$224,35+COLUMN(I22)-4,0)*I$2</f>
        <v>0.80917024681464367</v>
      </c>
      <c r="J23" s="31">
        <f ca="1">VLOOKUP($A23,Valorisation!$A$5:$AZ$224,35+COLUMN(J22)-4,0)*J$2</f>
        <v>1.7104744865032433</v>
      </c>
      <c r="K23" s="31">
        <f ca="1">VLOOKUP($A23,Valorisation!$A$5:$AZ$224,35+COLUMN(K22)-4,0)*K$2</f>
        <v>-0.27861893767404228</v>
      </c>
      <c r="L23" s="31">
        <f ca="1">SUM(D23:K23)</f>
        <v>2.8043599932872256</v>
      </c>
      <c r="M23" s="40">
        <f>VLOOKUP($A23,Valorisation!$A$5:$AF$224,8,0)</f>
        <v>1</v>
      </c>
      <c r="N23" s="31" t="str">
        <f>VLOOKUP($A23,Valorisation!$A$5:$AF$224,13,0)</f>
        <v>PF/C</v>
      </c>
    </row>
    <row r="24" spans="1:14">
      <c r="A24">
        <v>22</v>
      </c>
      <c r="B24" s="8" t="str">
        <f>VLOOKUP($A24,Valorisation!$A$5:$AF$224,2,0)</f>
        <v>Nikola Vucevic</v>
      </c>
      <c r="C24" s="39">
        <f ca="1">VLOOKUP($A24,Valorisation!$A$5:$AF$224,4,0)</f>
        <v>32.845521768200463</v>
      </c>
      <c r="D24" s="31">
        <f ca="1">VLOOKUP($A24,Valorisation!$A$5:$AZ$224,35+COLUMN(D23)-4,0)*D$2</f>
        <v>0</v>
      </c>
      <c r="E24" s="31">
        <f ca="1">VLOOKUP($A24,Valorisation!$A$5:$AZ$224,35+COLUMN(E23)-4,0)*E$2</f>
        <v>0.35019598612741554</v>
      </c>
      <c r="F24" s="31">
        <f ca="1">VLOOKUP($A24,Valorisation!$A$5:$AZ$224,35+COLUMN(F23)-4,0)*F$2</f>
        <v>2.6682502951325362</v>
      </c>
      <c r="G24" s="31">
        <f ca="1">VLOOKUP($A24,Valorisation!$A$5:$AZ$224,35+COLUMN(G23)-4,0)*G$2</f>
        <v>0</v>
      </c>
      <c r="H24" s="31">
        <f ca="1">VLOOKUP($A24,Valorisation!$A$5:$AZ$224,35+COLUMN(H23)-4,0)*H$2</f>
        <v>-0.41729958189351135</v>
      </c>
      <c r="I24" s="31">
        <f ca="1">VLOOKUP($A24,Valorisation!$A$5:$AZ$224,35+COLUMN(I23)-4,0)*I$2</f>
        <v>8.2360421651592824E-2</v>
      </c>
      <c r="J24" s="31">
        <f ca="1">VLOOKUP($A24,Valorisation!$A$5:$AZ$224,35+COLUMN(J23)-4,0)*J$2</f>
        <v>-0.208157974601928</v>
      </c>
      <c r="K24" s="31">
        <f ca="1">VLOOKUP($A24,Valorisation!$A$5:$AZ$224,35+COLUMN(K23)-4,0)*K$2</f>
        <v>0.2142288099183273</v>
      </c>
      <c r="L24" s="31">
        <f ca="1">SUM(D24:K24)</f>
        <v>2.6895779563344324</v>
      </c>
      <c r="M24" s="40">
        <f>VLOOKUP($A24,Valorisation!$A$5:$AF$224,8,0)</f>
        <v>1</v>
      </c>
      <c r="N24" s="31" t="str">
        <f>VLOOKUP($A24,Valorisation!$A$5:$AF$224,13,0)</f>
        <v>C</v>
      </c>
    </row>
    <row r="25" spans="1:14">
      <c r="A25">
        <v>16</v>
      </c>
      <c r="B25" s="8" t="str">
        <f>VLOOKUP($A25,Valorisation!$A$5:$AF$224,2,0)</f>
        <v>Fred VanVleet</v>
      </c>
      <c r="C25" s="39">
        <f ca="1">VLOOKUP($A25,Valorisation!$A$5:$AF$224,4,0)</f>
        <v>40.062632931277022</v>
      </c>
      <c r="D25" s="31">
        <f ca="1">VLOOKUP($A25,Valorisation!$A$5:$AZ$224,35+COLUMN(D24)-4,0)*D$2</f>
        <v>0</v>
      </c>
      <c r="E25" s="31">
        <f ca="1">VLOOKUP($A25,Valorisation!$A$5:$AZ$224,35+COLUMN(E24)-4,0)*E$2</f>
        <v>1.8328294917813825</v>
      </c>
      <c r="F25" s="31">
        <f ca="1">VLOOKUP($A25,Valorisation!$A$5:$AZ$224,35+COLUMN(F24)-4,0)*F$2</f>
        <v>-0.67619467903312103</v>
      </c>
      <c r="G25" s="31">
        <f ca="1">VLOOKUP($A25,Valorisation!$A$5:$AZ$224,35+COLUMN(G24)-4,0)*G$2</f>
        <v>0</v>
      </c>
      <c r="H25" s="31">
        <f ca="1">VLOOKUP($A25,Valorisation!$A$5:$AZ$224,35+COLUMN(H24)-4,0)*H$2</f>
        <v>2.4044110334168076</v>
      </c>
      <c r="I25" s="31">
        <f ca="1">VLOOKUP($A25,Valorisation!$A$5:$AZ$224,35+COLUMN(I24)-4,0)*I$2</f>
        <v>2.047633199415216E-2</v>
      </c>
      <c r="J25" s="31">
        <f ca="1">VLOOKUP($A25,Valorisation!$A$5:$AZ$224,35+COLUMN(J24)-4,0)*J$2</f>
        <v>-2.0273851253006465</v>
      </c>
      <c r="K25" s="31">
        <f ca="1">VLOOKUP($A25,Valorisation!$A$5:$AZ$224,35+COLUMN(K24)-4,0)*K$2</f>
        <v>1.1054199288026421</v>
      </c>
      <c r="L25" s="31">
        <f ca="1">SUM(D25:K25)</f>
        <v>2.6595569816612166</v>
      </c>
      <c r="M25" s="40">
        <f>VLOOKUP($A25,Valorisation!$A$5:$AF$224,8,0)</f>
        <v>1</v>
      </c>
      <c r="N25" s="31" t="str">
        <f>VLOOKUP($A25,Valorisation!$A$5:$AF$224,13,0)</f>
        <v>PG/SG</v>
      </c>
    </row>
    <row r="26" spans="1:14">
      <c r="A26">
        <v>33</v>
      </c>
      <c r="B26" s="8" t="str">
        <f>VLOOKUP($A26,Valorisation!$A$5:$AF$224,2,0)</f>
        <v>Kristaps Porzingis</v>
      </c>
      <c r="C26" s="39">
        <f ca="1">VLOOKUP($A26,Valorisation!$A$5:$AF$224,4,0)</f>
        <v>29.214658384976421</v>
      </c>
      <c r="D26" s="31">
        <f ca="1">VLOOKUP($A26,Valorisation!$A$5:$AZ$224,35+COLUMN(D25)-4,0)*D$2</f>
        <v>0</v>
      </c>
      <c r="E26" s="31">
        <f ca="1">VLOOKUP($A26,Valorisation!$A$5:$AZ$224,35+COLUMN(E25)-4,0)*E$2</f>
        <v>0.65427578264930175</v>
      </c>
      <c r="F26" s="31">
        <f ca="1">VLOOKUP($A26,Valorisation!$A$5:$AZ$224,35+COLUMN(F25)-4,0)*F$2</f>
        <v>1.5546168270872782</v>
      </c>
      <c r="G26" s="31">
        <f ca="1">VLOOKUP($A26,Valorisation!$A$5:$AZ$224,35+COLUMN(G25)-4,0)*G$2</f>
        <v>0</v>
      </c>
      <c r="H26" s="31">
        <f ca="1">VLOOKUP($A26,Valorisation!$A$5:$AZ$224,35+COLUMN(H25)-4,0)*H$2</f>
        <v>-1.4387055318713922</v>
      </c>
      <c r="I26" s="31">
        <f ca="1">VLOOKUP($A26,Valorisation!$A$5:$AZ$224,35+COLUMN(I25)-4,0)*I$2</f>
        <v>1.4909479688921827</v>
      </c>
      <c r="J26" s="31">
        <f ca="1">VLOOKUP($A26,Valorisation!$A$5:$AZ$224,35+COLUMN(J25)-4,0)*J$2</f>
        <v>-0.28964969560232523</v>
      </c>
      <c r="K26" s="31">
        <f ca="1">VLOOKUP($A26,Valorisation!$A$5:$AZ$224,35+COLUMN(K25)-4,0)*K$2</f>
        <v>0.64057095692143839</v>
      </c>
      <c r="L26" s="31">
        <f ca="1">SUM(D26:K26)</f>
        <v>2.6120563080764838</v>
      </c>
      <c r="M26" s="40">
        <f>VLOOKUP($A26,Valorisation!$A$5:$AF$224,8,0)</f>
        <v>1</v>
      </c>
      <c r="N26" s="31" t="str">
        <f>VLOOKUP($A26,Valorisation!$A$5:$AF$224,13,0)</f>
        <v>PF/C</v>
      </c>
    </row>
    <row r="27" spans="1:14">
      <c r="A27">
        <v>31</v>
      </c>
      <c r="B27" s="8" t="str">
        <f>VLOOKUP($A27,Valorisation!$A$5:$AF$224,2,0)</f>
        <v>Michael Porter Jr.</v>
      </c>
      <c r="C27" s="39">
        <f ca="1">VLOOKUP($A27,Valorisation!$A$5:$AF$224,4,0)</f>
        <v>29.567931254145829</v>
      </c>
      <c r="D27" s="31">
        <f ca="1">VLOOKUP($A27,Valorisation!$A$5:$AZ$224,35+COLUMN(D26)-4,0)*D$2</f>
        <v>0</v>
      </c>
      <c r="E27" s="31">
        <f ca="1">VLOOKUP($A27,Valorisation!$A$5:$AZ$224,35+COLUMN(E26)-4,0)*E$2</f>
        <v>1.5430109948931228</v>
      </c>
      <c r="F27" s="31">
        <f ca="1">VLOOKUP($A27,Valorisation!$A$5:$AZ$224,35+COLUMN(F26)-4,0)*F$2</f>
        <v>0.91439774597065426</v>
      </c>
      <c r="G27" s="31">
        <f ca="1">VLOOKUP($A27,Valorisation!$A$5:$AZ$224,35+COLUMN(G26)-4,0)*G$2</f>
        <v>0</v>
      </c>
      <c r="H27" s="31">
        <f ca="1">VLOOKUP($A27,Valorisation!$A$5:$AZ$224,35+COLUMN(H26)-4,0)*H$2</f>
        <v>-1.2024963165321874</v>
      </c>
      <c r="I27" s="31">
        <f ca="1">VLOOKUP($A27,Valorisation!$A$5:$AZ$224,35+COLUMN(I26)-4,0)*I$2</f>
        <v>0.26866946313385753</v>
      </c>
      <c r="J27" s="31">
        <f ca="1">VLOOKUP($A27,Valorisation!$A$5:$AZ$224,35+COLUMN(J26)-4,0)*J$2</f>
        <v>1.16920776301359</v>
      </c>
      <c r="K27" s="31">
        <f ca="1">VLOOKUP($A27,Valorisation!$A$5:$AZ$224,35+COLUMN(K26)-4,0)*K$2</f>
        <v>-8.374703868555998E-2</v>
      </c>
      <c r="L27" s="31">
        <f ca="1">SUM(D27:K27)</f>
        <v>2.6090426117934773</v>
      </c>
      <c r="M27" s="40">
        <f>VLOOKUP($A27,Valorisation!$A$5:$AF$224,8,0)</f>
        <v>1</v>
      </c>
      <c r="N27" s="31" t="str">
        <f>VLOOKUP($A27,Valorisation!$A$5:$AF$224,13,0)</f>
        <v>SF/PF</v>
      </c>
    </row>
    <row r="28" spans="1:14">
      <c r="A28">
        <v>66</v>
      </c>
      <c r="B28" s="8" t="str">
        <f>VLOOKUP($A28,Valorisation!$A$5:$AF$224,2,0)</f>
        <v>Clint Capela</v>
      </c>
      <c r="C28" s="39">
        <f ca="1">VLOOKUP($A28,Valorisation!$A$5:$AF$224,4,0)</f>
        <v>19.509039841755694</v>
      </c>
      <c r="D28" s="31">
        <f ca="1">VLOOKUP($A28,Valorisation!$A$5:$AZ$224,35+COLUMN(D27)-4,0)*D$2</f>
        <v>0</v>
      </c>
      <c r="E28" s="31">
        <f ca="1">VLOOKUP($A28,Valorisation!$A$5:$AZ$224,35+COLUMN(E27)-4,0)*E$2</f>
        <v>-1.7120096997355103</v>
      </c>
      <c r="F28" s="31">
        <f ca="1">VLOOKUP($A28,Valorisation!$A$5:$AZ$224,35+COLUMN(F27)-4,0)*F$2</f>
        <v>3.6616147458474493</v>
      </c>
      <c r="G28" s="31">
        <f ca="1">VLOOKUP($A28,Valorisation!$A$5:$AZ$224,35+COLUMN(G27)-4,0)*G$2</f>
        <v>0</v>
      </c>
      <c r="H28" s="31">
        <f ca="1">VLOOKUP($A28,Valorisation!$A$5:$AZ$224,35+COLUMN(H27)-4,0)*H$2</f>
        <v>-0.89029450904410146</v>
      </c>
      <c r="I28" s="31">
        <f ca="1">VLOOKUP($A28,Valorisation!$A$5:$AZ$224,35+COLUMN(I27)-4,0)*I$2</f>
        <v>2.4486618649563177</v>
      </c>
      <c r="J28" s="31">
        <f ca="1">VLOOKUP($A28,Valorisation!$A$5:$AZ$224,35+COLUMN(J27)-4,0)*J$2</f>
        <v>1.8762407000507537</v>
      </c>
      <c r="K28" s="31">
        <f ca="1">VLOOKUP($A28,Valorisation!$A$5:$AZ$224,35+COLUMN(K27)-4,0)*K$2</f>
        <v>-2.822651043853178</v>
      </c>
      <c r="L28" s="31">
        <f ca="1">SUM(D28:K28)</f>
        <v>2.5615620582217304</v>
      </c>
      <c r="M28" s="40">
        <f>VLOOKUP($A28,Valorisation!$A$5:$AF$224,8,0)</f>
        <v>1</v>
      </c>
      <c r="N28" s="31" t="str">
        <f>VLOOKUP($A28,Valorisation!$A$5:$AF$224,13,0)</f>
        <v>C</v>
      </c>
    </row>
    <row r="29" spans="1:14">
      <c r="A29">
        <v>67</v>
      </c>
      <c r="B29" s="8" t="str">
        <f>VLOOKUP($A29,Valorisation!$A$5:$AF$224,2,0)</f>
        <v>Isaiah Stewart</v>
      </c>
      <c r="C29" s="39">
        <f ca="1">VLOOKUP($A29,Valorisation!$A$5:$AF$224,4,0)</f>
        <v>18.713814455836697</v>
      </c>
      <c r="D29" s="31">
        <f ca="1">VLOOKUP($A29,Valorisation!$A$5:$AZ$224,35+COLUMN(D28)-4,0)*D$2</f>
        <v>0</v>
      </c>
      <c r="E29" s="31">
        <f ca="1">VLOOKUP($A29,Valorisation!$A$5:$AZ$224,35+COLUMN(E28)-4,0)*E$2</f>
        <v>-1.0735917952120082</v>
      </c>
      <c r="F29" s="31">
        <f ca="1">VLOOKUP($A29,Valorisation!$A$5:$AZ$224,35+COLUMN(F28)-4,0)*F$2</f>
        <v>1.4276245147698481</v>
      </c>
      <c r="G29" s="31">
        <f ca="1">VLOOKUP($A29,Valorisation!$A$5:$AZ$224,35+COLUMN(G28)-4,0)*G$2</f>
        <v>0</v>
      </c>
      <c r="H29" s="31">
        <f ca="1">VLOOKUP($A29,Valorisation!$A$5:$AZ$224,35+COLUMN(H28)-4,0)*H$2</f>
        <v>-0.65082538771760878</v>
      </c>
      <c r="I29" s="31">
        <f ca="1">VLOOKUP($A29,Valorisation!$A$5:$AZ$224,35+COLUMN(I28)-4,0)*I$2</f>
        <v>2.0999522824113503</v>
      </c>
      <c r="J29" s="31">
        <f ca="1">VLOOKUP($A29,Valorisation!$A$5:$AZ$224,35+COLUMN(J28)-4,0)*J$2</f>
        <v>1.0285198535870561</v>
      </c>
      <c r="K29" s="31">
        <f ca="1">VLOOKUP($A29,Valorisation!$A$5:$AZ$224,35+COLUMN(K28)-4,0)*K$2</f>
        <v>-0.27012857871828971</v>
      </c>
      <c r="L29" s="31">
        <f ca="1">SUM(D29:K29)</f>
        <v>2.5615508891203476</v>
      </c>
      <c r="M29" s="40">
        <f>VLOOKUP($A29,Valorisation!$A$5:$AF$224,8,0)</f>
        <v>1</v>
      </c>
      <c r="N29" s="31" t="str">
        <f>VLOOKUP($A29,Valorisation!$A$5:$AF$224,13,0)</f>
        <v>PF/C</v>
      </c>
    </row>
    <row r="30" spans="1:14">
      <c r="A30">
        <v>53</v>
      </c>
      <c r="B30" s="8" t="str">
        <f>VLOOKUP($A30,Valorisation!$A$5:$AF$224,2,0)</f>
        <v>Richaun Holmes</v>
      </c>
      <c r="C30" s="39">
        <f ca="1">VLOOKUP($A30,Valorisation!$A$5:$AF$224,4,0)</f>
        <v>23.056343534706464</v>
      </c>
      <c r="D30" s="31">
        <f ca="1">VLOOKUP($A30,Valorisation!$A$5:$AZ$224,35+COLUMN(D29)-4,0)*D$2</f>
        <v>0</v>
      </c>
      <c r="E30" s="31">
        <f ca="1">VLOOKUP($A30,Valorisation!$A$5:$AZ$224,35+COLUMN(E29)-4,0)*E$2</f>
        <v>-1.7120096997355103</v>
      </c>
      <c r="F30" s="31">
        <f ca="1">VLOOKUP($A30,Valorisation!$A$5:$AZ$224,35+COLUMN(F29)-4,0)*F$2</f>
        <v>1.2649560953887222</v>
      </c>
      <c r="G30" s="31">
        <f ca="1">VLOOKUP($A30,Valorisation!$A$5:$AZ$224,35+COLUMN(G29)-4,0)*G$2</f>
        <v>0</v>
      </c>
      <c r="H30" s="31">
        <f ca="1">VLOOKUP($A30,Valorisation!$A$5:$AZ$224,35+COLUMN(H29)-4,0)*H$2</f>
        <v>-1.122825952175692</v>
      </c>
      <c r="I30" s="31">
        <f ca="1">VLOOKUP($A30,Valorisation!$A$5:$AZ$224,35+COLUMN(I29)-4,0)*I$2</f>
        <v>1.5803967836437973</v>
      </c>
      <c r="J30" s="31">
        <f ca="1">VLOOKUP($A30,Valorisation!$A$5:$AZ$224,35+COLUMN(J29)-4,0)*J$2</f>
        <v>2.6020092909212944</v>
      </c>
      <c r="K30" s="31">
        <f ca="1">VLOOKUP($A30,Valorisation!$A$5:$AZ$224,35+COLUMN(K29)-4,0)*K$2</f>
        <v>-0.10660056782666336</v>
      </c>
      <c r="L30" s="31">
        <f ca="1">SUM(D30:K30)</f>
        <v>2.5059259502159481</v>
      </c>
      <c r="M30" s="40">
        <f>VLOOKUP($A30,Valorisation!$A$5:$AF$224,8,0)</f>
        <v>1</v>
      </c>
      <c r="N30" s="31" t="str">
        <f>VLOOKUP($A30,Valorisation!$A$5:$AF$224,13,0)</f>
        <v>PF/C</v>
      </c>
    </row>
    <row r="31" spans="1:14">
      <c r="A31">
        <v>8</v>
      </c>
      <c r="B31" s="8" t="str">
        <f>VLOOKUP($A31,Valorisation!$A$5:$AF$224,2,0)</f>
        <v>Bradley Beal</v>
      </c>
      <c r="C31" s="39">
        <f ca="1">VLOOKUP($A31,Valorisation!$A$5:$AF$224,4,0)</f>
        <v>47.688362113664958</v>
      </c>
      <c r="D31" s="31">
        <f ca="1">VLOOKUP($A31,Valorisation!$A$5:$AZ$224,35+COLUMN(D30)-4,0)*D$2</f>
        <v>0</v>
      </c>
      <c r="E31" s="31">
        <f ca="1">VLOOKUP($A31,Valorisation!$A$5:$AZ$224,35+COLUMN(E30)-4,0)*E$2</f>
        <v>0.77238693567734773</v>
      </c>
      <c r="F31" s="31">
        <f ca="1">VLOOKUP($A31,Valorisation!$A$5:$AZ$224,35+COLUMN(F30)-4,0)*F$2</f>
        <v>-0.50967082970206301</v>
      </c>
      <c r="G31" s="31">
        <f ca="1">VLOOKUP($A31,Valorisation!$A$5:$AZ$224,35+COLUMN(G30)-4,0)*G$2</f>
        <v>0</v>
      </c>
      <c r="H31" s="31">
        <f ca="1">VLOOKUP($A31,Valorisation!$A$5:$AZ$224,35+COLUMN(H30)-4,0)*H$2</f>
        <v>0.6129884954935696</v>
      </c>
      <c r="I31" s="31">
        <f ca="1">VLOOKUP($A31,Valorisation!$A$5:$AZ$224,35+COLUMN(I30)-4,0)*I$2</f>
        <v>-0.65415164468390963</v>
      </c>
      <c r="J31" s="31">
        <f ca="1">VLOOKUP($A31,Valorisation!$A$5:$AZ$224,35+COLUMN(J30)-4,0)*J$2</f>
        <v>-4.5579240830052508E-3</v>
      </c>
      <c r="K31" s="31">
        <f ca="1">VLOOKUP($A31,Valorisation!$A$5:$AZ$224,35+COLUMN(K30)-4,0)*K$2</f>
        <v>2.2625268393010711</v>
      </c>
      <c r="L31" s="31">
        <f ca="1">SUM(D31:K31)</f>
        <v>2.4795218720030103</v>
      </c>
      <c r="M31" s="40">
        <f>VLOOKUP($A31,Valorisation!$A$5:$AF$224,8,0)</f>
        <v>1</v>
      </c>
      <c r="N31" s="31" t="str">
        <f>VLOOKUP($A31,Valorisation!$A$5:$AF$224,13,0)</f>
        <v>SG</v>
      </c>
    </row>
    <row r="32" spans="1:14">
      <c r="A32">
        <v>11</v>
      </c>
      <c r="B32" s="8" t="str">
        <f>VLOOKUP($A32,Valorisation!$A$5:$AF$224,2,0)</f>
        <v>Giannis Antetokounmpo</v>
      </c>
      <c r="C32" s="39">
        <f ca="1">VLOOKUP($A32,Valorisation!$A$5:$AF$224,4,0)</f>
        <v>44.736677658422131</v>
      </c>
      <c r="D32" s="31">
        <f ca="1">VLOOKUP($A32,Valorisation!$A$5:$AZ$224,35+COLUMN(D31)-4,0)*D$2</f>
        <v>0</v>
      </c>
      <c r="E32" s="31">
        <f ca="1">VLOOKUP($A32,Valorisation!$A$5:$AZ$224,35+COLUMN(E31)-4,0)*E$2</f>
        <v>-0.62573816536844207</v>
      </c>
      <c r="F32" s="31">
        <f ca="1">VLOOKUP($A32,Valorisation!$A$5:$AZ$224,35+COLUMN(F31)-4,0)*F$2</f>
        <v>2.3663915612216999</v>
      </c>
      <c r="G32" s="31">
        <f ca="1">VLOOKUP($A32,Valorisation!$A$5:$AZ$224,35+COLUMN(G31)-4,0)*G$2</f>
        <v>0</v>
      </c>
      <c r="H32" s="31">
        <f ca="1">VLOOKUP($A32,Valorisation!$A$5:$AZ$224,35+COLUMN(H31)-4,0)*H$2</f>
        <v>0.49426180150257326</v>
      </c>
      <c r="I32" s="31">
        <f ca="1">VLOOKUP($A32,Valorisation!$A$5:$AZ$224,35+COLUMN(I31)-4,0)*I$2</f>
        <v>1.0020911547304536</v>
      </c>
      <c r="J32" s="31">
        <f ca="1">VLOOKUP($A32,Valorisation!$A$5:$AZ$224,35+COLUMN(J31)-4,0)*J$2</f>
        <v>2.7510097295969782</v>
      </c>
      <c r="K32" s="31">
        <f ca="1">VLOOKUP($A32,Valorisation!$A$5:$AZ$224,35+COLUMN(K31)-4,0)*K$2</f>
        <v>-3.5244971684074273</v>
      </c>
      <c r="L32" s="31">
        <f ca="1">SUM(D32:K32)</f>
        <v>2.4635189132758355</v>
      </c>
      <c r="M32" s="40">
        <f>VLOOKUP($A32,Valorisation!$A$5:$AF$224,8,0)</f>
        <v>1</v>
      </c>
      <c r="N32" s="31" t="str">
        <f>VLOOKUP($A32,Valorisation!$A$5:$AF$224,13,0)</f>
        <v>PF</v>
      </c>
    </row>
    <row r="33" spans="1:14">
      <c r="A33">
        <v>39</v>
      </c>
      <c r="B33" s="8" t="str">
        <f>VLOOKUP($A33,Valorisation!$A$5:$AF$224,2,0)</f>
        <v>Jusuf Nurkic</v>
      </c>
      <c r="C33" s="39">
        <f ca="1">VLOOKUP($A33,Valorisation!$A$5:$AF$224,4,0)</f>
        <v>27.841549322282471</v>
      </c>
      <c r="D33" s="31">
        <f ca="1">VLOOKUP($A33,Valorisation!$A$5:$AZ$224,35+COLUMN(D32)-4,0)*D$2</f>
        <v>0</v>
      </c>
      <c r="E33" s="31">
        <f ca="1">VLOOKUP($A33,Valorisation!$A$5:$AZ$224,35+COLUMN(E32)-4,0)*E$2</f>
        <v>-1.3724505210158848</v>
      </c>
      <c r="F33" s="31">
        <f ca="1">VLOOKUP($A33,Valorisation!$A$5:$AZ$224,35+COLUMN(F32)-4,0)*F$2</f>
        <v>2.4096465461904812</v>
      </c>
      <c r="G33" s="31">
        <f ca="1">VLOOKUP($A33,Valorisation!$A$5:$AZ$224,35+COLUMN(G32)-4,0)*G$2</f>
        <v>0</v>
      </c>
      <c r="H33" s="31">
        <f ca="1">VLOOKUP($A33,Valorisation!$A$5:$AZ$224,35+COLUMN(H32)-4,0)*H$2</f>
        <v>0.54335363325709518</v>
      </c>
      <c r="I33" s="31">
        <f ca="1">VLOOKUP($A33,Valorisation!$A$5:$AZ$224,35+COLUMN(I32)-4,0)*I$2</f>
        <v>1.2353531899569319</v>
      </c>
      <c r="J33" s="31">
        <f ca="1">VLOOKUP($A33,Valorisation!$A$5:$AZ$224,35+COLUMN(J32)-4,0)*J$2</f>
        <v>0.59562800648462466</v>
      </c>
      <c r="K33" s="31">
        <f ca="1">VLOOKUP($A33,Valorisation!$A$5:$AZ$224,35+COLUMN(K32)-4,0)*K$2</f>
        <v>-0.99670237385585514</v>
      </c>
      <c r="L33" s="31">
        <f ca="1">SUM(D33:K33)</f>
        <v>2.4148284810173934</v>
      </c>
      <c r="M33" s="40">
        <f>VLOOKUP($A33,Valorisation!$A$5:$AF$224,8,0)</f>
        <v>1</v>
      </c>
      <c r="N33" s="31" t="str">
        <f>VLOOKUP($A33,Valorisation!$A$5:$AF$224,13,0)</f>
        <v>C</v>
      </c>
    </row>
    <row r="34" spans="1:14">
      <c r="A34">
        <v>92</v>
      </c>
      <c r="B34" s="8" t="str">
        <f>VLOOKUP($A34,Valorisation!$A$5:$AF$224,2,0)</f>
        <v>Matisse Thybulle</v>
      </c>
      <c r="C34" s="39">
        <f ca="1">VLOOKUP($A34,Valorisation!$A$5:$AF$224,4,0)</f>
        <v>10.999918722134488</v>
      </c>
      <c r="D34" s="31">
        <f ca="1">VLOOKUP($A34,Valorisation!$A$5:$AZ$224,35+COLUMN(D33)-4,0)*D$2</f>
        <v>0</v>
      </c>
      <c r="E34" s="31">
        <f ca="1">VLOOKUP($A34,Valorisation!$A$5:$AZ$224,35+COLUMN(E33)-4,0)*E$2</f>
        <v>-0.81337791867922282</v>
      </c>
      <c r="F34" s="31">
        <f ca="1">VLOOKUP($A34,Valorisation!$A$5:$AZ$224,35+COLUMN(F33)-4,0)*F$2</f>
        <v>-1.265558622922722</v>
      </c>
      <c r="G34" s="31">
        <f ca="1">VLOOKUP($A34,Valorisation!$A$5:$AZ$224,35+COLUMN(G33)-4,0)*G$2</f>
        <v>0</v>
      </c>
      <c r="H34" s="31">
        <f ca="1">VLOOKUP($A34,Valorisation!$A$5:$AZ$224,35+COLUMN(H33)-4,0)*H$2</f>
        <v>3.4793419603311788</v>
      </c>
      <c r="I34" s="31">
        <f ca="1">VLOOKUP($A34,Valorisation!$A$5:$AZ$224,35+COLUMN(I33)-4,0)*I$2</f>
        <v>1.3825059104848993</v>
      </c>
      <c r="J34" s="31">
        <f ca="1">VLOOKUP($A34,Valorisation!$A$5:$AZ$224,35+COLUMN(J33)-4,0)*J$2</f>
        <v>-0.26438362326025355</v>
      </c>
      <c r="K34" s="31">
        <f ca="1">VLOOKUP($A34,Valorisation!$A$5:$AZ$224,35+COLUMN(K33)-4,0)*K$2</f>
        <v>-0.27355023754251101</v>
      </c>
      <c r="L34" s="31">
        <f ca="1">SUM(D34:K34)</f>
        <v>2.2449774684113688</v>
      </c>
      <c r="M34" s="40">
        <f>VLOOKUP($A34,Valorisation!$A$5:$AF$224,8,0)</f>
        <v>1</v>
      </c>
      <c r="N34" s="31" t="str">
        <f>VLOOKUP($A34,Valorisation!$A$5:$AF$224,13,0)</f>
        <v>SG/SF</v>
      </c>
    </row>
    <row r="35" spans="1:14">
      <c r="A35">
        <v>62</v>
      </c>
      <c r="B35" s="8" t="str">
        <f>VLOOKUP($A35,Valorisation!$A$5:$AF$224,2,0)</f>
        <v>Jonas Valanciunas</v>
      </c>
      <c r="C35" s="39">
        <f ca="1">VLOOKUP($A35,Valorisation!$A$5:$AF$224,4,0)</f>
        <v>20.550468127416234</v>
      </c>
      <c r="D35" s="31">
        <f ca="1">VLOOKUP($A35,Valorisation!$A$5:$AZ$224,35+COLUMN(D34)-4,0)*D$2</f>
        <v>0</v>
      </c>
      <c r="E35" s="31">
        <f ca="1">VLOOKUP($A35,Valorisation!$A$5:$AZ$224,35+COLUMN(E34)-4,0)*E$2</f>
        <v>-1.3656229079033768</v>
      </c>
      <c r="F35" s="31">
        <f ca="1">VLOOKUP($A35,Valorisation!$A$5:$AZ$224,35+COLUMN(F34)-4,0)*F$2</f>
        <v>2.6837042657524641</v>
      </c>
      <c r="G35" s="31">
        <f ca="1">VLOOKUP($A35,Valorisation!$A$5:$AZ$224,35+COLUMN(G34)-4,0)*G$2</f>
        <v>0</v>
      </c>
      <c r="H35" s="31">
        <f ca="1">VLOOKUP($A35,Valorisation!$A$5:$AZ$224,35+COLUMN(H34)-4,0)*H$2</f>
        <v>-1.3986412402810424</v>
      </c>
      <c r="I35" s="31">
        <f ca="1">VLOOKUP($A35,Valorisation!$A$5:$AZ$224,35+COLUMN(I34)-4,0)*I$2</f>
        <v>0.56887280374236626</v>
      </c>
      <c r="J35" s="31">
        <f ca="1">VLOOKUP($A35,Valorisation!$A$5:$AZ$224,35+COLUMN(J34)-4,0)*J$2</f>
        <v>1.8739158214435911</v>
      </c>
      <c r="K35" s="31">
        <f ca="1">VLOOKUP($A35,Valorisation!$A$5:$AZ$224,35+COLUMN(K34)-4,0)*K$2</f>
        <v>-0.23198036755054166</v>
      </c>
      <c r="L35" s="31">
        <f ca="1">SUM(D35:K35)</f>
        <v>2.1302483752034607</v>
      </c>
      <c r="M35" s="40">
        <f>VLOOKUP($A35,Valorisation!$A$5:$AF$224,8,0)</f>
        <v>1</v>
      </c>
      <c r="N35" s="31" t="str">
        <f>VLOOKUP($A35,Valorisation!$A$5:$AF$224,13,0)</f>
        <v>C</v>
      </c>
    </row>
    <row r="36" spans="1:14">
      <c r="A36">
        <v>84</v>
      </c>
      <c r="B36" s="8" t="str">
        <f>VLOOKUP($A36,Valorisation!$A$5:$AF$224,2,0)</f>
        <v>Robert Covington</v>
      </c>
      <c r="C36" s="39">
        <f ca="1">VLOOKUP($A36,Valorisation!$A$5:$AF$224,4,0)</f>
        <v>13.689869965817692</v>
      </c>
      <c r="D36" s="31">
        <f ca="1">VLOOKUP($A36,Valorisation!$A$5:$AZ$224,35+COLUMN(D35)-4,0)*D$2</f>
        <v>0</v>
      </c>
      <c r="E36" s="31">
        <f ca="1">VLOOKUP($A36,Valorisation!$A$5:$AZ$224,35+COLUMN(E35)-4,0)*E$2</f>
        <v>0.15398417961367725</v>
      </c>
      <c r="F36" s="31">
        <f ca="1">VLOOKUP($A36,Valorisation!$A$5:$AZ$224,35+COLUMN(F35)-4,0)*F$2</f>
        <v>0.42864643911426215</v>
      </c>
      <c r="G36" s="31">
        <f ca="1">VLOOKUP($A36,Valorisation!$A$5:$AZ$224,35+COLUMN(G35)-4,0)*G$2</f>
        <v>0</v>
      </c>
      <c r="H36" s="31">
        <f ca="1">VLOOKUP($A36,Valorisation!$A$5:$AZ$224,35+COLUMN(H35)-4,0)*H$2</f>
        <v>1.3560938975045951</v>
      </c>
      <c r="I36" s="31">
        <f ca="1">VLOOKUP($A36,Valorisation!$A$5:$AZ$224,35+COLUMN(I35)-4,0)*I$2</f>
        <v>0.8716040235645407</v>
      </c>
      <c r="J36" s="31">
        <f ca="1">VLOOKUP($A36,Valorisation!$A$5:$AZ$224,35+COLUMN(J35)-4,0)*J$2</f>
        <v>-0.61739517649238818</v>
      </c>
      <c r="K36" s="31">
        <f ca="1">VLOOKUP($A36,Valorisation!$A$5:$AZ$224,35+COLUMN(K35)-4,0)*K$2</f>
        <v>-7.6460855346004455E-2</v>
      </c>
      <c r="L36" s="31">
        <f ca="1">SUM(D36:K36)</f>
        <v>2.1164725079586821</v>
      </c>
      <c r="M36" s="40">
        <f>VLOOKUP($A36,Valorisation!$A$5:$AF$224,8,0)</f>
        <v>1</v>
      </c>
      <c r="N36" s="31" t="str">
        <f>VLOOKUP($A36,Valorisation!$A$5:$AF$224,13,0)</f>
        <v>SF/PF</v>
      </c>
    </row>
    <row r="37" spans="1:14">
      <c r="A37">
        <v>45</v>
      </c>
      <c r="B37" s="8" t="str">
        <f>VLOOKUP($A37,Valorisation!$A$5:$AF$224,2,0)</f>
        <v>Christian Wood</v>
      </c>
      <c r="C37" s="39">
        <f ca="1">VLOOKUP($A37,Valorisation!$A$5:$AF$224,4,0)</f>
        <v>27.10052089097324</v>
      </c>
      <c r="D37" s="31">
        <f ca="1">VLOOKUP($A37,Valorisation!$A$5:$AZ$224,35+COLUMN(D36)-4,0)*D$2</f>
        <v>0</v>
      </c>
      <c r="E37" s="31">
        <f ca="1">VLOOKUP($A37,Valorisation!$A$5:$AZ$224,35+COLUMN(E36)-4,0)*E$2</f>
        <v>0.27015123018993731</v>
      </c>
      <c r="F37" s="31">
        <f ca="1">VLOOKUP($A37,Valorisation!$A$5:$AZ$224,35+COLUMN(F36)-4,0)*F$2</f>
        <v>1.603959572857113</v>
      </c>
      <c r="G37" s="31">
        <f ca="1">VLOOKUP($A37,Valorisation!$A$5:$AZ$224,35+COLUMN(G36)-4,0)*G$2</f>
        <v>0</v>
      </c>
      <c r="H37" s="31">
        <f ca="1">VLOOKUP($A37,Valorisation!$A$5:$AZ$224,35+COLUMN(H36)-4,0)*H$2</f>
        <v>-0.52775531882535953</v>
      </c>
      <c r="I37" s="31">
        <f ca="1">VLOOKUP($A37,Valorisation!$A$5:$AZ$224,35+COLUMN(I36)-4,0)*I$2</f>
        <v>0.91329253904764718</v>
      </c>
      <c r="J37" s="31">
        <f ca="1">VLOOKUP($A37,Valorisation!$A$5:$AZ$224,35+COLUMN(J36)-4,0)*J$2</f>
        <v>1.1088536961661701</v>
      </c>
      <c r="K37" s="31">
        <f ca="1">VLOOKUP($A37,Valorisation!$A$5:$AZ$224,35+COLUMN(K36)-4,0)*K$2</f>
        <v>-1.2824895132782912</v>
      </c>
      <c r="L37" s="31">
        <f ca="1">SUM(D37:K37)</f>
        <v>2.0860122061572168</v>
      </c>
      <c r="M37" s="40">
        <f>VLOOKUP($A37,Valorisation!$A$5:$AF$224,8,0)</f>
        <v>1</v>
      </c>
      <c r="N37" s="31" t="str">
        <f>VLOOKUP($A37,Valorisation!$A$5:$AF$224,13,0)</f>
        <v>PF/C</v>
      </c>
    </row>
    <row r="38" spans="1:14">
      <c r="A38">
        <v>17</v>
      </c>
      <c r="B38" s="8" t="str">
        <f>VLOOKUP($A38,Valorisation!$A$5:$AF$224,2,0)</f>
        <v>Zach LaVine</v>
      </c>
      <c r="C38" s="39">
        <f ca="1">VLOOKUP($A38,Valorisation!$A$5:$AF$224,4,0)</f>
        <v>37.431811709043643</v>
      </c>
      <c r="D38" s="31">
        <f ca="1">VLOOKUP($A38,Valorisation!$A$5:$AZ$224,35+COLUMN(D37)-4,0)*D$2</f>
        <v>0</v>
      </c>
      <c r="E38" s="31">
        <f ca="1">VLOOKUP($A38,Valorisation!$A$5:$AZ$224,35+COLUMN(E37)-4,0)*E$2</f>
        <v>1.6555351982689985</v>
      </c>
      <c r="F38" s="31">
        <f ca="1">VLOOKUP($A38,Valorisation!$A$5:$AZ$224,35+COLUMN(F37)-4,0)*F$2</f>
        <v>-0.29262553865935603</v>
      </c>
      <c r="G38" s="31">
        <f ca="1">VLOOKUP($A38,Valorisation!$A$5:$AZ$224,35+COLUMN(G37)-4,0)*G$2</f>
        <v>0</v>
      </c>
      <c r="H38" s="31">
        <f ca="1">VLOOKUP($A38,Valorisation!$A$5:$AZ$224,35+COLUMN(H37)-4,0)*H$2</f>
        <v>-0.10165382916070491</v>
      </c>
      <c r="I38" s="31">
        <f ca="1">VLOOKUP($A38,Valorisation!$A$5:$AZ$224,35+COLUMN(I37)-4,0)*I$2</f>
        <v>-0.42079479503866513</v>
      </c>
      <c r="J38" s="31">
        <f ca="1">VLOOKUP($A38,Valorisation!$A$5:$AZ$224,35+COLUMN(J37)-4,0)*J$2</f>
        <v>0.60166560510671196</v>
      </c>
      <c r="K38" s="31">
        <f ca="1">VLOOKUP($A38,Valorisation!$A$5:$AZ$224,35+COLUMN(K37)-4,0)*K$2</f>
        <v>0.63128132638626189</v>
      </c>
      <c r="L38" s="31">
        <f ca="1">SUM(D38:K38)</f>
        <v>2.0734079669032464</v>
      </c>
      <c r="M38" s="40">
        <f>VLOOKUP($A38,Valorisation!$A$5:$AF$224,8,0)</f>
        <v>1</v>
      </c>
      <c r="N38" s="31" t="str">
        <f>VLOOKUP($A38,Valorisation!$A$5:$AF$224,13,0)</f>
        <v>SG</v>
      </c>
    </row>
    <row r="39" spans="1:14">
      <c r="A39">
        <v>64</v>
      </c>
      <c r="B39" s="8" t="str">
        <f>VLOOKUP($A39,Valorisation!$A$5:$AF$224,2,0)</f>
        <v>John Collins</v>
      </c>
      <c r="C39" s="39">
        <f ca="1">VLOOKUP($A39,Valorisation!$A$5:$AF$224,4,0)</f>
        <v>20.472373855932791</v>
      </c>
      <c r="D39" s="31">
        <f ca="1">VLOOKUP($A39,Valorisation!$A$5:$AZ$224,35+COLUMN(D38)-4,0)*D$2</f>
        <v>0</v>
      </c>
      <c r="E39" s="31">
        <f ca="1">VLOOKUP($A39,Valorisation!$A$5:$AZ$224,35+COLUMN(E38)-4,0)*E$2</f>
        <v>-0.45617839156048812</v>
      </c>
      <c r="F39" s="31">
        <f ca="1">VLOOKUP($A39,Valorisation!$A$5:$AZ$224,35+COLUMN(F38)-4,0)*F$2</f>
        <v>0.85368380437998037</v>
      </c>
      <c r="G39" s="31">
        <f ca="1">VLOOKUP($A39,Valorisation!$A$5:$AZ$224,35+COLUMN(G38)-4,0)*G$2</f>
        <v>0</v>
      </c>
      <c r="H39" s="31">
        <f ca="1">VLOOKUP($A39,Valorisation!$A$5:$AZ$224,35+COLUMN(H38)-4,0)*H$2</f>
        <v>-1.1627218392121987</v>
      </c>
      <c r="I39" s="31">
        <f ca="1">VLOOKUP($A39,Valorisation!$A$5:$AZ$224,35+COLUMN(I38)-4,0)*I$2</f>
        <v>0.72053476541928707</v>
      </c>
      <c r="J39" s="31">
        <f ca="1">VLOOKUP($A39,Valorisation!$A$5:$AZ$224,35+COLUMN(J38)-4,0)*J$2</f>
        <v>1.630046142176115</v>
      </c>
      <c r="K39" s="31">
        <f ca="1">VLOOKUP($A39,Valorisation!$A$5:$AZ$224,35+COLUMN(K38)-4,0)*K$2</f>
        <v>0.38356236002794913</v>
      </c>
      <c r="L39" s="31">
        <f ca="1">SUM(D39:K39)</f>
        <v>1.9689268412306449</v>
      </c>
      <c r="M39" s="40">
        <f>VLOOKUP($A39,Valorisation!$A$5:$AF$224,8,0)</f>
        <v>1</v>
      </c>
      <c r="N39" s="31" t="str">
        <f>VLOOKUP($A39,Valorisation!$A$5:$AF$224,13,0)</f>
        <v>PF</v>
      </c>
    </row>
    <row r="40" spans="1:14">
      <c r="A40">
        <v>103</v>
      </c>
      <c r="B40" s="8" t="str">
        <f>VLOOKUP($A40,Valorisation!$A$5:$AF$224,2,0)</f>
        <v>Nerlens Noel</v>
      </c>
      <c r="C40" s="39">
        <f ca="1">VLOOKUP($A40,Valorisation!$A$5:$AF$224,4,0)</f>
        <v>7.039577242622947</v>
      </c>
      <c r="D40" s="31">
        <f ca="1">VLOOKUP($A40,Valorisation!$A$5:$AZ$224,35+COLUMN(D39)-4,0)*D$2</f>
        <v>0</v>
      </c>
      <c r="E40" s="31">
        <f ca="1">VLOOKUP($A40,Valorisation!$A$5:$AZ$224,35+COLUMN(E39)-4,0)*E$2</f>
        <v>-1.7120096997355103</v>
      </c>
      <c r="F40" s="31">
        <f ca="1">VLOOKUP($A40,Valorisation!$A$5:$AZ$224,35+COLUMN(F39)-4,0)*F$2</f>
        <v>0.20903708560240414</v>
      </c>
      <c r="G40" s="31">
        <f ca="1">VLOOKUP($A40,Valorisation!$A$5:$AZ$224,35+COLUMN(G39)-4,0)*G$2</f>
        <v>0</v>
      </c>
      <c r="H40" s="31">
        <f ca="1">VLOOKUP($A40,Valorisation!$A$5:$AZ$224,35+COLUMN(H39)-4,0)*H$2</f>
        <v>0.24840443985240537</v>
      </c>
      <c r="I40" s="31">
        <f ca="1">VLOOKUP($A40,Valorisation!$A$5:$AZ$224,35+COLUMN(I39)-4,0)*I$2</f>
        <v>2.6021105628513608</v>
      </c>
      <c r="J40" s="31">
        <f ca="1">VLOOKUP($A40,Valorisation!$A$5:$AZ$224,35+COLUMN(J39)-4,0)*J$2</f>
        <v>0.7949856481810752</v>
      </c>
      <c r="K40" s="31">
        <f ca="1">VLOOKUP($A40,Valorisation!$A$5:$AZ$224,35+COLUMN(K39)-4,0)*K$2</f>
        <v>-0.26405235997522269</v>
      </c>
      <c r="L40" s="31">
        <f ca="1">SUM(D40:K40)</f>
        <v>1.8784756767765127</v>
      </c>
      <c r="M40" s="40">
        <f>VLOOKUP($A40,Valorisation!$A$5:$AF$224,8,0)</f>
        <v>1</v>
      </c>
      <c r="N40" s="31" t="str">
        <f>VLOOKUP($A40,Valorisation!$A$5:$AF$224,13,0)</f>
        <v>C</v>
      </c>
    </row>
    <row r="41" spans="1:14">
      <c r="A41">
        <v>37</v>
      </c>
      <c r="B41" s="8" t="str">
        <f>VLOOKUP($A41,Valorisation!$A$5:$AF$224,2,0)</f>
        <v>Lonzo Ball</v>
      </c>
      <c r="C41" s="39">
        <f ca="1">VLOOKUP($A41,Valorisation!$A$5:$AF$224,4,0)</f>
        <v>28.389616197282361</v>
      </c>
      <c r="D41" s="31">
        <f ca="1">VLOOKUP($A41,Valorisation!$A$5:$AZ$224,35+COLUMN(D40)-4,0)*D$2</f>
        <v>0</v>
      </c>
      <c r="E41" s="31">
        <f ca="1">VLOOKUP($A41,Valorisation!$A$5:$AZ$224,35+COLUMN(E40)-4,0)*E$2</f>
        <v>1.2227050672672297</v>
      </c>
      <c r="F41" s="31">
        <f ca="1">VLOOKUP($A41,Valorisation!$A$5:$AZ$224,35+COLUMN(F40)-4,0)*F$2</f>
        <v>-0.14312312143362035</v>
      </c>
      <c r="G41" s="31">
        <f ca="1">VLOOKUP($A41,Valorisation!$A$5:$AZ$224,35+COLUMN(G40)-4,0)*G$2</f>
        <v>0</v>
      </c>
      <c r="H41" s="31">
        <f ca="1">VLOOKUP($A41,Valorisation!$A$5:$AZ$224,35+COLUMN(H40)-4,0)*H$2</f>
        <v>1.8670354953812969</v>
      </c>
      <c r="I41" s="31">
        <f ca="1">VLOOKUP($A41,Valorisation!$A$5:$AZ$224,35+COLUMN(I40)-4,0)*I$2</f>
        <v>-4.9400944400594192E-2</v>
      </c>
      <c r="J41" s="31">
        <f ca="1">VLOOKUP($A41,Valorisation!$A$5:$AZ$224,35+COLUMN(J40)-4,0)*J$2</f>
        <v>-1.0552756639276364</v>
      </c>
      <c r="K41" s="31">
        <f ca="1">VLOOKUP($A41,Valorisation!$A$5:$AZ$224,35+COLUMN(K40)-4,0)*K$2</f>
        <v>-9.0827590696418256E-2</v>
      </c>
      <c r="L41" s="31">
        <f ca="1">SUM(D41:K41)</f>
        <v>1.7511132421902575</v>
      </c>
      <c r="M41" s="40">
        <f>VLOOKUP($A41,Valorisation!$A$5:$AF$224,8,0)</f>
        <v>1</v>
      </c>
      <c r="N41" s="31" t="str">
        <f>VLOOKUP($A41,Valorisation!$A$5:$AF$224,13,0)</f>
        <v>PG</v>
      </c>
    </row>
    <row r="42" spans="1:14">
      <c r="A42">
        <v>70</v>
      </c>
      <c r="B42" s="8" t="str">
        <f>VLOOKUP($A42,Valorisation!$A$5:$AF$224,2,0)</f>
        <v>Mikal Bridges</v>
      </c>
      <c r="C42" s="39">
        <f ca="1">VLOOKUP($A42,Valorisation!$A$5:$AF$224,4,0)</f>
        <v>17.705057487629769</v>
      </c>
      <c r="D42" s="31">
        <f ca="1">VLOOKUP($A42,Valorisation!$A$5:$AZ$224,35+COLUMN(D41)-4,0)*D$2</f>
        <v>0</v>
      </c>
      <c r="E42" s="31">
        <f ca="1">VLOOKUP($A42,Valorisation!$A$5:$AZ$224,35+COLUMN(E41)-4,0)*E$2</f>
        <v>0.2153499120859374</v>
      </c>
      <c r="F42" s="31">
        <f ca="1">VLOOKUP($A42,Valorisation!$A$5:$AZ$224,35+COLUMN(F41)-4,0)*F$2</f>
        <v>-0.73590478541127025</v>
      </c>
      <c r="G42" s="31">
        <f ca="1">VLOOKUP($A42,Valorisation!$A$5:$AZ$224,35+COLUMN(G41)-4,0)*G$2</f>
        <v>0</v>
      </c>
      <c r="H42" s="31">
        <f ca="1">VLOOKUP($A42,Valorisation!$A$5:$AZ$224,35+COLUMN(H41)-4,0)*H$2</f>
        <v>0.75319887547023812</v>
      </c>
      <c r="I42" s="31">
        <f ca="1">VLOOKUP($A42,Valorisation!$A$5:$AZ$224,35+COLUMN(I41)-4,0)*I$2</f>
        <v>0.26863409516253245</v>
      </c>
      <c r="J42" s="31">
        <f ca="1">VLOOKUP($A42,Valorisation!$A$5:$AZ$224,35+COLUMN(J41)-4,0)*J$2</f>
        <v>0.81941216017259466</v>
      </c>
      <c r="K42" s="31">
        <f ca="1">VLOOKUP($A42,Valorisation!$A$5:$AZ$224,35+COLUMN(K41)-4,0)*K$2</f>
        <v>0.38803412623648881</v>
      </c>
      <c r="L42" s="31">
        <f ca="1">SUM(D42:K42)</f>
        <v>1.7087243837165211</v>
      </c>
      <c r="M42" s="40">
        <f>VLOOKUP($A42,Valorisation!$A$5:$AF$224,8,0)</f>
        <v>1</v>
      </c>
      <c r="N42" s="31" t="str">
        <f>VLOOKUP($A42,Valorisation!$A$5:$AF$224,13,0)</f>
        <v>SF</v>
      </c>
    </row>
    <row r="43" spans="1:14">
      <c r="A43">
        <v>20</v>
      </c>
      <c r="B43" s="8" t="str">
        <f>VLOOKUP($A43,Valorisation!$A$5:$AF$224,2,0)</f>
        <v>LaMelo Ball</v>
      </c>
      <c r="C43" s="39">
        <f ca="1">VLOOKUP($A43,Valorisation!$A$5:$AF$224,4,0)</f>
        <v>34.383865850921254</v>
      </c>
      <c r="D43" s="31">
        <f ca="1">VLOOKUP($A43,Valorisation!$A$5:$AZ$224,35+COLUMN(D42)-4,0)*D$2</f>
        <v>0</v>
      </c>
      <c r="E43" s="31">
        <f ca="1">VLOOKUP($A43,Valorisation!$A$5:$AZ$224,35+COLUMN(E42)-4,0)*E$2</f>
        <v>0.44489229945377451</v>
      </c>
      <c r="F43" s="31">
        <f ca="1">VLOOKUP($A43,Valorisation!$A$5:$AZ$224,35+COLUMN(F42)-4,0)*F$2</f>
        <v>0.36772717700948615</v>
      </c>
      <c r="G43" s="31">
        <f ca="1">VLOOKUP($A43,Valorisation!$A$5:$AZ$224,35+COLUMN(G42)-4,0)*G$2</f>
        <v>0</v>
      </c>
      <c r="H43" s="31">
        <f ca="1">VLOOKUP($A43,Valorisation!$A$5:$AZ$224,35+COLUMN(H42)-4,0)*H$2</f>
        <v>2.7216242658766521</v>
      </c>
      <c r="I43" s="31">
        <f ca="1">VLOOKUP($A43,Valorisation!$A$5:$AZ$224,35+COLUMN(I42)-4,0)*I$2</f>
        <v>-0.45184684870362346</v>
      </c>
      <c r="J43" s="31">
        <f ca="1">VLOOKUP($A43,Valorisation!$A$5:$AZ$224,35+COLUMN(J42)-4,0)*J$2</f>
        <v>-0.70490405999126005</v>
      </c>
      <c r="K43" s="31">
        <f ca="1">VLOOKUP($A43,Valorisation!$A$5:$AZ$224,35+COLUMN(K42)-4,0)*K$2</f>
        <v>-0.74308684080714293</v>
      </c>
      <c r="L43" s="31">
        <f ca="1">SUM(D43:K43)</f>
        <v>1.6344059928378862</v>
      </c>
      <c r="M43" s="40">
        <f>VLOOKUP($A43,Valorisation!$A$5:$AF$224,8,0)</f>
        <v>1</v>
      </c>
      <c r="N43" s="31" t="str">
        <f>VLOOKUP($A43,Valorisation!$A$5:$AF$224,13,0)</f>
        <v>PG</v>
      </c>
    </row>
    <row r="44" spans="1:14">
      <c r="A44">
        <v>48</v>
      </c>
      <c r="B44" s="8" t="str">
        <f>VLOOKUP($A44,Valorisation!$A$5:$AF$224,2,0)</f>
        <v>Tobias Harris</v>
      </c>
      <c r="C44" s="39">
        <f ca="1">VLOOKUP($A44,Valorisation!$A$5:$AF$224,4,0)</f>
        <v>25.91997962185852</v>
      </c>
      <c r="D44" s="31">
        <f ca="1">VLOOKUP($A44,Valorisation!$A$5:$AZ$224,35+COLUMN(D43)-4,0)*D$2</f>
        <v>0</v>
      </c>
      <c r="E44" s="31">
        <f ca="1">VLOOKUP($A44,Valorisation!$A$5:$AZ$224,35+COLUMN(E43)-4,0)*E$2</f>
        <v>-0.35400011860503916</v>
      </c>
      <c r="F44" s="31">
        <f ca="1">VLOOKUP($A44,Valorisation!$A$5:$AZ$224,35+COLUMN(F43)-4,0)*F$2</f>
        <v>0.45859798633440879</v>
      </c>
      <c r="G44" s="31">
        <f ca="1">VLOOKUP($A44,Valorisation!$A$5:$AZ$224,35+COLUMN(G43)-4,0)*G$2</f>
        <v>0</v>
      </c>
      <c r="H44" s="31">
        <f ca="1">VLOOKUP($A44,Valorisation!$A$5:$AZ$224,35+COLUMN(H43)-4,0)*H$2</f>
        <v>-0.27619179743187194</v>
      </c>
      <c r="I44" s="31">
        <f ca="1">VLOOKUP($A44,Valorisation!$A$5:$AZ$224,35+COLUMN(I43)-4,0)*I$2</f>
        <v>0.29897384334363714</v>
      </c>
      <c r="J44" s="31">
        <f ca="1">VLOOKUP($A44,Valorisation!$A$5:$AZ$224,35+COLUMN(J43)-4,0)*J$2</f>
        <v>0.47871823145190695</v>
      </c>
      <c r="K44" s="31">
        <f ca="1">VLOOKUP($A44,Valorisation!$A$5:$AZ$224,35+COLUMN(K43)-4,0)*K$2</f>
        <v>0.95501487174666366</v>
      </c>
      <c r="L44" s="31">
        <f ca="1">SUM(D44:K44)</f>
        <v>1.5611130168397054</v>
      </c>
      <c r="M44" s="40">
        <f>VLOOKUP($A44,Valorisation!$A$5:$AF$224,8,0)</f>
        <v>1</v>
      </c>
      <c r="N44" s="31" t="str">
        <f>VLOOKUP($A44,Valorisation!$A$5:$AF$224,13,0)</f>
        <v>SF/PF</v>
      </c>
    </row>
    <row r="45" spans="1:14">
      <c r="A45">
        <v>29</v>
      </c>
      <c r="B45" s="8" t="str">
        <f>VLOOKUP($A45,Valorisation!$A$5:$AF$224,2,0)</f>
        <v>Jaylen Brown</v>
      </c>
      <c r="C45" s="39">
        <f ca="1">VLOOKUP($A45,Valorisation!$A$5:$AF$224,4,0)</f>
        <v>29.974199910190098</v>
      </c>
      <c r="D45" s="31">
        <f ca="1">VLOOKUP($A45,Valorisation!$A$5:$AZ$224,35+COLUMN(D44)-4,0)*D$2</f>
        <v>0</v>
      </c>
      <c r="E45" s="31">
        <f ca="1">VLOOKUP($A45,Valorisation!$A$5:$AZ$224,35+COLUMN(E44)-4,0)*E$2</f>
        <v>1.0738071915685676</v>
      </c>
      <c r="F45" s="31">
        <f ca="1">VLOOKUP($A45,Valorisation!$A$5:$AZ$224,35+COLUMN(F44)-4,0)*F$2</f>
        <v>0.19993368388163546</v>
      </c>
      <c r="G45" s="31">
        <f ca="1">VLOOKUP($A45,Valorisation!$A$5:$AZ$224,35+COLUMN(G44)-4,0)*G$2</f>
        <v>0</v>
      </c>
      <c r="H45" s="31">
        <f ca="1">VLOOKUP($A45,Valorisation!$A$5:$AZ$224,35+COLUMN(H44)-4,0)*H$2</f>
        <v>0.60372180023097077</v>
      </c>
      <c r="I45" s="31">
        <f ca="1">VLOOKUP($A45,Valorisation!$A$5:$AZ$224,35+COLUMN(I44)-4,0)*I$2</f>
        <v>-0.28541812729858645</v>
      </c>
      <c r="J45" s="31">
        <f ca="1">VLOOKUP($A45,Valorisation!$A$5:$AZ$224,35+COLUMN(J44)-4,0)*J$2</f>
        <v>0.15741384283447238</v>
      </c>
      <c r="K45" s="31">
        <f ca="1">VLOOKUP($A45,Valorisation!$A$5:$AZ$224,35+COLUMN(K44)-4,0)*K$2</f>
        <v>-0.21382778817709902</v>
      </c>
      <c r="L45" s="31">
        <f ca="1">SUM(D45:K45)</f>
        <v>1.5356306030399609</v>
      </c>
      <c r="M45" s="40">
        <f>VLOOKUP($A45,Valorisation!$A$5:$AF$224,8,0)</f>
        <v>1</v>
      </c>
      <c r="N45" s="31" t="str">
        <f>VLOOKUP($A45,Valorisation!$A$5:$AF$224,13,0)</f>
        <v>SG/SF</v>
      </c>
    </row>
    <row r="46" spans="1:14">
      <c r="A46">
        <v>91</v>
      </c>
      <c r="B46" s="8" t="str">
        <f>VLOOKUP($A46,Valorisation!$A$5:$AF$224,2,0)</f>
        <v>Daniel Gafford</v>
      </c>
      <c r="C46" s="39">
        <f ca="1">VLOOKUP($A46,Valorisation!$A$5:$AF$224,4,0)</f>
        <v>11.030433948254901</v>
      </c>
      <c r="D46" s="31">
        <f ca="1">VLOOKUP($A46,Valorisation!$A$5:$AZ$224,35+COLUMN(D45)-4,0)*D$2</f>
        <v>0</v>
      </c>
      <c r="E46" s="31">
        <f ca="1">VLOOKUP($A46,Valorisation!$A$5:$AZ$224,35+COLUMN(E45)-4,0)*E$2</f>
        <v>-1.7120096997355103</v>
      </c>
      <c r="F46" s="31">
        <f ca="1">VLOOKUP($A46,Valorisation!$A$5:$AZ$224,35+COLUMN(F45)-4,0)*F$2</f>
        <v>0.53739976306637316</v>
      </c>
      <c r="G46" s="31">
        <f ca="1">VLOOKUP($A46,Valorisation!$A$5:$AZ$224,35+COLUMN(G45)-4,0)*G$2</f>
        <v>0</v>
      </c>
      <c r="H46" s="31">
        <f ca="1">VLOOKUP($A46,Valorisation!$A$5:$AZ$224,35+COLUMN(H45)-4,0)*H$2</f>
        <v>-0.90966398052295827</v>
      </c>
      <c r="I46" s="31">
        <f ca="1">VLOOKUP($A46,Valorisation!$A$5:$AZ$224,35+COLUMN(I45)-4,0)*I$2</f>
        <v>2.9303764127225596</v>
      </c>
      <c r="J46" s="31">
        <f ca="1">VLOOKUP($A46,Valorisation!$A$5:$AZ$224,35+COLUMN(J45)-4,0)*J$2</f>
        <v>2.2075010140942162</v>
      </c>
      <c r="K46" s="31">
        <f ca="1">VLOOKUP($A46,Valorisation!$A$5:$AZ$224,35+COLUMN(K45)-4,0)*K$2</f>
        <v>-1.5467090746671897</v>
      </c>
      <c r="L46" s="31">
        <f ca="1">SUM(D46:K46)</f>
        <v>1.5068944349574909</v>
      </c>
      <c r="M46" s="40">
        <f>VLOOKUP($A46,Valorisation!$A$5:$AF$224,8,0)</f>
        <v>1</v>
      </c>
      <c r="N46" s="31" t="str">
        <f>VLOOKUP($A46,Valorisation!$A$5:$AF$224,13,0)</f>
        <v>PF/C</v>
      </c>
    </row>
    <row r="47" spans="1:14">
      <c r="A47">
        <v>42</v>
      </c>
      <c r="B47" s="8" t="str">
        <f>VLOOKUP($A47,Valorisation!$A$5:$AF$224,2,0)</f>
        <v>Draymond Green</v>
      </c>
      <c r="C47" s="39">
        <f ca="1">VLOOKUP($A47,Valorisation!$A$5:$AF$224,4,0)</f>
        <v>27.248608643290883</v>
      </c>
      <c r="D47" s="31">
        <f ca="1">VLOOKUP($A47,Valorisation!$A$5:$AZ$224,35+COLUMN(D46)-4,0)*D$2</f>
        <v>0</v>
      </c>
      <c r="E47" s="31">
        <f ca="1">VLOOKUP($A47,Valorisation!$A$5:$AZ$224,35+COLUMN(E46)-4,0)*E$2</f>
        <v>-1.1517952819318393</v>
      </c>
      <c r="F47" s="31">
        <f ca="1">VLOOKUP($A47,Valorisation!$A$5:$AZ$224,35+COLUMN(F46)-4,0)*F$2</f>
        <v>0.4503238240875837</v>
      </c>
      <c r="G47" s="31">
        <f ca="1">VLOOKUP($A47,Valorisation!$A$5:$AZ$224,35+COLUMN(G46)-4,0)*G$2</f>
        <v>0</v>
      </c>
      <c r="H47" s="31">
        <f ca="1">VLOOKUP($A47,Valorisation!$A$5:$AZ$224,35+COLUMN(H46)-4,0)*H$2</f>
        <v>2.1512994288147453</v>
      </c>
      <c r="I47" s="31">
        <f ca="1">VLOOKUP($A47,Valorisation!$A$5:$AZ$224,35+COLUMN(I46)-4,0)*I$2</f>
        <v>0.35684686821497535</v>
      </c>
      <c r="J47" s="31">
        <f ca="1">VLOOKUP($A47,Valorisation!$A$5:$AZ$224,35+COLUMN(J46)-4,0)*J$2</f>
        <v>-0.22001415971393945</v>
      </c>
      <c r="K47" s="31">
        <f ca="1">VLOOKUP($A47,Valorisation!$A$5:$AZ$224,35+COLUMN(K46)-4,0)*K$2</f>
        <v>-9.7374886188718868E-2</v>
      </c>
      <c r="L47" s="31">
        <f ca="1">SUM(D47:K47)</f>
        <v>1.489285793282807</v>
      </c>
      <c r="M47" s="40">
        <f>VLOOKUP($A47,Valorisation!$A$5:$AF$224,8,0)</f>
        <v>1</v>
      </c>
      <c r="N47" s="31" t="str">
        <f>VLOOKUP($A47,Valorisation!$A$5:$AF$224,13,0)</f>
        <v>PF</v>
      </c>
    </row>
    <row r="48" spans="1:14">
      <c r="A48">
        <v>34</v>
      </c>
      <c r="B48" s="8" t="str">
        <f>VLOOKUP($A48,Valorisation!$A$5:$AF$224,2,0)</f>
        <v>Jrue Holiday</v>
      </c>
      <c r="C48" s="39">
        <f ca="1">VLOOKUP($A48,Valorisation!$A$5:$AF$224,4,0)</f>
        <v>29.31833013229484</v>
      </c>
      <c r="D48" s="31">
        <f ca="1">VLOOKUP($A48,Valorisation!$A$5:$AZ$224,35+COLUMN(D47)-4,0)*D$2</f>
        <v>0</v>
      </c>
      <c r="E48" s="31">
        <f ca="1">VLOOKUP($A48,Valorisation!$A$5:$AZ$224,35+COLUMN(E47)-4,0)*E$2</f>
        <v>1.3887643135965648E-2</v>
      </c>
      <c r="F48" s="31">
        <f ca="1">VLOOKUP($A48,Valorisation!$A$5:$AZ$224,35+COLUMN(F47)-4,0)*F$2</f>
        <v>-0.53118147984767994</v>
      </c>
      <c r="G48" s="31">
        <f ca="1">VLOOKUP($A48,Valorisation!$A$5:$AZ$224,35+COLUMN(G47)-4,0)*G$2</f>
        <v>0</v>
      </c>
      <c r="H48" s="31">
        <f ca="1">VLOOKUP($A48,Valorisation!$A$5:$AZ$224,35+COLUMN(H47)-4,0)*H$2</f>
        <v>1.7117405527798943</v>
      </c>
      <c r="I48" s="31">
        <f ca="1">VLOOKUP($A48,Valorisation!$A$5:$AZ$224,35+COLUMN(I47)-4,0)*I$2</f>
        <v>-8.5859081430196535E-2</v>
      </c>
      <c r="J48" s="31">
        <f ca="1">VLOOKUP($A48,Valorisation!$A$5:$AZ$224,35+COLUMN(J47)-4,0)*J$2</f>
        <v>0.5085169538330272</v>
      </c>
      <c r="K48" s="31">
        <f ca="1">VLOOKUP($A48,Valorisation!$A$5:$AZ$224,35+COLUMN(K47)-4,0)*K$2</f>
        <v>-0.30388960497429712</v>
      </c>
      <c r="L48" s="31">
        <f ca="1">SUM(D48:K48)</f>
        <v>1.3132149834967135</v>
      </c>
      <c r="M48" s="40">
        <f>VLOOKUP($A48,Valorisation!$A$5:$AF$224,8,0)</f>
        <v>1</v>
      </c>
      <c r="N48" s="31" t="str">
        <f>VLOOKUP($A48,Valorisation!$A$5:$AF$224,13,0)</f>
        <v>PG/SG</v>
      </c>
    </row>
    <row r="49" spans="1:14">
      <c r="A49">
        <v>26</v>
      </c>
      <c r="B49" s="8" t="str">
        <f>VLOOKUP($A49,Valorisation!$A$5:$AF$224,2,0)</f>
        <v>Domantas Sabonis</v>
      </c>
      <c r="C49" s="39">
        <f ca="1">VLOOKUP($A49,Valorisation!$A$5:$AF$224,4,0)</f>
        <v>30.940458534620205</v>
      </c>
      <c r="D49" s="31">
        <f ca="1">VLOOKUP($A49,Valorisation!$A$5:$AZ$224,35+COLUMN(D48)-4,0)*D$2</f>
        <v>0</v>
      </c>
      <c r="E49" s="31">
        <f ca="1">VLOOKUP($A49,Valorisation!$A$5:$AZ$224,35+COLUMN(E48)-4,0)*E$2</f>
        <v>-0.95852629240500087</v>
      </c>
      <c r="F49" s="31">
        <f ca="1">VLOOKUP($A49,Valorisation!$A$5:$AZ$224,35+COLUMN(F48)-4,0)*F$2</f>
        <v>2.2196241451529706</v>
      </c>
      <c r="G49" s="31">
        <f ca="1">VLOOKUP($A49,Valorisation!$A$5:$AZ$224,35+COLUMN(G48)-4,0)*G$2</f>
        <v>0</v>
      </c>
      <c r="H49" s="31">
        <f ca="1">VLOOKUP($A49,Valorisation!$A$5:$AZ$224,35+COLUMN(H48)-4,0)*H$2</f>
        <v>3.9641034564197833E-2</v>
      </c>
      <c r="I49" s="31">
        <f ca="1">VLOOKUP($A49,Valorisation!$A$5:$AZ$224,35+COLUMN(I48)-4,0)*I$2</f>
        <v>-0.18088942893177049</v>
      </c>
      <c r="J49" s="31">
        <f ca="1">VLOOKUP($A49,Valorisation!$A$5:$AZ$224,35+COLUMN(J48)-4,0)*J$2</f>
        <v>1.2729576357672188</v>
      </c>
      <c r="K49" s="31">
        <f ca="1">VLOOKUP($A49,Valorisation!$A$5:$AZ$224,35+COLUMN(K48)-4,0)*K$2</f>
        <v>-1.1548537136973209</v>
      </c>
      <c r="L49" s="31">
        <f ca="1">SUM(D49:K49)</f>
        <v>1.2379533804502949</v>
      </c>
      <c r="M49" s="40">
        <f>VLOOKUP($A49,Valorisation!$A$5:$AF$224,8,0)</f>
        <v>1</v>
      </c>
      <c r="N49" s="31" t="str">
        <f>VLOOKUP($A49,Valorisation!$A$5:$AF$224,13,0)</f>
        <v>PF</v>
      </c>
    </row>
    <row r="50" spans="1:14">
      <c r="A50">
        <v>36</v>
      </c>
      <c r="B50" s="8" t="str">
        <f>VLOOKUP($A50,Valorisation!$A$5:$AF$224,2,0)</f>
        <v>Pascal Siakam</v>
      </c>
      <c r="C50" s="39">
        <f ca="1">VLOOKUP($A50,Valorisation!$A$5:$AF$224,4,0)</f>
        <v>28.773853607569166</v>
      </c>
      <c r="D50" s="31">
        <f ca="1">VLOOKUP($A50,Valorisation!$A$5:$AZ$224,35+COLUMN(D49)-4,0)*D$2</f>
        <v>0</v>
      </c>
      <c r="E50" s="31">
        <f ca="1">VLOOKUP($A50,Valorisation!$A$5:$AZ$224,35+COLUMN(E49)-4,0)*E$2</f>
        <v>-0.26566082721426254</v>
      </c>
      <c r="F50" s="31">
        <f ca="1">VLOOKUP($A50,Valorisation!$A$5:$AZ$224,35+COLUMN(F49)-4,0)*F$2</f>
        <v>0.55884748008539631</v>
      </c>
      <c r="G50" s="31">
        <f ca="1">VLOOKUP($A50,Valorisation!$A$5:$AZ$224,35+COLUMN(G49)-4,0)*G$2</f>
        <v>0</v>
      </c>
      <c r="H50" s="31">
        <f ca="1">VLOOKUP($A50,Valorisation!$A$5:$AZ$224,35+COLUMN(H49)-4,0)*H$2</f>
        <v>0.71106771456317619</v>
      </c>
      <c r="I50" s="31">
        <f ca="1">VLOOKUP($A50,Valorisation!$A$5:$AZ$224,35+COLUMN(I49)-4,0)*I$2</f>
        <v>0.15974603930376505</v>
      </c>
      <c r="J50" s="31">
        <f ca="1">VLOOKUP($A50,Valorisation!$A$5:$AZ$224,35+COLUMN(J49)-4,0)*J$2</f>
        <v>-0.49625723699761026</v>
      </c>
      <c r="K50" s="31">
        <f ca="1">VLOOKUP($A50,Valorisation!$A$5:$AZ$224,35+COLUMN(K49)-4,0)*K$2</f>
        <v>0.46221966841953654</v>
      </c>
      <c r="L50" s="31">
        <f ca="1">SUM(D50:K50)</f>
        <v>1.1299628381600013</v>
      </c>
      <c r="M50" s="40">
        <f>VLOOKUP($A50,Valorisation!$A$5:$AF$224,8,0)</f>
        <v>1</v>
      </c>
      <c r="N50" s="31" t="str">
        <f>VLOOKUP($A50,Valorisation!$A$5:$AF$224,13,0)</f>
        <v>PF</v>
      </c>
    </row>
    <row r="51" spans="1:14">
      <c r="A51">
        <v>112</v>
      </c>
      <c r="B51" s="8" t="str">
        <f>VLOOKUP($A51,Valorisation!$A$5:$AF$224,2,0)</f>
        <v>Mitchell Robinson</v>
      </c>
      <c r="C51" s="39">
        <f ca="1">VLOOKUP($A51,Valorisation!$A$5:$AF$224,4,0)</f>
        <v>5.2385235379594546</v>
      </c>
      <c r="D51" s="31">
        <f ca="1">VLOOKUP($A51,Valorisation!$A$5:$AZ$224,35+COLUMN(D50)-4,0)*D$2</f>
        <v>0</v>
      </c>
      <c r="E51" s="31">
        <f ca="1">VLOOKUP($A51,Valorisation!$A$5:$AZ$224,35+COLUMN(E50)-4,0)*E$2</f>
        <v>-1.7120096997355103</v>
      </c>
      <c r="F51" s="31">
        <f ca="1">VLOOKUP($A51,Valorisation!$A$5:$AZ$224,35+COLUMN(F50)-4,0)*F$2</f>
        <v>0.82071745716034739</v>
      </c>
      <c r="G51" s="31">
        <f ca="1">VLOOKUP($A51,Valorisation!$A$5:$AZ$224,35+COLUMN(G50)-4,0)*G$2</f>
        <v>0</v>
      </c>
      <c r="H51" s="31">
        <f ca="1">VLOOKUP($A51,Valorisation!$A$5:$AZ$224,35+COLUMN(H50)-4,0)*H$2</f>
        <v>2.8918816372514439E-2</v>
      </c>
      <c r="I51" s="31">
        <f ca="1">VLOOKUP($A51,Valorisation!$A$5:$AZ$224,35+COLUMN(I50)-4,0)*I$2</f>
        <v>1.7622083665247816</v>
      </c>
      <c r="J51" s="31">
        <f ca="1">VLOOKUP($A51,Valorisation!$A$5:$AZ$224,35+COLUMN(J50)-4,0)*J$2</f>
        <v>1.7972252564376605</v>
      </c>
      <c r="K51" s="31">
        <f ca="1">VLOOKUP($A51,Valorisation!$A$5:$AZ$224,35+COLUMN(K50)-4,0)*K$2</f>
        <v>-1.6002524765566075</v>
      </c>
      <c r="L51" s="31">
        <f ca="1">SUM(D51:K51)</f>
        <v>1.0968077202031863</v>
      </c>
      <c r="M51" s="40">
        <f>VLOOKUP($A51,Valorisation!$A$5:$AF$224,8,0)</f>
        <v>1</v>
      </c>
      <c r="N51" s="31" t="str">
        <f>VLOOKUP($A51,Valorisation!$A$5:$AF$224,13,0)</f>
        <v>C</v>
      </c>
    </row>
    <row r="52" spans="1:14">
      <c r="A52">
        <v>49</v>
      </c>
      <c r="B52" s="8" t="str">
        <f>VLOOKUP($A52,Valorisation!$A$5:$AF$224,2,0)</f>
        <v>Gordon Hayward</v>
      </c>
      <c r="C52" s="39">
        <f ca="1">VLOOKUP($A52,Valorisation!$A$5:$AF$224,4,0)</f>
        <v>24.920880367597572</v>
      </c>
      <c r="D52" s="31">
        <f ca="1">VLOOKUP($A52,Valorisation!$A$5:$AZ$224,35+COLUMN(D51)-4,0)*D$2</f>
        <v>0</v>
      </c>
      <c r="E52" s="31">
        <f ca="1">VLOOKUP($A52,Valorisation!$A$5:$AZ$224,35+COLUMN(E51)-4,0)*E$2</f>
        <v>9.9980893789020253E-2</v>
      </c>
      <c r="F52" s="31">
        <f ca="1">VLOOKUP($A52,Valorisation!$A$5:$AZ$224,35+COLUMN(F51)-4,0)*F$2</f>
        <v>0.13083474824988001</v>
      </c>
      <c r="G52" s="31">
        <f ca="1">VLOOKUP($A52,Valorisation!$A$5:$AZ$224,35+COLUMN(G51)-4,0)*G$2</f>
        <v>0</v>
      </c>
      <c r="H52" s="31">
        <f ca="1">VLOOKUP($A52,Valorisation!$A$5:$AZ$224,35+COLUMN(H51)-4,0)*H$2</f>
        <v>0.46011527864675816</v>
      </c>
      <c r="I52" s="31">
        <f ca="1">VLOOKUP($A52,Valorisation!$A$5:$AZ$224,35+COLUMN(I51)-4,0)*I$2</f>
        <v>-0.58197954804631435</v>
      </c>
      <c r="J52" s="31">
        <f ca="1">VLOOKUP($A52,Valorisation!$A$5:$AZ$224,35+COLUMN(J51)-4,0)*J$2</f>
        <v>0.25028205889755062</v>
      </c>
      <c r="K52" s="31">
        <f ca="1">VLOOKUP($A52,Valorisation!$A$5:$AZ$224,35+COLUMN(K51)-4,0)*K$2</f>
        <v>0.68854571364564499</v>
      </c>
      <c r="L52" s="31">
        <f ca="1">SUM(D52:K52)</f>
        <v>1.0477791451825396</v>
      </c>
      <c r="M52" s="40">
        <f>VLOOKUP($A52,Valorisation!$A$5:$AF$224,8,0)</f>
        <v>1</v>
      </c>
      <c r="N52" s="31" t="str">
        <f>VLOOKUP($A52,Valorisation!$A$5:$AF$224,13,0)</f>
        <v>SF</v>
      </c>
    </row>
    <row r="53" spans="1:14">
      <c r="A53">
        <v>47</v>
      </c>
      <c r="B53" s="8" t="str">
        <f>VLOOKUP($A53,Valorisation!$A$5:$AF$224,2,0)</f>
        <v>Anthony Edwards</v>
      </c>
      <c r="C53" s="39">
        <f ca="1">VLOOKUP($A53,Valorisation!$A$5:$AF$224,4,0)</f>
        <v>27.020254382968044</v>
      </c>
      <c r="D53" s="31">
        <f ca="1">VLOOKUP($A53,Valorisation!$A$5:$AZ$224,35+COLUMN(D52)-4,0)*D$2</f>
        <v>0</v>
      </c>
      <c r="E53" s="31">
        <f ca="1">VLOOKUP($A53,Valorisation!$A$5:$AZ$224,35+COLUMN(E52)-4,0)*E$2</f>
        <v>1.1161842305574077</v>
      </c>
      <c r="F53" s="31">
        <f ca="1">VLOOKUP($A53,Valorisation!$A$5:$AZ$224,35+COLUMN(F52)-4,0)*F$2</f>
        <v>-0.18841958438138068</v>
      </c>
      <c r="G53" s="31">
        <f ca="1">VLOOKUP($A53,Valorisation!$A$5:$AZ$224,35+COLUMN(G52)-4,0)*G$2</f>
        <v>0</v>
      </c>
      <c r="H53" s="31">
        <f ca="1">VLOOKUP($A53,Valorisation!$A$5:$AZ$224,35+COLUMN(H52)-4,0)*H$2</f>
        <v>1.1577966601956391</v>
      </c>
      <c r="I53" s="31">
        <f ca="1">VLOOKUP($A53,Valorisation!$A$5:$AZ$224,35+COLUMN(I52)-4,0)*I$2</f>
        <v>-0.26648144951594477</v>
      </c>
      <c r="J53" s="31">
        <f ca="1">VLOOKUP($A53,Valorisation!$A$5:$AZ$224,35+COLUMN(J52)-4,0)*J$2</f>
        <v>-0.8031665026907352</v>
      </c>
      <c r="K53" s="31">
        <f ca="1">VLOOKUP($A53,Valorisation!$A$5:$AZ$224,35+COLUMN(K52)-4,0)*K$2</f>
        <v>-3.4765957780980183E-2</v>
      </c>
      <c r="L53" s="31">
        <f ca="1">SUM(D53:K53)</f>
        <v>0.98114739638400583</v>
      </c>
      <c r="M53" s="40">
        <f>VLOOKUP($A53,Valorisation!$A$5:$AF$224,8,0)</f>
        <v>1</v>
      </c>
      <c r="N53" s="31" t="str">
        <f>VLOOKUP($A53,Valorisation!$A$5:$AF$224,13,0)</f>
        <v>SG/SF</v>
      </c>
    </row>
    <row r="54" spans="1:14">
      <c r="A54">
        <v>50</v>
      </c>
      <c r="B54" s="8" t="str">
        <f>VLOOKUP($A54,Valorisation!$A$5:$AF$224,2,0)</f>
        <v>Tyrese Haliburton</v>
      </c>
      <c r="C54" s="39">
        <f ca="1">VLOOKUP($A54,Valorisation!$A$5:$AF$224,4,0)</f>
        <v>24.82146479681429</v>
      </c>
      <c r="D54" s="31">
        <f ca="1">VLOOKUP($A54,Valorisation!$A$5:$AZ$224,35+COLUMN(D53)-4,0)*D$2</f>
        <v>0</v>
      </c>
      <c r="E54" s="31">
        <f ca="1">VLOOKUP($A54,Valorisation!$A$5:$AZ$224,35+COLUMN(E53)-4,0)*E$2</f>
        <v>0.58068019864838671</v>
      </c>
      <c r="F54" s="31">
        <f ca="1">VLOOKUP($A54,Valorisation!$A$5:$AZ$224,35+COLUMN(F53)-4,0)*F$2</f>
        <v>-1.1256469015623671</v>
      </c>
      <c r="G54" s="31">
        <f ca="1">VLOOKUP($A54,Valorisation!$A$5:$AZ$224,35+COLUMN(G53)-4,0)*G$2</f>
        <v>0</v>
      </c>
      <c r="H54" s="31">
        <f ca="1">VLOOKUP($A54,Valorisation!$A$5:$AZ$224,35+COLUMN(H53)-4,0)*H$2</f>
        <v>1.5433759005376813</v>
      </c>
      <c r="I54" s="31">
        <f ca="1">VLOOKUP($A54,Valorisation!$A$5:$AZ$224,35+COLUMN(I53)-4,0)*I$2</f>
        <v>-0.3307914882197785</v>
      </c>
      <c r="J54" s="31">
        <f ca="1">VLOOKUP($A54,Valorisation!$A$5:$AZ$224,35+COLUMN(J53)-4,0)*J$2</f>
        <v>7.1777076505126949E-2</v>
      </c>
      <c r="K54" s="31">
        <f ca="1">VLOOKUP($A54,Valorisation!$A$5:$AZ$224,35+COLUMN(K53)-4,0)*K$2</f>
        <v>0.23310167838001133</v>
      </c>
      <c r="L54" s="31">
        <f ca="1">SUM(D54:K54)</f>
        <v>0.97249646428906078</v>
      </c>
      <c r="M54" s="40">
        <f>VLOOKUP($A54,Valorisation!$A$5:$AF$224,8,0)</f>
        <v>1</v>
      </c>
      <c r="N54" s="31" t="str">
        <f>VLOOKUP($A54,Valorisation!$A$5:$AF$224,13,0)</f>
        <v>PG/SG</v>
      </c>
    </row>
    <row r="55" spans="1:14">
      <c r="A55">
        <v>35</v>
      </c>
      <c r="B55" s="8" t="str">
        <f>VLOOKUP($A55,Valorisation!$A$5:$AF$224,2,0)</f>
        <v>Julius Randle</v>
      </c>
      <c r="C55" s="39">
        <f ca="1">VLOOKUP($A55,Valorisation!$A$5:$AF$224,4,0)</f>
        <v>29.262575480056025</v>
      </c>
      <c r="D55" s="31">
        <f ca="1">VLOOKUP($A55,Valorisation!$A$5:$AZ$224,35+COLUMN(D54)-4,0)*D$2</f>
        <v>0</v>
      </c>
      <c r="E55" s="31">
        <f ca="1">VLOOKUP($A55,Valorisation!$A$5:$AZ$224,35+COLUMN(E54)-4,0)*E$2</f>
        <v>0.40524853294947216</v>
      </c>
      <c r="F55" s="31">
        <f ca="1">VLOOKUP($A55,Valorisation!$A$5:$AZ$224,35+COLUMN(F54)-4,0)*F$2</f>
        <v>1.8023856859301093</v>
      </c>
      <c r="G55" s="31">
        <f ca="1">VLOOKUP($A55,Valorisation!$A$5:$AZ$224,35+COLUMN(G54)-4,0)*G$2</f>
        <v>0</v>
      </c>
      <c r="H55" s="31">
        <f ca="1">VLOOKUP($A55,Valorisation!$A$5:$AZ$224,35+COLUMN(H54)-4,0)*H$2</f>
        <v>-5.5093433259772215E-2</v>
      </c>
      <c r="I55" s="31">
        <f ca="1">VLOOKUP($A55,Valorisation!$A$5:$AZ$224,35+COLUMN(I54)-4,0)*I$2</f>
        <v>-0.68343260199684575</v>
      </c>
      <c r="J55" s="31">
        <f ca="1">VLOOKUP($A55,Valorisation!$A$5:$AZ$224,35+COLUMN(J54)-4,0)*J$2</f>
        <v>-0.65645459598248812</v>
      </c>
      <c r="K55" s="31">
        <f ca="1">VLOOKUP($A55,Valorisation!$A$5:$AZ$224,35+COLUMN(K54)-4,0)*K$2</f>
        <v>0.11609506663044306</v>
      </c>
      <c r="L55" s="31">
        <f ca="1">SUM(D55:K55)</f>
        <v>0.92874865427091846</v>
      </c>
      <c r="M55" s="40">
        <f>VLOOKUP($A55,Valorisation!$A$5:$AF$224,8,0)</f>
        <v>1</v>
      </c>
      <c r="N55" s="31" t="str">
        <f>VLOOKUP($A55,Valorisation!$A$5:$AF$224,13,0)</f>
        <v>PF</v>
      </c>
    </row>
    <row r="56" spans="1:14">
      <c r="A56">
        <v>41</v>
      </c>
      <c r="B56" s="8" t="str">
        <f>VLOOKUP($A56,Valorisation!$A$5:$AF$224,2,0)</f>
        <v>Khris Middleton</v>
      </c>
      <c r="C56" s="39">
        <f ca="1">VLOOKUP($A56,Valorisation!$A$5:$AF$224,4,0)</f>
        <v>27.578646637004425</v>
      </c>
      <c r="D56" s="31">
        <f ca="1">VLOOKUP($A56,Valorisation!$A$5:$AZ$224,35+COLUMN(D55)-4,0)*D$2</f>
        <v>0</v>
      </c>
      <c r="E56" s="31">
        <f ca="1">VLOOKUP($A56,Valorisation!$A$5:$AZ$224,35+COLUMN(E55)-4,0)*E$2</f>
        <v>0.43178833133113925</v>
      </c>
      <c r="F56" s="31">
        <f ca="1">VLOOKUP($A56,Valorisation!$A$5:$AZ$224,35+COLUMN(F55)-4,0)*F$2</f>
        <v>9.4730300125611594E-2</v>
      </c>
      <c r="G56" s="31">
        <f ca="1">VLOOKUP($A56,Valorisation!$A$5:$AZ$224,35+COLUMN(G55)-4,0)*G$2</f>
        <v>0</v>
      </c>
      <c r="H56" s="31">
        <f ca="1">VLOOKUP($A56,Valorisation!$A$5:$AZ$224,35+COLUMN(H55)-4,0)*H$2</f>
        <v>0.26577554728453628</v>
      </c>
      <c r="I56" s="31">
        <f ca="1">VLOOKUP($A56,Valorisation!$A$5:$AZ$224,35+COLUMN(I55)-4,0)*I$2</f>
        <v>-0.9705066650804729</v>
      </c>
      <c r="J56" s="31">
        <f ca="1">VLOOKUP($A56,Valorisation!$A$5:$AZ$224,35+COLUMN(J55)-4,0)*J$2</f>
        <v>-5.3026991598667042E-2</v>
      </c>
      <c r="K56" s="31">
        <f ca="1">VLOOKUP($A56,Valorisation!$A$5:$AZ$224,35+COLUMN(K55)-4,0)*K$2</f>
        <v>1.1596949826286171</v>
      </c>
      <c r="L56" s="31">
        <f ca="1">SUM(D56:K56)</f>
        <v>0.92845550469076432</v>
      </c>
      <c r="M56" s="40">
        <f>VLOOKUP($A56,Valorisation!$A$5:$AF$224,8,0)</f>
        <v>1</v>
      </c>
      <c r="N56" s="31" t="str">
        <f>VLOOKUP($A56,Valorisation!$A$5:$AF$224,13,0)</f>
        <v>SG/SF</v>
      </c>
    </row>
    <row r="57" spans="1:14">
      <c r="A57">
        <v>93</v>
      </c>
      <c r="B57" s="8" t="str">
        <f>VLOOKUP($A57,Valorisation!$A$5:$AF$224,2,0)</f>
        <v>Jakob Poeltl</v>
      </c>
      <c r="C57" s="39">
        <f ca="1">VLOOKUP($A57,Valorisation!$A$5:$AF$224,4,0)</f>
        <v>10.311182946531295</v>
      </c>
      <c r="D57" s="31">
        <f ca="1">VLOOKUP($A57,Valorisation!$A$5:$AZ$224,35+COLUMN(D56)-4,0)*D$2</f>
        <v>0</v>
      </c>
      <c r="E57" s="31">
        <f ca="1">VLOOKUP($A57,Valorisation!$A$5:$AZ$224,35+COLUMN(E56)-4,0)*E$2</f>
        <v>-1.7120096997355103</v>
      </c>
      <c r="F57" s="31">
        <f ca="1">VLOOKUP($A57,Valorisation!$A$5:$AZ$224,35+COLUMN(F56)-4,0)*F$2</f>
        <v>1.308328388729797</v>
      </c>
      <c r="G57" s="31">
        <f ca="1">VLOOKUP($A57,Valorisation!$A$5:$AZ$224,35+COLUMN(G56)-4,0)*G$2</f>
        <v>0</v>
      </c>
      <c r="H57" s="31">
        <f ca="1">VLOOKUP($A57,Valorisation!$A$5:$AZ$224,35+COLUMN(H56)-4,0)*H$2</f>
        <v>-0.73978742971415623</v>
      </c>
      <c r="I57" s="31">
        <f ca="1">VLOOKUP($A57,Valorisation!$A$5:$AZ$224,35+COLUMN(I56)-4,0)*I$2</f>
        <v>2.365492255175321</v>
      </c>
      <c r="J57" s="31">
        <f ca="1">VLOOKUP($A57,Valorisation!$A$5:$AZ$224,35+COLUMN(J56)-4,0)*J$2</f>
        <v>1.6714095178325412</v>
      </c>
      <c r="K57" s="31">
        <f ca="1">VLOOKUP($A57,Valorisation!$A$5:$AZ$224,35+COLUMN(K56)-4,0)*K$2</f>
        <v>-1.9962750288743474</v>
      </c>
      <c r="L57" s="31">
        <f ca="1">SUM(D57:K57)</f>
        <v>0.89715800341364527</v>
      </c>
      <c r="M57" s="40">
        <f>VLOOKUP($A57,Valorisation!$A$5:$AF$224,8,0)</f>
        <v>1</v>
      </c>
      <c r="N57" s="31" t="str">
        <f>VLOOKUP($A57,Valorisation!$A$5:$AF$224,13,0)</f>
        <v>C</v>
      </c>
    </row>
    <row r="58" spans="1:14">
      <c r="A58">
        <v>13</v>
      </c>
      <c r="B58" s="8" t="str">
        <f>VLOOKUP($A58,Valorisation!$A$5:$AF$224,2,0)</f>
        <v>Luka Doncic</v>
      </c>
      <c r="C58" s="39">
        <f ca="1">VLOOKUP($A58,Valorisation!$A$5:$AF$224,4,0)</f>
        <v>44.291033046409098</v>
      </c>
      <c r="D58" s="31">
        <f ca="1">VLOOKUP($A58,Valorisation!$A$5:$AZ$224,35+COLUMN(D57)-4,0)*D$2</f>
        <v>0</v>
      </c>
      <c r="E58" s="31">
        <f ca="1">VLOOKUP($A58,Valorisation!$A$5:$AZ$224,35+COLUMN(E57)-4,0)*E$2</f>
        <v>1.488083348201636</v>
      </c>
      <c r="F58" s="31">
        <f ca="1">VLOOKUP($A58,Valorisation!$A$5:$AZ$224,35+COLUMN(F57)-4,0)*F$2</f>
        <v>0.93355951185827535</v>
      </c>
      <c r="G58" s="31">
        <f ca="1">VLOOKUP($A58,Valorisation!$A$5:$AZ$224,35+COLUMN(G57)-4,0)*G$2</f>
        <v>0</v>
      </c>
      <c r="H58" s="31">
        <f ca="1">VLOOKUP($A58,Valorisation!$A$5:$AZ$224,35+COLUMN(H57)-4,0)*H$2</f>
        <v>0.2676885358208474</v>
      </c>
      <c r="I58" s="31">
        <f ca="1">VLOOKUP($A58,Valorisation!$A$5:$AZ$224,35+COLUMN(I57)-4,0)*I$2</f>
        <v>-0.31244045292811706</v>
      </c>
      <c r="J58" s="31">
        <f ca="1">VLOOKUP($A58,Valorisation!$A$5:$AZ$224,35+COLUMN(J57)-4,0)*J$2</f>
        <v>-0.13457446389937222</v>
      </c>
      <c r="K58" s="31">
        <f ca="1">VLOOKUP($A58,Valorisation!$A$5:$AZ$224,35+COLUMN(K57)-4,0)*K$2</f>
        <v>-1.3891923548955929</v>
      </c>
      <c r="L58" s="31">
        <f ca="1">SUM(D58:K58)</f>
        <v>0.8531241241576768</v>
      </c>
      <c r="M58" s="40">
        <f>VLOOKUP($A58,Valorisation!$A$5:$AF$224,8,0)</f>
        <v>1</v>
      </c>
      <c r="N58" s="31" t="str">
        <f>VLOOKUP($A58,Valorisation!$A$5:$AF$224,13,0)</f>
        <v>PG</v>
      </c>
    </row>
    <row r="59" spans="1:14">
      <c r="A59">
        <v>24</v>
      </c>
      <c r="B59" s="8" t="str">
        <f>VLOOKUP($A59,Valorisation!$A$5:$AF$224,2,0)</f>
        <v>Chris Paul</v>
      </c>
      <c r="C59" s="39">
        <f ca="1">VLOOKUP($A59,Valorisation!$A$5:$AF$224,4,0)</f>
        <v>31.953449060529106</v>
      </c>
      <c r="D59" s="31">
        <f ca="1">VLOOKUP($A59,Valorisation!$A$5:$AZ$224,35+COLUMN(D58)-4,0)*D$2</f>
        <v>0</v>
      </c>
      <c r="E59" s="31">
        <f ca="1">VLOOKUP($A59,Valorisation!$A$5:$AZ$224,35+COLUMN(E58)-4,0)*E$2</f>
        <v>-0.35830241676520191</v>
      </c>
      <c r="F59" s="31">
        <f ca="1">VLOOKUP($A59,Valorisation!$A$5:$AZ$224,35+COLUMN(F58)-4,0)*F$2</f>
        <v>-0.54188359836535793</v>
      </c>
      <c r="G59" s="31">
        <f ca="1">VLOOKUP($A59,Valorisation!$A$5:$AZ$224,35+COLUMN(G58)-4,0)*G$2</f>
        <v>0</v>
      </c>
      <c r="H59" s="31">
        <f ca="1">VLOOKUP($A59,Valorisation!$A$5:$AZ$224,35+COLUMN(H58)-4,0)*H$2</f>
        <v>1.1285002039491472</v>
      </c>
      <c r="I59" s="31">
        <f ca="1">VLOOKUP($A59,Valorisation!$A$5:$AZ$224,35+COLUMN(I58)-4,0)*I$2</f>
        <v>-0.76315101657874262</v>
      </c>
      <c r="J59" s="31">
        <f ca="1">VLOOKUP($A59,Valorisation!$A$5:$AZ$224,35+COLUMN(J58)-4,0)*J$2</f>
        <v>0.41452228496339399</v>
      </c>
      <c r="K59" s="31">
        <f ca="1">VLOOKUP($A59,Valorisation!$A$5:$AZ$224,35+COLUMN(K58)-4,0)*K$2</f>
        <v>0.95278489314977977</v>
      </c>
      <c r="L59" s="31">
        <f ca="1">SUM(D59:K59)</f>
        <v>0.83247035035301842</v>
      </c>
      <c r="M59" s="40">
        <f>VLOOKUP($A59,Valorisation!$A$5:$AF$224,8,0)</f>
        <v>1</v>
      </c>
      <c r="N59" s="31" t="str">
        <f>VLOOKUP($A59,Valorisation!$A$5:$AF$224,13,0)</f>
        <v>PG</v>
      </c>
    </row>
    <row r="60" spans="1:14">
      <c r="A60">
        <v>86</v>
      </c>
      <c r="B60" s="8" t="str">
        <f>VLOOKUP($A60,Valorisation!$A$5:$AF$224,2,0)</f>
        <v>PJ Washington</v>
      </c>
      <c r="C60" s="39">
        <f ca="1">VLOOKUP($A60,Valorisation!$A$5:$AF$224,4,0)</f>
        <v>12.290748071016688</v>
      </c>
      <c r="D60" s="31">
        <f ca="1">VLOOKUP($A60,Valorisation!$A$5:$AZ$224,35+COLUMN(D59)-4,0)*D$2</f>
        <v>0</v>
      </c>
      <c r="E60" s="31">
        <f ca="1">VLOOKUP($A60,Valorisation!$A$5:$AZ$224,35+COLUMN(E59)-4,0)*E$2</f>
        <v>-9.0054826020551397E-4</v>
      </c>
      <c r="F60" s="31">
        <f ca="1">VLOOKUP($A60,Valorisation!$A$5:$AZ$224,35+COLUMN(F59)-4,0)*F$2</f>
        <v>0.22660654748478301</v>
      </c>
      <c r="G60" s="31">
        <f ca="1">VLOOKUP($A60,Valorisation!$A$5:$AZ$224,35+COLUMN(G59)-4,0)*G$2</f>
        <v>0</v>
      </c>
      <c r="H60" s="31">
        <f ca="1">VLOOKUP($A60,Valorisation!$A$5:$AZ$224,35+COLUMN(H59)-4,0)*H$2</f>
        <v>0.43350759849937015</v>
      </c>
      <c r="I60" s="31">
        <f ca="1">VLOOKUP($A60,Valorisation!$A$5:$AZ$224,35+COLUMN(I59)-4,0)*I$2</f>
        <v>0.83554730753456163</v>
      </c>
      <c r="J60" s="31">
        <f ca="1">VLOOKUP($A60,Valorisation!$A$5:$AZ$224,35+COLUMN(J59)-4,0)*J$2</f>
        <v>-0.3838077945823728</v>
      </c>
      <c r="K60" s="31">
        <f ca="1">VLOOKUP($A60,Valorisation!$A$5:$AZ$224,35+COLUMN(K59)-4,0)*K$2</f>
        <v>-0.3094492258381959</v>
      </c>
      <c r="L60" s="31">
        <f ca="1">SUM(D60:K60)</f>
        <v>0.80150388483794066</v>
      </c>
      <c r="M60" s="40">
        <f>VLOOKUP($A60,Valorisation!$A$5:$AF$224,8,0)</f>
        <v>1</v>
      </c>
      <c r="N60" s="31" t="str">
        <f>VLOOKUP($A60,Valorisation!$A$5:$AF$224,13,0)</f>
        <v>PF</v>
      </c>
    </row>
    <row r="61" spans="1:14">
      <c r="A61">
        <v>23</v>
      </c>
      <c r="B61" s="8" t="str">
        <f>VLOOKUP($A61,Valorisation!$A$5:$AF$224,2,0)</f>
        <v>Shai Gilgeous-Alexander</v>
      </c>
      <c r="C61" s="39">
        <f ca="1">VLOOKUP($A61,Valorisation!$A$5:$AF$224,4,0)</f>
        <v>32.044535527032735</v>
      </c>
      <c r="D61" s="31">
        <f ca="1">VLOOKUP($A61,Valorisation!$A$5:$AZ$224,35+COLUMN(D60)-4,0)*D$2</f>
        <v>0</v>
      </c>
      <c r="E61" s="31">
        <f ca="1">VLOOKUP($A61,Valorisation!$A$5:$AZ$224,35+COLUMN(E60)-4,0)*E$2</f>
        <v>0.2740631919462802</v>
      </c>
      <c r="F61" s="31">
        <f ca="1">VLOOKUP($A61,Valorisation!$A$5:$AZ$224,35+COLUMN(F60)-4,0)*F$2</f>
        <v>-0.16884594099395628</v>
      </c>
      <c r="G61" s="31">
        <f ca="1">VLOOKUP($A61,Valorisation!$A$5:$AZ$224,35+COLUMN(G60)-4,0)*G$2</f>
        <v>0</v>
      </c>
      <c r="H61" s="31">
        <f ca="1">VLOOKUP($A61,Valorisation!$A$5:$AZ$224,35+COLUMN(H60)-4,0)*H$2</f>
        <v>-0.10072834463383944</v>
      </c>
      <c r="I61" s="31">
        <f ca="1">VLOOKUP($A61,Valorisation!$A$5:$AZ$224,35+COLUMN(I60)-4,0)*I$2</f>
        <v>-1.4052873212687928E-2</v>
      </c>
      <c r="J61" s="31">
        <f ca="1">VLOOKUP($A61,Valorisation!$A$5:$AZ$224,35+COLUMN(J60)-4,0)*J$2</f>
        <v>0.48889651461618816</v>
      </c>
      <c r="K61" s="31">
        <f ca="1">VLOOKUP($A61,Valorisation!$A$5:$AZ$224,35+COLUMN(K60)-4,0)*K$2</f>
        <v>0.25199049971180587</v>
      </c>
      <c r="L61" s="31">
        <f ca="1">SUM(D61:K61)</f>
        <v>0.73132304743379062</v>
      </c>
      <c r="M61" s="40">
        <f>VLOOKUP($A61,Valorisation!$A$5:$AF$224,8,0)</f>
        <v>1</v>
      </c>
      <c r="N61" s="31" t="str">
        <f>VLOOKUP($A61,Valorisation!$A$5:$AF$224,13,0)</f>
        <v>PG/SG</v>
      </c>
    </row>
    <row r="62" spans="1:14">
      <c r="A62">
        <v>57</v>
      </c>
      <c r="B62" s="8" t="str">
        <f>VLOOKUP($A62,Valorisation!$A$5:$AF$224,2,0)</f>
        <v>Cade Cunningham</v>
      </c>
      <c r="C62" s="39">
        <f ca="1">VLOOKUP($A62,Valorisation!$A$5:$AF$224,4,0)</f>
        <v>22.048704277679388</v>
      </c>
      <c r="D62" s="31">
        <f ca="1">VLOOKUP($A62,Valorisation!$A$5:$AZ$224,35+COLUMN(D61)-4,0)*D$2</f>
        <v>0</v>
      </c>
      <c r="E62" s="31">
        <f ca="1">VLOOKUP($A62,Valorisation!$A$5:$AZ$224,35+COLUMN(E61)-4,0)*E$2</f>
        <v>0.38159858601562985</v>
      </c>
      <c r="F62" s="31">
        <f ca="1">VLOOKUP($A62,Valorisation!$A$5:$AZ$224,35+COLUMN(F61)-4,0)*F$2</f>
        <v>6.6371806314983919E-2</v>
      </c>
      <c r="G62" s="31">
        <f ca="1">VLOOKUP($A62,Valorisation!$A$5:$AZ$224,35+COLUMN(G61)-4,0)*G$2</f>
        <v>0</v>
      </c>
      <c r="H62" s="31">
        <f ca="1">VLOOKUP($A62,Valorisation!$A$5:$AZ$224,35+COLUMN(H61)-4,0)*H$2</f>
        <v>0.88597820142679584</v>
      </c>
      <c r="I62" s="31">
        <f ca="1">VLOOKUP($A62,Valorisation!$A$5:$AZ$224,35+COLUMN(I61)-4,0)*I$2</f>
        <v>0.11513896108323131</v>
      </c>
      <c r="J62" s="31">
        <f ca="1">VLOOKUP($A62,Valorisation!$A$5:$AZ$224,35+COLUMN(J61)-4,0)*J$2</f>
        <v>-1.2041566920484805</v>
      </c>
      <c r="K62" s="31">
        <f ca="1">VLOOKUP($A62,Valorisation!$A$5:$AZ$224,35+COLUMN(K61)-4,0)*K$2</f>
        <v>0.4394609914647748</v>
      </c>
      <c r="L62" s="31">
        <f ca="1">SUM(D62:K62)</f>
        <v>0.68439185425693527</v>
      </c>
      <c r="M62" s="40">
        <f>VLOOKUP($A62,Valorisation!$A$5:$AF$224,8,0)</f>
        <v>1</v>
      </c>
      <c r="N62" s="31" t="str">
        <f>VLOOKUP($A62,Valorisation!$A$5:$AF$224,13,0)</f>
        <v>PG</v>
      </c>
    </row>
    <row r="63" spans="1:14">
      <c r="A63">
        <v>65</v>
      </c>
      <c r="B63" s="8" t="str">
        <f>VLOOKUP($A63,Valorisation!$A$5:$AF$224,2,0)</f>
        <v>Kawhi Leonard</v>
      </c>
      <c r="C63" s="39">
        <f ca="1">VLOOKUP($A63,Valorisation!$A$5:$AF$224,4,0)</f>
        <v>19.875069471947231</v>
      </c>
      <c r="D63" s="31">
        <f ca="1">VLOOKUP($A63,Valorisation!$A$5:$AZ$224,35+COLUMN(D62)-4,0)*D$2</f>
        <v>0</v>
      </c>
      <c r="E63" s="31">
        <f ca="1">VLOOKUP($A63,Valorisation!$A$5:$AZ$224,35+COLUMN(E62)-4,0)*E$2</f>
        <v>-0.29445017329763234</v>
      </c>
      <c r="F63" s="31">
        <f ca="1">VLOOKUP($A63,Valorisation!$A$5:$AZ$224,35+COLUMN(F62)-4,0)*F$2</f>
        <v>-0.37852300541908268</v>
      </c>
      <c r="G63" s="31">
        <f ca="1">VLOOKUP($A63,Valorisation!$A$5:$AZ$224,35+COLUMN(G62)-4,0)*G$2</f>
        <v>0</v>
      </c>
      <c r="H63" s="31">
        <f ca="1">VLOOKUP($A63,Valorisation!$A$5:$AZ$224,35+COLUMN(H62)-4,0)*H$2</f>
        <v>0.32175534188034044</v>
      </c>
      <c r="I63" s="31">
        <f ca="1">VLOOKUP($A63,Valorisation!$A$5:$AZ$224,35+COLUMN(I62)-4,0)*I$2</f>
        <v>-0.68633649858986423</v>
      </c>
      <c r="J63" s="31">
        <f ca="1">VLOOKUP($A63,Valorisation!$A$5:$AZ$224,35+COLUMN(J62)-4,0)*J$2</f>
        <v>0.46778382654075423</v>
      </c>
      <c r="K63" s="31">
        <f ca="1">VLOOKUP($A63,Valorisation!$A$5:$AZ$224,35+COLUMN(K62)-4,0)*K$2</f>
        <v>1.237338868605653</v>
      </c>
      <c r="L63" s="31">
        <f ca="1">SUM(D63:K63)</f>
        <v>0.66756835972016837</v>
      </c>
      <c r="M63" s="40">
        <f>VLOOKUP($A63,Valorisation!$A$5:$AF$224,8,0)</f>
        <v>1</v>
      </c>
      <c r="N63" s="31" t="str">
        <f>VLOOKUP($A63,Valorisation!$A$5:$AF$224,13,0)</f>
        <v>SF/PF</v>
      </c>
    </row>
    <row r="64" spans="1:14">
      <c r="A64">
        <v>21</v>
      </c>
      <c r="B64" s="8" t="str">
        <f>VLOOKUP($A64,Valorisation!$A$5:$AF$224,2,0)</f>
        <v>Donovan Mitchell</v>
      </c>
      <c r="C64" s="39">
        <f ca="1">VLOOKUP($A64,Valorisation!$A$5:$AF$224,4,0)</f>
        <v>33.621486464258226</v>
      </c>
      <c r="D64" s="31">
        <f ca="1">VLOOKUP($A64,Valorisation!$A$5:$AZ$224,35+COLUMN(D63)-4,0)*D$2</f>
        <v>0</v>
      </c>
      <c r="E64" s="31">
        <f ca="1">VLOOKUP($A64,Valorisation!$A$5:$AZ$224,35+COLUMN(E63)-4,0)*E$2</f>
        <v>1.4977793202737295</v>
      </c>
      <c r="F64" s="31">
        <f ca="1">VLOOKUP($A64,Valorisation!$A$5:$AZ$224,35+COLUMN(F63)-4,0)*F$2</f>
        <v>-0.39273110723071664</v>
      </c>
      <c r="G64" s="31">
        <f ca="1">VLOOKUP($A64,Valorisation!$A$5:$AZ$224,35+COLUMN(G63)-4,0)*G$2</f>
        <v>0</v>
      </c>
      <c r="H64" s="31">
        <f ca="1">VLOOKUP($A64,Valorisation!$A$5:$AZ$224,35+COLUMN(H63)-4,0)*H$2</f>
        <v>7.1067847302515585E-2</v>
      </c>
      <c r="I64" s="31">
        <f ca="1">VLOOKUP($A64,Valorisation!$A$5:$AZ$224,35+COLUMN(I63)-4,0)*I$2</f>
        <v>-0.83483418359996375</v>
      </c>
      <c r="J64" s="31">
        <f ca="1">VLOOKUP($A64,Valorisation!$A$5:$AZ$224,35+COLUMN(J63)-4,0)*J$2</f>
        <v>-1.0095594628171563</v>
      </c>
      <c r="K64" s="31">
        <f ca="1">VLOOKUP($A64,Valorisation!$A$5:$AZ$224,35+COLUMN(K63)-4,0)*K$2</f>
        <v>1.3243523225676197</v>
      </c>
      <c r="L64" s="31">
        <f ca="1">SUM(D64:K64)</f>
        <v>0.65607473649602821</v>
      </c>
      <c r="M64" s="40">
        <f>VLOOKUP($A64,Valorisation!$A$5:$AF$224,8,0)</f>
        <v>1</v>
      </c>
      <c r="N64" s="31" t="str">
        <f>VLOOKUP($A64,Valorisation!$A$5:$AF$224,13,0)</f>
        <v>PG/SG</v>
      </c>
    </row>
    <row r="65" spans="1:14">
      <c r="A65">
        <v>116</v>
      </c>
      <c r="B65" s="8" t="str">
        <f>VLOOKUP($A65,Valorisation!$A$5:$AF$224,2,0)</f>
        <v>Derrick Favors</v>
      </c>
      <c r="C65" s="39">
        <f ca="1">VLOOKUP($A65,Valorisation!$A$5:$AF$224,4,0)</f>
        <v>4.6327289058562879</v>
      </c>
      <c r="D65" s="31">
        <f ca="1">VLOOKUP($A65,Valorisation!$A$5:$AZ$224,35+COLUMN(D64)-4,0)*D$2</f>
        <v>0</v>
      </c>
      <c r="E65" s="31">
        <f ca="1">VLOOKUP($A65,Valorisation!$A$5:$AZ$224,35+COLUMN(E64)-4,0)*E$2</f>
        <v>-1.7120096997355103</v>
      </c>
      <c r="F65" s="31">
        <f ca="1">VLOOKUP($A65,Valorisation!$A$5:$AZ$224,35+COLUMN(F64)-4,0)*F$2</f>
        <v>1.3220654312949023</v>
      </c>
      <c r="G65" s="31">
        <f ca="1">VLOOKUP($A65,Valorisation!$A$5:$AZ$224,35+COLUMN(G64)-4,0)*G$2</f>
        <v>0</v>
      </c>
      <c r="H65" s="31">
        <f ca="1">VLOOKUP($A65,Valorisation!$A$5:$AZ$224,35+COLUMN(H64)-4,0)*H$2</f>
        <v>-0.93099684576492037</v>
      </c>
      <c r="I65" s="31">
        <f ca="1">VLOOKUP($A65,Valorisation!$A$5:$AZ$224,35+COLUMN(I64)-4,0)*I$2</f>
        <v>0.96627010351112796</v>
      </c>
      <c r="J65" s="31">
        <f ca="1">VLOOKUP($A65,Valorisation!$A$5:$AZ$224,35+COLUMN(J64)-4,0)*J$2</f>
        <v>1.4355080518525118</v>
      </c>
      <c r="K65" s="31">
        <f ca="1">VLOOKUP($A65,Valorisation!$A$5:$AZ$224,35+COLUMN(K64)-4,0)*K$2</f>
        <v>-0.42854942919393035</v>
      </c>
      <c r="L65" s="31">
        <f ca="1">SUM(D65:K65)</f>
        <v>0.65228761196418106</v>
      </c>
      <c r="M65" s="40">
        <f>VLOOKUP($A65,Valorisation!$A$5:$AF$224,8,0)</f>
        <v>1</v>
      </c>
      <c r="N65" s="31" t="str">
        <f>VLOOKUP($A65,Valorisation!$A$5:$AF$224,13,0)</f>
        <v>PF/C</v>
      </c>
    </row>
    <row r="66" spans="1:14">
      <c r="A66">
        <v>102</v>
      </c>
      <c r="B66" s="8" t="str">
        <f>VLOOKUP($A66,Valorisation!$A$5:$AF$224,2,0)</f>
        <v>Chris Boucher</v>
      </c>
      <c r="C66" s="39">
        <f ca="1">VLOOKUP($A66,Valorisation!$A$5:$AF$224,4,0)</f>
        <v>7.6487418935781548</v>
      </c>
      <c r="D66" s="31">
        <f ca="1">VLOOKUP($A66,Valorisation!$A$5:$AZ$224,35+COLUMN(D65)-4,0)*D$2</f>
        <v>0</v>
      </c>
      <c r="E66" s="31">
        <f ca="1">VLOOKUP($A66,Valorisation!$A$5:$AZ$224,35+COLUMN(E65)-4,0)*E$2</f>
        <v>-0.43193204340087521</v>
      </c>
      <c r="F66" s="31">
        <f ca="1">VLOOKUP($A66,Valorisation!$A$5:$AZ$224,35+COLUMN(F65)-4,0)*F$2</f>
        <v>0.32484865106503036</v>
      </c>
      <c r="G66" s="31">
        <f ca="1">VLOOKUP($A66,Valorisation!$A$5:$AZ$224,35+COLUMN(G65)-4,0)*G$2</f>
        <v>0</v>
      </c>
      <c r="H66" s="31">
        <f ca="1">VLOOKUP($A66,Valorisation!$A$5:$AZ$224,35+COLUMN(H65)-4,0)*H$2</f>
        <v>-1.458945673821346</v>
      </c>
      <c r="I66" s="31">
        <f ca="1">VLOOKUP($A66,Valorisation!$A$5:$AZ$224,35+COLUMN(I65)-4,0)*I$2</f>
        <v>1.8818657240910786</v>
      </c>
      <c r="J66" s="31">
        <f ca="1">VLOOKUP($A66,Valorisation!$A$5:$AZ$224,35+COLUMN(J65)-4,0)*J$2</f>
        <v>0.33754229376446759</v>
      </c>
      <c r="K66" s="31">
        <f ca="1">VLOOKUP($A66,Valorisation!$A$5:$AZ$224,35+COLUMN(K65)-4,0)*K$2</f>
        <v>-3.1620635098845939E-2</v>
      </c>
      <c r="L66" s="31">
        <f ca="1">SUM(D66:K66)</f>
        <v>0.62175831659950953</v>
      </c>
      <c r="M66" s="40">
        <f>VLOOKUP($A66,Valorisation!$A$5:$AF$224,8,0)</f>
        <v>1</v>
      </c>
      <c r="N66" s="31" t="str">
        <f>VLOOKUP($A66,Valorisation!$A$5:$AF$224,13,0)</f>
        <v>PF/C</v>
      </c>
    </row>
    <row r="67" spans="1:14">
      <c r="A67">
        <v>83</v>
      </c>
      <c r="B67" s="8" t="str">
        <f>VLOOKUP($A67,Valorisation!$A$5:$AF$224,2,0)</f>
        <v>Kyle Anderson</v>
      </c>
      <c r="C67" s="39">
        <f ca="1">VLOOKUP($A67,Valorisation!$A$5:$AF$224,4,0)</f>
        <v>14.078821044400581</v>
      </c>
      <c r="D67" s="31">
        <f ca="1">VLOOKUP($A67,Valorisation!$A$5:$AZ$224,35+COLUMN(D66)-4,0)*D$2</f>
        <v>0</v>
      </c>
      <c r="E67" s="31">
        <f ca="1">VLOOKUP($A67,Valorisation!$A$5:$AZ$224,35+COLUMN(E66)-4,0)*E$2</f>
        <v>-0.41329626588641116</v>
      </c>
      <c r="F67" s="31">
        <f ca="1">VLOOKUP($A67,Valorisation!$A$5:$AZ$224,35+COLUMN(F66)-4,0)*F$2</f>
        <v>-2.5135493167929696E-2</v>
      </c>
      <c r="G67" s="31">
        <f ca="1">VLOOKUP($A67,Valorisation!$A$5:$AZ$224,35+COLUMN(G66)-4,0)*G$2</f>
        <v>0</v>
      </c>
      <c r="H67" s="31">
        <f ca="1">VLOOKUP($A67,Valorisation!$A$5:$AZ$224,35+COLUMN(H66)-4,0)*H$2</f>
        <v>0.87028290184187906</v>
      </c>
      <c r="I67" s="31">
        <f ca="1">VLOOKUP($A67,Valorisation!$A$5:$AZ$224,35+COLUMN(I66)-4,0)*I$2</f>
        <v>0.53444797831914737</v>
      </c>
      <c r="J67" s="31">
        <f ca="1">VLOOKUP($A67,Valorisation!$A$5:$AZ$224,35+COLUMN(J66)-4,0)*J$2</f>
        <v>-0.15700903621309939</v>
      </c>
      <c r="K67" s="31">
        <f ca="1">VLOOKUP($A67,Valorisation!$A$5:$AZ$224,35+COLUMN(K66)-4,0)*K$2</f>
        <v>-0.21867902674149775</v>
      </c>
      <c r="L67" s="31">
        <f ca="1">SUM(D67:K67)</f>
        <v>0.59061105815208848</v>
      </c>
      <c r="M67" s="40">
        <f>VLOOKUP($A67,Valorisation!$A$5:$AF$224,8,0)</f>
        <v>1</v>
      </c>
      <c r="N67" s="31" t="str">
        <f>VLOOKUP($A67,Valorisation!$A$5:$AF$224,13,0)</f>
        <v>SF/PF</v>
      </c>
    </row>
    <row r="68" spans="1:14">
      <c r="A68">
        <v>85</v>
      </c>
      <c r="B68" s="8" t="str">
        <f>VLOOKUP($A68,Valorisation!$A$5:$AF$224,2,0)</f>
        <v>Kelly Olynyk</v>
      </c>
      <c r="C68" s="39">
        <f ca="1">VLOOKUP($A68,Valorisation!$A$5:$AF$224,4,0)</f>
        <v>12.808853623533693</v>
      </c>
      <c r="D68" s="31">
        <f ca="1">VLOOKUP($A68,Valorisation!$A$5:$AZ$224,35+COLUMN(D67)-4,0)*D$2</f>
        <v>0</v>
      </c>
      <c r="E68" s="31">
        <f ca="1">VLOOKUP($A68,Valorisation!$A$5:$AZ$224,35+COLUMN(E67)-4,0)*E$2</f>
        <v>0.21983817549575757</v>
      </c>
      <c r="F68" s="31">
        <f ca="1">VLOOKUP($A68,Valorisation!$A$5:$AZ$224,35+COLUMN(F67)-4,0)*F$2</f>
        <v>0.20047832844748312</v>
      </c>
      <c r="G68" s="31">
        <f ca="1">VLOOKUP($A68,Valorisation!$A$5:$AZ$224,35+COLUMN(G67)-4,0)*G$2</f>
        <v>0</v>
      </c>
      <c r="H68" s="31">
        <f ca="1">VLOOKUP($A68,Valorisation!$A$5:$AZ$224,35+COLUMN(H67)-4,0)*H$2</f>
        <v>7.4303916509630766E-2</v>
      </c>
      <c r="I68" s="31">
        <f ca="1">VLOOKUP($A68,Valorisation!$A$5:$AZ$224,35+COLUMN(I67)-4,0)*I$2</f>
        <v>-0.30253816554592411</v>
      </c>
      <c r="J68" s="31">
        <f ca="1">VLOOKUP($A68,Valorisation!$A$5:$AZ$224,35+COLUMN(J67)-4,0)*J$2</f>
        <v>6.3379414634788064E-2</v>
      </c>
      <c r="K68" s="31">
        <f ca="1">VLOOKUP($A68,Valorisation!$A$5:$AZ$224,35+COLUMN(K67)-4,0)*K$2</f>
        <v>0.31557800804069869</v>
      </c>
      <c r="L68" s="31">
        <f ca="1">SUM(D68:K68)</f>
        <v>0.57103967758243412</v>
      </c>
      <c r="M68" s="40">
        <f>VLOOKUP($A68,Valorisation!$A$5:$AF$224,8,0)</f>
        <v>1</v>
      </c>
      <c r="N68" s="31" t="str">
        <f>VLOOKUP($A68,Valorisation!$A$5:$AF$224,13,0)</f>
        <v>PF/C</v>
      </c>
    </row>
    <row r="69" spans="1:14">
      <c r="A69">
        <v>82</v>
      </c>
      <c r="B69" s="8" t="str">
        <f>VLOOKUP($A69,Valorisation!$A$5:$AF$224,2,0)</f>
        <v>Norman Powell</v>
      </c>
      <c r="C69" s="39">
        <f ca="1">VLOOKUP($A69,Valorisation!$A$5:$AF$224,4,0)</f>
        <v>15.041983213425084</v>
      </c>
      <c r="D69" s="31">
        <f ca="1">VLOOKUP($A69,Valorisation!$A$5:$AZ$224,35+COLUMN(D68)-4,0)*D$2</f>
        <v>0</v>
      </c>
      <c r="E69" s="31">
        <f ca="1">VLOOKUP($A69,Valorisation!$A$5:$AZ$224,35+COLUMN(E68)-4,0)*E$2</f>
        <v>0.51901218192036758</v>
      </c>
      <c r="F69" s="31">
        <f ca="1">VLOOKUP($A69,Valorisation!$A$5:$AZ$224,35+COLUMN(F68)-4,0)*F$2</f>
        <v>-0.78173368160269407</v>
      </c>
      <c r="G69" s="31">
        <f ca="1">VLOOKUP($A69,Valorisation!$A$5:$AZ$224,35+COLUMN(G68)-4,0)*G$2</f>
        <v>0</v>
      </c>
      <c r="H69" s="31">
        <f ca="1">VLOOKUP($A69,Valorisation!$A$5:$AZ$224,35+COLUMN(H68)-4,0)*H$2</f>
        <v>0.49630172364720548</v>
      </c>
      <c r="I69" s="31">
        <f ca="1">VLOOKUP($A69,Valorisation!$A$5:$AZ$224,35+COLUMN(I68)-4,0)*I$2</f>
        <v>-0.61430373032415631</v>
      </c>
      <c r="J69" s="31">
        <f ca="1">VLOOKUP($A69,Valorisation!$A$5:$AZ$224,35+COLUMN(J68)-4,0)*J$2</f>
        <v>-7.8478074473323708E-2</v>
      </c>
      <c r="K69" s="31">
        <f ca="1">VLOOKUP($A69,Valorisation!$A$5:$AZ$224,35+COLUMN(K68)-4,0)*K$2</f>
        <v>0.99251565717997536</v>
      </c>
      <c r="L69" s="31">
        <f ca="1">SUM(D69:K69)</f>
        <v>0.53331407634737427</v>
      </c>
      <c r="M69" s="40">
        <f>VLOOKUP($A69,Valorisation!$A$5:$AF$224,8,0)</f>
        <v>1</v>
      </c>
      <c r="N69" s="31" t="str">
        <f>VLOOKUP($A69,Valorisation!$A$5:$AF$224,13,0)</f>
        <v>SG/SF</v>
      </c>
    </row>
    <row r="70" spans="1:14">
      <c r="A70">
        <v>110</v>
      </c>
      <c r="B70" s="8" t="str">
        <f>VLOOKUP($A70,Valorisation!$A$5:$AF$224,2,0)</f>
        <v>Danny Green</v>
      </c>
      <c r="C70" s="39">
        <f ca="1">VLOOKUP($A70,Valorisation!$A$5:$AF$224,4,0)</f>
        <v>5.7971985403785204</v>
      </c>
      <c r="D70" s="31">
        <f ca="1">VLOOKUP($A70,Valorisation!$A$5:$AZ$224,35+COLUMN(D69)-4,0)*D$2</f>
        <v>0</v>
      </c>
      <c r="E70" s="31">
        <f ca="1">VLOOKUP($A70,Valorisation!$A$5:$AZ$224,35+COLUMN(E69)-4,0)*E$2</f>
        <v>0.58547942136198505</v>
      </c>
      <c r="F70" s="31">
        <f ca="1">VLOOKUP($A70,Valorisation!$A$5:$AZ$224,35+COLUMN(F69)-4,0)*F$2</f>
        <v>-0.7852453142413075</v>
      </c>
      <c r="G70" s="31">
        <f ca="1">VLOOKUP($A70,Valorisation!$A$5:$AZ$224,35+COLUMN(G69)-4,0)*G$2</f>
        <v>0</v>
      </c>
      <c r="H70" s="31">
        <f ca="1">VLOOKUP($A70,Valorisation!$A$5:$AZ$224,35+COLUMN(H69)-4,0)*H$2</f>
        <v>1.1680924320084605</v>
      </c>
      <c r="I70" s="31">
        <f ca="1">VLOOKUP($A70,Valorisation!$A$5:$AZ$224,35+COLUMN(I69)-4,0)*I$2</f>
        <v>0.28343912795927134</v>
      </c>
      <c r="J70" s="31">
        <f ca="1">VLOOKUP($A70,Valorisation!$A$5:$AZ$224,35+COLUMN(J69)-4,0)*J$2</f>
        <v>-0.67990081495347587</v>
      </c>
      <c r="K70" s="31">
        <f ca="1">VLOOKUP($A70,Valorisation!$A$5:$AZ$224,35+COLUMN(K69)-4,0)*K$2</f>
        <v>-7.7969842238242715E-2</v>
      </c>
      <c r="L70" s="31">
        <f ca="1">SUM(D70:K70)</f>
        <v>0.49389500989669083</v>
      </c>
      <c r="M70" s="40">
        <f>VLOOKUP($A70,Valorisation!$A$5:$AF$224,8,0)</f>
        <v>1</v>
      </c>
      <c r="N70" s="31" t="str">
        <f>VLOOKUP($A70,Valorisation!$A$5:$AF$224,13,0)</f>
        <v>SG/SF</v>
      </c>
    </row>
    <row r="71" spans="1:14">
      <c r="A71">
        <v>38</v>
      </c>
      <c r="B71" s="8" t="str">
        <f>VLOOKUP($A71,Valorisation!$A$5:$AF$224,2,0)</f>
        <v>Devin Booker</v>
      </c>
      <c r="C71" s="39">
        <f ca="1">VLOOKUP($A71,Valorisation!$A$5:$AF$224,4,0)</f>
        <v>28.173213848781277</v>
      </c>
      <c r="D71" s="31">
        <f ca="1">VLOOKUP($A71,Valorisation!$A$5:$AZ$224,35+COLUMN(D70)-4,0)*D$2</f>
        <v>0</v>
      </c>
      <c r="E71" s="31">
        <f ca="1">VLOOKUP($A71,Valorisation!$A$5:$AZ$224,35+COLUMN(E70)-4,0)*E$2</f>
        <v>0.39322756544718773</v>
      </c>
      <c r="F71" s="31">
        <f ca="1">VLOOKUP($A71,Valorisation!$A$5:$AZ$224,35+COLUMN(F70)-4,0)*F$2</f>
        <v>-0.6565822627528739</v>
      </c>
      <c r="G71" s="31">
        <f ca="1">VLOOKUP($A71,Valorisation!$A$5:$AZ$224,35+COLUMN(G70)-4,0)*G$2</f>
        <v>0</v>
      </c>
      <c r="H71" s="31">
        <f ca="1">VLOOKUP($A71,Valorisation!$A$5:$AZ$224,35+COLUMN(H70)-4,0)*H$2</f>
        <v>-0.69577836312451191</v>
      </c>
      <c r="I71" s="31">
        <f ca="1">VLOOKUP($A71,Valorisation!$A$5:$AZ$224,35+COLUMN(I70)-4,0)*I$2</f>
        <v>-0.84653479397138265</v>
      </c>
      <c r="J71" s="31">
        <f ca="1">VLOOKUP($A71,Valorisation!$A$5:$AZ$224,35+COLUMN(J70)-4,0)*J$2</f>
        <v>0.29311256170092242</v>
      </c>
      <c r="K71" s="31">
        <f ca="1">VLOOKUP($A71,Valorisation!$A$5:$AZ$224,35+COLUMN(K70)-4,0)*K$2</f>
        <v>1.872615400352919</v>
      </c>
      <c r="L71" s="31">
        <f ca="1">SUM(D71:K71)</f>
        <v>0.36006010765226071</v>
      </c>
      <c r="M71" s="40">
        <f>VLOOKUP($A71,Valorisation!$A$5:$AF$224,8,0)</f>
        <v>1</v>
      </c>
      <c r="N71" s="31" t="str">
        <f>VLOOKUP($A71,Valorisation!$A$5:$AF$224,13,0)</f>
        <v>PG/SG</v>
      </c>
    </row>
    <row r="72" spans="1:14">
      <c r="A72">
        <v>77</v>
      </c>
      <c r="B72" s="8" t="str">
        <f>VLOOKUP($A72,Valorisation!$A$5:$AF$224,2,0)</f>
        <v>Buddy Hield</v>
      </c>
      <c r="C72" s="39">
        <f ca="1">VLOOKUP($A72,Valorisation!$A$5:$AF$224,4,0)</f>
        <v>16.852515047539598</v>
      </c>
      <c r="D72" s="31">
        <f ca="1">VLOOKUP($A72,Valorisation!$A$5:$AZ$224,35+COLUMN(D71)-4,0)*D$2</f>
        <v>0</v>
      </c>
      <c r="E72" s="31">
        <f ca="1">VLOOKUP($A72,Valorisation!$A$5:$AZ$224,35+COLUMN(E71)-4,0)*E$2</f>
        <v>2.3446086644106399</v>
      </c>
      <c r="F72" s="31">
        <f ca="1">VLOOKUP($A72,Valorisation!$A$5:$AZ$224,35+COLUMN(F71)-4,0)*F$2</f>
        <v>-0.45134269120355702</v>
      </c>
      <c r="G72" s="31">
        <f ca="1">VLOOKUP($A72,Valorisation!$A$5:$AZ$224,35+COLUMN(G71)-4,0)*G$2</f>
        <v>0</v>
      </c>
      <c r="H72" s="31">
        <f ca="1">VLOOKUP($A72,Valorisation!$A$5:$AZ$224,35+COLUMN(H71)-4,0)*H$2</f>
        <v>-0.24757990241623906</v>
      </c>
      <c r="I72" s="31">
        <f ca="1">VLOOKUP($A72,Valorisation!$A$5:$AZ$224,35+COLUMN(I71)-4,0)*I$2</f>
        <v>-0.45960942942305594</v>
      </c>
      <c r="J72" s="31">
        <f ca="1">VLOOKUP($A72,Valorisation!$A$5:$AZ$224,35+COLUMN(J71)-4,0)*J$2</f>
        <v>-1.0998921387680158</v>
      </c>
      <c r="K72" s="31">
        <f ca="1">VLOOKUP($A72,Valorisation!$A$5:$AZ$224,35+COLUMN(K71)-4,0)*K$2</f>
        <v>0.22702555869748442</v>
      </c>
      <c r="L72" s="31">
        <f ca="1">SUM(D72:K72)</f>
        <v>0.31321006129725648</v>
      </c>
      <c r="M72" s="40">
        <f>VLOOKUP($A72,Valorisation!$A$5:$AF$224,8,0)</f>
        <v>1</v>
      </c>
      <c r="N72" s="31" t="str">
        <f>VLOOKUP($A72,Valorisation!$A$5:$AF$224,13,0)</f>
        <v>SG/SF</v>
      </c>
    </row>
    <row r="73" spans="1:14">
      <c r="A73">
        <v>43</v>
      </c>
      <c r="B73" s="8" t="str">
        <f>VLOOKUP($A73,Valorisation!$A$5:$AF$224,2,0)</f>
        <v>Brandon Ingram</v>
      </c>
      <c r="C73" s="39">
        <f ca="1">VLOOKUP($A73,Valorisation!$A$5:$AF$224,4,0)</f>
        <v>27.347552408868552</v>
      </c>
      <c r="D73" s="31">
        <f ca="1">VLOOKUP($A73,Valorisation!$A$5:$AZ$224,35+COLUMN(D72)-4,0)*D$2</f>
        <v>0</v>
      </c>
      <c r="E73" s="31">
        <f ca="1">VLOOKUP($A73,Valorisation!$A$5:$AZ$224,35+COLUMN(E72)-4,0)*E$2</f>
        <v>0.65169288482299836</v>
      </c>
      <c r="F73" s="31">
        <f ca="1">VLOOKUP($A73,Valorisation!$A$5:$AZ$224,35+COLUMN(F72)-4,0)*F$2</f>
        <v>-0.2719198717468988</v>
      </c>
      <c r="G73" s="31">
        <f ca="1">VLOOKUP($A73,Valorisation!$A$5:$AZ$224,35+COLUMN(G72)-4,0)*G$2</f>
        <v>0</v>
      </c>
      <c r="H73" s="31">
        <f ca="1">VLOOKUP($A73,Valorisation!$A$5:$AZ$224,35+COLUMN(H72)-4,0)*H$2</f>
        <v>-0.78379376824363534</v>
      </c>
      <c r="I73" s="31">
        <f ca="1">VLOOKUP($A73,Valorisation!$A$5:$AZ$224,35+COLUMN(I72)-4,0)*I$2</f>
        <v>-0.41276524038924989</v>
      </c>
      <c r="J73" s="31">
        <f ca="1">VLOOKUP($A73,Valorisation!$A$5:$AZ$224,35+COLUMN(J72)-4,0)*J$2</f>
        <v>-0.38464460250148269</v>
      </c>
      <c r="K73" s="31">
        <f ca="1">VLOOKUP($A73,Valorisation!$A$5:$AZ$224,35+COLUMN(K72)-4,0)*K$2</f>
        <v>1.4748261894926218</v>
      </c>
      <c r="L73" s="31">
        <f ca="1">SUM(D73:K73)</f>
        <v>0.27339559143435332</v>
      </c>
      <c r="M73" s="40">
        <f>VLOOKUP($A73,Valorisation!$A$5:$AF$224,8,0)</f>
        <v>1</v>
      </c>
      <c r="N73" s="31" t="str">
        <f>VLOOKUP($A73,Valorisation!$A$5:$AF$224,13,0)</f>
        <v>SF/PF</v>
      </c>
    </row>
    <row r="74" spans="1:14">
      <c r="A74">
        <v>51</v>
      </c>
      <c r="B74" s="8" t="str">
        <f>VLOOKUP($A74,Valorisation!$A$5:$AF$224,2,0)</f>
        <v>Derrick White</v>
      </c>
      <c r="C74" s="39">
        <f ca="1">VLOOKUP($A74,Valorisation!$A$5:$AF$224,4,0)</f>
        <v>24.395853379428878</v>
      </c>
      <c r="D74" s="31">
        <f ca="1">VLOOKUP($A74,Valorisation!$A$5:$AZ$224,35+COLUMN(D73)-4,0)*D$2</f>
        <v>0</v>
      </c>
      <c r="E74" s="31">
        <f ca="1">VLOOKUP($A74,Valorisation!$A$5:$AZ$224,35+COLUMN(E73)-4,0)*E$2</f>
        <v>1.1926219043491082</v>
      </c>
      <c r="F74" s="31">
        <f ca="1">VLOOKUP($A74,Valorisation!$A$5:$AZ$224,35+COLUMN(F73)-4,0)*F$2</f>
        <v>-0.89435211192435393</v>
      </c>
      <c r="G74" s="31">
        <f ca="1">VLOOKUP($A74,Valorisation!$A$5:$AZ$224,35+COLUMN(G73)-4,0)*G$2</f>
        <v>0</v>
      </c>
      <c r="H74" s="31">
        <f ca="1">VLOOKUP($A74,Valorisation!$A$5:$AZ$224,35+COLUMN(H73)-4,0)*H$2</f>
        <v>-0.57847116977295709</v>
      </c>
      <c r="I74" s="31">
        <f ca="1">VLOOKUP($A74,Valorisation!$A$5:$AZ$224,35+COLUMN(I73)-4,0)*I$2</f>
        <v>0.74793298301279598</v>
      </c>
      <c r="J74" s="31">
        <f ca="1">VLOOKUP($A74,Valorisation!$A$5:$AZ$224,35+COLUMN(J73)-4,0)*J$2</f>
        <v>-1.1604997848027165</v>
      </c>
      <c r="K74" s="31">
        <f ca="1">VLOOKUP($A74,Valorisation!$A$5:$AZ$224,35+COLUMN(K73)-4,0)*K$2</f>
        <v>0.93885297739363471</v>
      </c>
      <c r="L74" s="31">
        <f ca="1">SUM(D74:K74)</f>
        <v>0.24608479825551133</v>
      </c>
      <c r="M74" s="40">
        <f>VLOOKUP($A74,Valorisation!$A$5:$AF$224,8,0)</f>
        <v>1</v>
      </c>
      <c r="N74" s="31" t="str">
        <f>VLOOKUP($A74,Valorisation!$A$5:$AF$224,13,0)</f>
        <v>PG/SG</v>
      </c>
    </row>
    <row r="75" spans="1:14">
      <c r="A75">
        <v>88</v>
      </c>
      <c r="B75" s="8" t="str">
        <f>VLOOKUP($A75,Valorisation!$A$5:$AF$224,2,0)</f>
        <v>Miles Bridges</v>
      </c>
      <c r="C75" s="39">
        <f ca="1">VLOOKUP($A75,Valorisation!$A$5:$AF$224,4,0)</f>
        <v>11.608861699341105</v>
      </c>
      <c r="D75" s="31">
        <f ca="1">VLOOKUP($A75,Valorisation!$A$5:$AZ$224,35+COLUMN(D74)-4,0)*D$2</f>
        <v>0</v>
      </c>
      <c r="E75" s="31">
        <f ca="1">VLOOKUP($A75,Valorisation!$A$5:$AZ$224,35+COLUMN(E74)-4,0)*E$2</f>
        <v>0.3439576802496972</v>
      </c>
      <c r="F75" s="31">
        <f ca="1">VLOOKUP($A75,Valorisation!$A$5:$AZ$224,35+COLUMN(F74)-4,0)*F$2</f>
        <v>0.2327165310135052</v>
      </c>
      <c r="G75" s="31">
        <f ca="1">VLOOKUP($A75,Valorisation!$A$5:$AZ$224,35+COLUMN(G74)-4,0)*G$2</f>
        <v>0</v>
      </c>
      <c r="H75" s="31">
        <f ca="1">VLOOKUP($A75,Valorisation!$A$5:$AZ$224,35+COLUMN(H74)-4,0)*H$2</f>
        <v>-1.0962293355127726</v>
      </c>
      <c r="I75" s="31">
        <f ca="1">VLOOKUP($A75,Valorisation!$A$5:$AZ$224,35+COLUMN(I74)-4,0)*I$2</f>
        <v>0.19185022941546914</v>
      </c>
      <c r="J75" s="31">
        <f ca="1">VLOOKUP($A75,Valorisation!$A$5:$AZ$224,35+COLUMN(J74)-4,0)*J$2</f>
        <v>0.16560125340814752</v>
      </c>
      <c r="K75" s="31">
        <f ca="1">VLOOKUP($A75,Valorisation!$A$5:$AZ$224,35+COLUMN(K74)-4,0)*K$2</f>
        <v>0.40352610218441404</v>
      </c>
      <c r="L75" s="31">
        <f ca="1">SUM(D75:K75)</f>
        <v>0.24142246075846052</v>
      </c>
      <c r="M75" s="40">
        <f>VLOOKUP($A75,Valorisation!$A$5:$AF$224,8,0)</f>
        <v>1</v>
      </c>
      <c r="N75" s="31" t="str">
        <f>VLOOKUP($A75,Valorisation!$A$5:$AF$224,13,0)</f>
        <v>SF/PF</v>
      </c>
    </row>
    <row r="76" spans="1:14">
      <c r="A76">
        <v>109</v>
      </c>
      <c r="B76" s="8" t="str">
        <f>VLOOKUP($A76,Valorisation!$A$5:$AF$224,2,0)</f>
        <v>Brook Lopez</v>
      </c>
      <c r="C76" s="39">
        <f ca="1">VLOOKUP($A76,Valorisation!$A$5:$AF$224,4,0)</f>
        <v>5.782714587420501</v>
      </c>
      <c r="D76" s="31">
        <f ca="1">VLOOKUP($A76,Valorisation!$A$5:$AZ$224,35+COLUMN(D75)-4,0)*D$2</f>
        <v>0</v>
      </c>
      <c r="E76" s="31">
        <f ca="1">VLOOKUP($A76,Valorisation!$A$5:$AZ$224,35+COLUMN(E75)-4,0)*E$2</f>
        <v>-0.28951723251147465</v>
      </c>
      <c r="F76" s="31">
        <f ca="1">VLOOKUP($A76,Valorisation!$A$5:$AZ$224,35+COLUMN(F75)-4,0)*F$2</f>
        <v>-0.35638527801657011</v>
      </c>
      <c r="G76" s="31">
        <f ca="1">VLOOKUP($A76,Valorisation!$A$5:$AZ$224,35+COLUMN(G75)-4,0)*G$2</f>
        <v>0</v>
      </c>
      <c r="H76" s="31">
        <f ca="1">VLOOKUP($A76,Valorisation!$A$5:$AZ$224,35+COLUMN(H75)-4,0)*H$2</f>
        <v>-1.2908774076239551</v>
      </c>
      <c r="I76" s="31">
        <f ca="1">VLOOKUP($A76,Valorisation!$A$5:$AZ$224,35+COLUMN(I75)-4,0)*I$2</f>
        <v>1.5639162276548486</v>
      </c>
      <c r="J76" s="31">
        <f ca="1">VLOOKUP($A76,Valorisation!$A$5:$AZ$224,35+COLUMN(J75)-4,0)*J$2</f>
        <v>0.23419233406457088</v>
      </c>
      <c r="K76" s="31">
        <f ca="1">VLOOKUP($A76,Valorisation!$A$5:$AZ$224,35+COLUMN(K75)-4,0)*K$2</f>
        <v>0.3671816038721129</v>
      </c>
      <c r="L76" s="31">
        <f ca="1">SUM(D76:K76)</f>
        <v>0.2285102474395326</v>
      </c>
      <c r="M76" s="40">
        <f>VLOOKUP($A76,Valorisation!$A$5:$AF$224,8,0)</f>
        <v>1</v>
      </c>
      <c r="N76" s="31" t="str">
        <f>VLOOKUP($A76,Valorisation!$A$5:$AF$224,13,0)</f>
        <v>C</v>
      </c>
    </row>
    <row r="77" spans="1:14">
      <c r="A77">
        <v>89</v>
      </c>
      <c r="B77" s="8" t="str">
        <f>VLOOKUP($A77,Valorisation!$A$5:$AF$224,2,0)</f>
        <v>T.J. Warren</v>
      </c>
      <c r="C77" s="39">
        <f ca="1">VLOOKUP($A77,Valorisation!$A$5:$AF$224,4,0)</f>
        <v>11.60722583142565</v>
      </c>
      <c r="D77" s="31">
        <f ca="1">VLOOKUP($A77,Valorisation!$A$5:$AZ$224,35+COLUMN(D76)-4,0)*D$2</f>
        <v>0</v>
      </c>
      <c r="E77" s="31">
        <f ca="1">VLOOKUP($A77,Valorisation!$A$5:$AZ$224,35+COLUMN(E76)-4,0)*E$2</f>
        <v>-0.52610350863573885</v>
      </c>
      <c r="F77" s="31">
        <f ca="1">VLOOKUP($A77,Valorisation!$A$5:$AZ$224,35+COLUMN(F76)-4,0)*F$2</f>
        <v>-0.72367097263091695</v>
      </c>
      <c r="G77" s="31">
        <f ca="1">VLOOKUP($A77,Valorisation!$A$5:$AZ$224,35+COLUMN(G76)-4,0)*G$2</f>
        <v>0</v>
      </c>
      <c r="H77" s="31">
        <f ca="1">VLOOKUP($A77,Valorisation!$A$5:$AZ$224,35+COLUMN(H76)-4,0)*H$2</f>
        <v>0.46933927443118617</v>
      </c>
      <c r="I77" s="31">
        <f ca="1">VLOOKUP($A77,Valorisation!$A$5:$AZ$224,35+COLUMN(I76)-4,0)*I$2</f>
        <v>-0.42099025860966061</v>
      </c>
      <c r="J77" s="31">
        <f ca="1">VLOOKUP($A77,Valorisation!$A$5:$AZ$224,35+COLUMN(J76)-4,0)*J$2</f>
        <v>1.2615905675479955</v>
      </c>
      <c r="K77" s="31">
        <f ca="1">VLOOKUP($A77,Valorisation!$A$5:$AZ$224,35+COLUMN(K76)-4,0)*K$2</f>
        <v>0.11748135512642971</v>
      </c>
      <c r="L77" s="31">
        <f ca="1">SUM(D77:K77)</f>
        <v>0.17764645722929501</v>
      </c>
      <c r="M77" s="40">
        <f>VLOOKUP($A77,Valorisation!$A$5:$AF$224,8,0)</f>
        <v>1</v>
      </c>
      <c r="N77" s="31" t="str">
        <f>VLOOKUP($A77,Valorisation!$A$5:$AF$224,13,0)</f>
        <v>SF</v>
      </c>
    </row>
    <row r="78" spans="1:14">
      <c r="A78">
        <v>78</v>
      </c>
      <c r="B78" s="8" t="str">
        <f>VLOOKUP($A78,Valorisation!$A$5:$AF$224,2,0)</f>
        <v>Bogdan Bogdanovic</v>
      </c>
      <c r="C78" s="39">
        <f ca="1">VLOOKUP($A78,Valorisation!$A$5:$AF$224,4,0)</f>
        <v>16.146979360026187</v>
      </c>
      <c r="D78" s="31">
        <f ca="1">VLOOKUP($A78,Valorisation!$A$5:$AZ$224,35+COLUMN(D77)-4,0)*D$2</f>
        <v>0</v>
      </c>
      <c r="E78" s="31">
        <f ca="1">VLOOKUP($A78,Valorisation!$A$5:$AZ$224,35+COLUMN(E77)-4,0)*E$2</f>
        <v>1.2701663679875668</v>
      </c>
      <c r="F78" s="31">
        <f ca="1">VLOOKUP($A78,Valorisation!$A$5:$AZ$224,35+COLUMN(F77)-4,0)*F$2</f>
        <v>-0.8472939940294627</v>
      </c>
      <c r="G78" s="31">
        <f ca="1">VLOOKUP($A78,Valorisation!$A$5:$AZ$224,35+COLUMN(G77)-4,0)*G$2</f>
        <v>0</v>
      </c>
      <c r="H78" s="31">
        <f ca="1">VLOOKUP($A78,Valorisation!$A$5:$AZ$224,35+COLUMN(H77)-4,0)*H$2</f>
        <v>0.5532421591626161</v>
      </c>
      <c r="I78" s="31">
        <f ca="1">VLOOKUP($A78,Valorisation!$A$5:$AZ$224,35+COLUMN(I77)-4,0)*I$2</f>
        <v>-0.63954675299549324</v>
      </c>
      <c r="J78" s="31">
        <f ca="1">VLOOKUP($A78,Valorisation!$A$5:$AZ$224,35+COLUMN(J77)-4,0)*J$2</f>
        <v>-0.50398090787014616</v>
      </c>
      <c r="K78" s="31">
        <f ca="1">VLOOKUP($A78,Valorisation!$A$5:$AZ$224,35+COLUMN(K77)-4,0)*K$2</f>
        <v>0.34012735206356692</v>
      </c>
      <c r="L78" s="31">
        <f ca="1">SUM(D78:K78)</f>
        <v>0.17271422431864769</v>
      </c>
      <c r="M78" s="40">
        <f>VLOOKUP($A78,Valorisation!$A$5:$AF$224,8,0)</f>
        <v>1</v>
      </c>
      <c r="N78" s="31" t="str">
        <f>VLOOKUP($A78,Valorisation!$A$5:$AF$224,13,0)</f>
        <v>SG/SF</v>
      </c>
    </row>
    <row r="79" spans="1:14">
      <c r="A79">
        <v>107</v>
      </c>
      <c r="B79" s="8" t="str">
        <f>VLOOKUP($A79,Valorisation!$A$5:$AF$224,2,0)</f>
        <v>Larry Nance Jr.</v>
      </c>
      <c r="C79" s="39">
        <f ca="1">VLOOKUP($A79,Valorisation!$A$5:$AF$224,4,0)</f>
        <v>6.271844070006229</v>
      </c>
      <c r="D79" s="31">
        <f ca="1">VLOOKUP($A79,Valorisation!$A$5:$AZ$224,35+COLUMN(D78)-4,0)*D$2</f>
        <v>0</v>
      </c>
      <c r="E79" s="31">
        <f ca="1">VLOOKUP($A79,Valorisation!$A$5:$AZ$224,35+COLUMN(E78)-4,0)*E$2</f>
        <v>-0.63685071607189991</v>
      </c>
      <c r="F79" s="31">
        <f ca="1">VLOOKUP($A79,Valorisation!$A$5:$AZ$224,35+COLUMN(F78)-4,0)*F$2</f>
        <v>0.15507329003155304</v>
      </c>
      <c r="G79" s="31">
        <f ca="1">VLOOKUP($A79,Valorisation!$A$5:$AZ$224,35+COLUMN(G78)-4,0)*G$2</f>
        <v>0</v>
      </c>
      <c r="H79" s="31">
        <f ca="1">VLOOKUP($A79,Valorisation!$A$5:$AZ$224,35+COLUMN(H78)-4,0)*H$2</f>
        <v>1.3764331016272857</v>
      </c>
      <c r="I79" s="31">
        <f ca="1">VLOOKUP($A79,Valorisation!$A$5:$AZ$224,35+COLUMN(I78)-4,0)*I$2</f>
        <v>-0.50220410311430064</v>
      </c>
      <c r="J79" s="31">
        <f ca="1">VLOOKUP($A79,Valorisation!$A$5:$AZ$224,35+COLUMN(J78)-4,0)*J$2</f>
        <v>0.29301370540868221</v>
      </c>
      <c r="K79" s="31">
        <f ca="1">VLOOKUP($A79,Valorisation!$A$5:$AZ$224,35+COLUMN(K78)-4,0)*K$2</f>
        <v>-0.66452029657624045</v>
      </c>
      <c r="L79" s="31">
        <f ca="1">SUM(D79:K79)</f>
        <v>2.0944981305079935E-2</v>
      </c>
      <c r="M79" s="40">
        <f>VLOOKUP($A79,Valorisation!$A$5:$AF$224,8,0)</f>
        <v>1</v>
      </c>
      <c r="N79" s="31" t="str">
        <f>VLOOKUP($A79,Valorisation!$A$5:$AF$224,13,0)</f>
        <v>PF</v>
      </c>
    </row>
    <row r="80" spans="1:14">
      <c r="A80">
        <v>106</v>
      </c>
      <c r="B80" s="8" t="str">
        <f>VLOOKUP($A80,Valorisation!$A$5:$AF$224,2,0)</f>
        <v>Jarrett Allen</v>
      </c>
      <c r="C80" s="39">
        <f ca="1">VLOOKUP($A80,Valorisation!$A$5:$AF$224,4,0)</f>
        <v>6.5603540959809736</v>
      </c>
      <c r="D80" s="31">
        <f ca="1">VLOOKUP($A80,Valorisation!$A$5:$AZ$224,35+COLUMN(D79)-4,0)*D$2</f>
        <v>0</v>
      </c>
      <c r="E80" s="31">
        <f ca="1">VLOOKUP($A80,Valorisation!$A$5:$AZ$224,35+COLUMN(E79)-4,0)*E$2</f>
        <v>-1.6067223740034051</v>
      </c>
      <c r="F80" s="31">
        <f ca="1">VLOOKUP($A80,Valorisation!$A$5:$AZ$224,35+COLUMN(F79)-4,0)*F$2</f>
        <v>1.8726575486613042</v>
      </c>
      <c r="G80" s="31">
        <f ca="1">VLOOKUP($A80,Valorisation!$A$5:$AZ$224,35+COLUMN(G79)-4,0)*G$2</f>
        <v>0</v>
      </c>
      <c r="H80" s="31">
        <f ca="1">VLOOKUP($A80,Valorisation!$A$5:$AZ$224,35+COLUMN(H79)-4,0)*H$2</f>
        <v>-1.5620684125547368</v>
      </c>
      <c r="I80" s="31">
        <f ca="1">VLOOKUP($A80,Valorisation!$A$5:$AZ$224,35+COLUMN(I79)-4,0)*I$2</f>
        <v>1.4101589483317147</v>
      </c>
      <c r="J80" s="31">
        <f ca="1">VLOOKUP($A80,Valorisation!$A$5:$AZ$224,35+COLUMN(J79)-4,0)*J$2</f>
        <v>1.6727102931409101</v>
      </c>
      <c r="K80" s="31">
        <f ca="1">VLOOKUP($A80,Valorisation!$A$5:$AZ$224,35+COLUMN(K79)-4,0)*K$2</f>
        <v>-1.8080980073160793</v>
      </c>
      <c r="L80" s="31">
        <f ca="1">SUM(D80:K80)</f>
        <v>-2.1362003740292179E-2</v>
      </c>
      <c r="M80" s="40">
        <f>VLOOKUP($A80,Valorisation!$A$5:$AF$224,8,0)</f>
        <v>1</v>
      </c>
      <c r="N80" s="31" t="str">
        <f>VLOOKUP($A80,Valorisation!$A$5:$AF$224,13,0)</f>
        <v>C</v>
      </c>
    </row>
    <row r="81" spans="1:14">
      <c r="A81">
        <v>18</v>
      </c>
      <c r="B81" s="8" t="str">
        <f>VLOOKUP($A81,Valorisation!$A$5:$AF$224,2,0)</f>
        <v>Trae Young</v>
      </c>
      <c r="C81" s="39">
        <f ca="1">VLOOKUP($A81,Valorisation!$A$5:$AF$224,4,0)</f>
        <v>36.712199036551965</v>
      </c>
      <c r="D81" s="31">
        <f ca="1">VLOOKUP($A81,Valorisation!$A$5:$AZ$224,35+COLUMN(D80)-4,0)*D$2</f>
        <v>0</v>
      </c>
      <c r="E81" s="31">
        <f ca="1">VLOOKUP($A81,Valorisation!$A$5:$AZ$224,35+COLUMN(E80)-4,0)*E$2</f>
        <v>0.65393273369528404</v>
      </c>
      <c r="F81" s="31">
        <f ca="1">VLOOKUP($A81,Valorisation!$A$5:$AZ$224,35+COLUMN(F80)-4,0)*F$2</f>
        <v>-0.78714048106214629</v>
      </c>
      <c r="G81" s="31">
        <f ca="1">VLOOKUP($A81,Valorisation!$A$5:$AZ$224,35+COLUMN(G80)-4,0)*G$2</f>
        <v>0</v>
      </c>
      <c r="H81" s="31">
        <f ca="1">VLOOKUP($A81,Valorisation!$A$5:$AZ$224,35+COLUMN(H80)-4,0)*H$2</f>
        <v>-0.21848699583222747</v>
      </c>
      <c r="I81" s="31">
        <f ca="1">VLOOKUP($A81,Valorisation!$A$5:$AZ$224,35+COLUMN(I80)-4,0)*I$2</f>
        <v>-0.97281235059467552</v>
      </c>
      <c r="J81" s="31">
        <f ca="1">VLOOKUP($A81,Valorisation!$A$5:$AZ$224,35+COLUMN(J80)-4,0)*J$2</f>
        <v>-0.90024606399446461</v>
      </c>
      <c r="K81" s="31">
        <f ca="1">VLOOKUP($A81,Valorisation!$A$5:$AZ$224,35+COLUMN(K80)-4,0)*K$2</f>
        <v>2.1522073489718281</v>
      </c>
      <c r="L81" s="31">
        <f ca="1">SUM(D81:K81)</f>
        <v>-7.2545808816401713E-2</v>
      </c>
      <c r="M81" s="40">
        <f>VLOOKUP($A81,Valorisation!$A$5:$AF$224,8,0)</f>
        <v>1</v>
      </c>
      <c r="N81" s="31" t="str">
        <f>VLOOKUP($A81,Valorisation!$A$5:$AF$224,13,0)</f>
        <v>PG</v>
      </c>
    </row>
    <row r="82" spans="1:14">
      <c r="A82">
        <v>120</v>
      </c>
      <c r="B82" s="8" t="str">
        <f>VLOOKUP($A82,Valorisation!$A$5:$AF$224,2,0)</f>
        <v>Dwight Powell</v>
      </c>
      <c r="C82" s="39">
        <f ca="1">VLOOKUP($A82,Valorisation!$A$5:$AF$224,4,0)</f>
        <v>3.9769155518017283</v>
      </c>
      <c r="D82" s="31">
        <f ca="1">VLOOKUP($A82,Valorisation!$A$5:$AZ$224,35+COLUMN(D81)-4,0)*D$2</f>
        <v>0</v>
      </c>
      <c r="E82" s="31">
        <f ca="1">VLOOKUP($A82,Valorisation!$A$5:$AZ$224,35+COLUMN(E81)-4,0)*E$2</f>
        <v>-1.5749706702094666</v>
      </c>
      <c r="F82" s="31">
        <f ca="1">VLOOKUP($A82,Valorisation!$A$5:$AZ$224,35+COLUMN(F81)-4,0)*F$2</f>
        <v>0.31869732178310606</v>
      </c>
      <c r="G82" s="31">
        <f ca="1">VLOOKUP($A82,Valorisation!$A$5:$AZ$224,35+COLUMN(G81)-4,0)*G$2</f>
        <v>0</v>
      </c>
      <c r="H82" s="31">
        <f ca="1">VLOOKUP($A82,Valorisation!$A$5:$AZ$224,35+COLUMN(H81)-4,0)*H$2</f>
        <v>-0.30314503186688851</v>
      </c>
      <c r="I82" s="31">
        <f ca="1">VLOOKUP($A82,Valorisation!$A$5:$AZ$224,35+COLUMN(I81)-4,0)*I$2</f>
        <v>0.3145467745100064</v>
      </c>
      <c r="J82" s="31">
        <f ca="1">VLOOKUP($A82,Valorisation!$A$5:$AZ$224,35+COLUMN(J81)-4,0)*J$2</f>
        <v>1.5242233812261423</v>
      </c>
      <c r="K82" s="31">
        <f ca="1">VLOOKUP($A82,Valorisation!$A$5:$AZ$224,35+COLUMN(K81)-4,0)*K$2</f>
        <v>-0.3599308436346248</v>
      </c>
      <c r="L82" s="31">
        <f ca="1">SUM(D82:K82)</f>
        <v>-8.0579068191725001E-2</v>
      </c>
      <c r="M82" s="40">
        <f>VLOOKUP($A82,Valorisation!$A$5:$AF$224,8,0)</f>
        <v>1</v>
      </c>
      <c r="N82" s="31" t="str">
        <f>VLOOKUP($A82,Valorisation!$A$5:$AF$224,13,0)</f>
        <v>C</v>
      </c>
    </row>
    <row r="83" spans="1:14">
      <c r="A83">
        <v>63</v>
      </c>
      <c r="B83" s="8" t="str">
        <f>VLOOKUP($A83,Valorisation!$A$5:$AF$224,2,0)</f>
        <v>Dejounte Murray</v>
      </c>
      <c r="C83" s="39">
        <f ca="1">VLOOKUP($A83,Valorisation!$A$5:$AF$224,4,0)</f>
        <v>20.756965027727126</v>
      </c>
      <c r="D83" s="31">
        <f ca="1">VLOOKUP($A83,Valorisation!$A$5:$AZ$224,35+COLUMN(D82)-4,0)*D$2</f>
        <v>0</v>
      </c>
      <c r="E83" s="31">
        <f ca="1">VLOOKUP($A83,Valorisation!$A$5:$AZ$224,35+COLUMN(E82)-4,0)*E$2</f>
        <v>-0.74955877642651469</v>
      </c>
      <c r="F83" s="31">
        <f ca="1">VLOOKUP($A83,Valorisation!$A$5:$AZ$224,35+COLUMN(F82)-4,0)*F$2</f>
        <v>0.60368900463109509</v>
      </c>
      <c r="G83" s="31">
        <f ca="1">VLOOKUP($A83,Valorisation!$A$5:$AZ$224,35+COLUMN(G82)-4,0)*G$2</f>
        <v>0</v>
      </c>
      <c r="H83" s="31">
        <f ca="1">VLOOKUP($A83,Valorisation!$A$5:$AZ$224,35+COLUMN(H82)-4,0)*H$2</f>
        <v>1.7189778417799833</v>
      </c>
      <c r="I83" s="31">
        <f ca="1">VLOOKUP($A83,Valorisation!$A$5:$AZ$224,35+COLUMN(I82)-4,0)*I$2</f>
        <v>-0.97796192721962838</v>
      </c>
      <c r="J83" s="31">
        <f ca="1">VLOOKUP($A83,Valorisation!$A$5:$AZ$224,35+COLUMN(J82)-4,0)*J$2</f>
        <v>-0.57622635905956332</v>
      </c>
      <c r="K83" s="31">
        <f ca="1">VLOOKUP($A83,Valorisation!$A$5:$AZ$224,35+COLUMN(K82)-4,0)*K$2</f>
        <v>-0.10118917080739503</v>
      </c>
      <c r="L83" s="31">
        <f ca="1">SUM(D83:K83)</f>
        <v>-8.2269387102023084E-2</v>
      </c>
      <c r="M83" s="40">
        <f>VLOOKUP($A83,Valorisation!$A$5:$AF$224,8,0)</f>
        <v>1</v>
      </c>
      <c r="N83" s="31" t="str">
        <f>VLOOKUP($A83,Valorisation!$A$5:$AF$224,13,0)</f>
        <v>PG/SG</v>
      </c>
    </row>
    <row r="84" spans="1:14">
      <c r="A84">
        <v>90</v>
      </c>
      <c r="B84" s="8" t="str">
        <f>VLOOKUP($A84,Valorisation!$A$5:$AF$224,2,0)</f>
        <v>Thaddeus Young</v>
      </c>
      <c r="C84" s="39">
        <f ca="1">VLOOKUP($A84,Valorisation!$A$5:$AF$224,4,0)</f>
        <v>11.349707542523333</v>
      </c>
      <c r="D84" s="31">
        <f ca="1">VLOOKUP($A84,Valorisation!$A$5:$AZ$224,35+COLUMN(D83)-4,0)*D$2</f>
        <v>0</v>
      </c>
      <c r="E84" s="31">
        <f ca="1">VLOOKUP($A84,Valorisation!$A$5:$AZ$224,35+COLUMN(E83)-4,0)*E$2</f>
        <v>-1.4785119408485969</v>
      </c>
      <c r="F84" s="31">
        <f ca="1">VLOOKUP($A84,Valorisation!$A$5:$AZ$224,35+COLUMN(F83)-4,0)*F$2</f>
        <v>0.49551535314434514</v>
      </c>
      <c r="G84" s="31">
        <f ca="1">VLOOKUP($A84,Valorisation!$A$5:$AZ$224,35+COLUMN(G83)-4,0)*G$2</f>
        <v>0</v>
      </c>
      <c r="H84" s="31">
        <f ca="1">VLOOKUP($A84,Valorisation!$A$5:$AZ$224,35+COLUMN(H83)-4,0)*H$2</f>
        <v>0.684626568971476</v>
      </c>
      <c r="I84" s="31">
        <f ca="1">VLOOKUP($A84,Valorisation!$A$5:$AZ$224,35+COLUMN(I83)-4,0)*I$2</f>
        <v>7.4543271549750309E-2</v>
      </c>
      <c r="J84" s="31">
        <f ca="1">VLOOKUP($A84,Valorisation!$A$5:$AZ$224,35+COLUMN(J83)-4,0)*J$2</f>
        <v>1.1718732138946979</v>
      </c>
      <c r="K84" s="31">
        <f ca="1">VLOOKUP($A84,Valorisation!$A$5:$AZ$224,35+COLUMN(K83)-4,0)*K$2</f>
        <v>-1.0537935207358469</v>
      </c>
      <c r="L84" s="31">
        <f ca="1">SUM(D84:K84)</f>
        <v>-0.1057470540241745</v>
      </c>
      <c r="M84" s="40">
        <f>VLOOKUP($A84,Valorisation!$A$5:$AF$224,8,0)</f>
        <v>1</v>
      </c>
      <c r="N84" s="31" t="str">
        <f>VLOOKUP($A84,Valorisation!$A$5:$AF$224,13,0)</f>
        <v>SF/PF/C</v>
      </c>
    </row>
    <row r="85" spans="1:14">
      <c r="A85">
        <v>27</v>
      </c>
      <c r="B85" s="8" t="str">
        <f>VLOOKUP($A85,Valorisation!$A$5:$AF$224,2,0)</f>
        <v>Zion Williamson</v>
      </c>
      <c r="C85" s="39">
        <f ca="1">VLOOKUP($A85,Valorisation!$A$5:$AF$224,4,0)</f>
        <v>30.181898568227957</v>
      </c>
      <c r="D85" s="31">
        <f ca="1">VLOOKUP($A85,Valorisation!$A$5:$AZ$224,35+COLUMN(D84)-4,0)*D$2</f>
        <v>0</v>
      </c>
      <c r="E85" s="31">
        <f ca="1">VLOOKUP($A85,Valorisation!$A$5:$AZ$224,35+COLUMN(E84)-4,0)*E$2</f>
        <v>-1.5344144860880227</v>
      </c>
      <c r="F85" s="31">
        <f ca="1">VLOOKUP($A85,Valorisation!$A$5:$AZ$224,35+COLUMN(F84)-4,0)*F$2</f>
        <v>0.75413907654627876</v>
      </c>
      <c r="G85" s="31">
        <f ca="1">VLOOKUP($A85,Valorisation!$A$5:$AZ$224,35+COLUMN(G84)-4,0)*G$2</f>
        <v>0</v>
      </c>
      <c r="H85" s="31">
        <f ca="1">VLOOKUP($A85,Valorisation!$A$5:$AZ$224,35+COLUMN(H84)-4,0)*H$2</f>
        <v>-7.1575582037571195E-2</v>
      </c>
      <c r="I85" s="31">
        <f ca="1">VLOOKUP($A85,Valorisation!$A$5:$AZ$224,35+COLUMN(I84)-4,0)*I$2</f>
        <v>-0.1390607115720478</v>
      </c>
      <c r="J85" s="31">
        <f ca="1">VLOOKUP($A85,Valorisation!$A$5:$AZ$224,35+COLUMN(J84)-4,0)*J$2</f>
        <v>4.1955739084507657</v>
      </c>
      <c r="K85" s="31">
        <f ca="1">VLOOKUP($A85,Valorisation!$A$5:$AZ$224,35+COLUMN(K84)-4,0)*K$2</f>
        <v>-3.3415576499339483</v>
      </c>
      <c r="L85" s="31">
        <f ca="1">SUM(D85:K85)</f>
        <v>-0.13689544463454562</v>
      </c>
      <c r="M85" s="40">
        <f>VLOOKUP($A85,Valorisation!$A$5:$AF$224,8,0)</f>
        <v>1</v>
      </c>
      <c r="N85" s="31" t="str">
        <f>VLOOKUP($A85,Valorisation!$A$5:$AF$224,13,0)</f>
        <v>PF</v>
      </c>
    </row>
    <row r="86" spans="1:14">
      <c r="A86">
        <v>95</v>
      </c>
      <c r="B86" s="8" t="str">
        <f>VLOOKUP($A86,Valorisation!$A$5:$AF$224,2,0)</f>
        <v>Jae'Sean Tate</v>
      </c>
      <c r="C86" s="39">
        <f ca="1">VLOOKUP($A86,Valorisation!$A$5:$AF$224,4,0)</f>
        <v>10.233172904391278</v>
      </c>
      <c r="D86" s="31">
        <f ca="1">VLOOKUP($A86,Valorisation!$A$5:$AZ$224,35+COLUMN(D85)-4,0)*D$2</f>
        <v>0</v>
      </c>
      <c r="E86" s="31">
        <f ca="1">VLOOKUP($A86,Valorisation!$A$5:$AZ$224,35+COLUMN(E85)-4,0)*E$2</f>
        <v>-0.63953033822734351</v>
      </c>
      <c r="F86" s="31">
        <f ca="1">VLOOKUP($A86,Valorisation!$A$5:$AZ$224,35+COLUMN(F85)-4,0)*F$2</f>
        <v>-5.0230416403408439E-2</v>
      </c>
      <c r="G86" s="31">
        <f ca="1">VLOOKUP($A86,Valorisation!$A$5:$AZ$224,35+COLUMN(G85)-4,0)*G$2</f>
        <v>0</v>
      </c>
      <c r="H86" s="31">
        <f ca="1">VLOOKUP($A86,Valorisation!$A$5:$AZ$224,35+COLUMN(H85)-4,0)*H$2</f>
        <v>1.3016090798794786</v>
      </c>
      <c r="I86" s="31">
        <f ca="1">VLOOKUP($A86,Valorisation!$A$5:$AZ$224,35+COLUMN(I85)-4,0)*I$2</f>
        <v>-0.25467729843003883</v>
      </c>
      <c r="J86" s="31">
        <f ca="1">VLOOKUP($A86,Valorisation!$A$5:$AZ$224,35+COLUMN(J85)-4,0)*J$2</f>
        <v>0.39514043841177338</v>
      </c>
      <c r="K86" s="31">
        <f ca="1">VLOOKUP($A86,Valorisation!$A$5:$AZ$224,35+COLUMN(K85)-4,0)*K$2</f>
        <v>-0.90274779281793671</v>
      </c>
      <c r="L86" s="31">
        <f ca="1">SUM(D86:K86)</f>
        <v>-0.15043632758747549</v>
      </c>
      <c r="M86" s="40">
        <f>VLOOKUP($A86,Valorisation!$A$5:$AF$224,8,0)</f>
        <v>1</v>
      </c>
      <c r="N86" s="31" t="str">
        <f>VLOOKUP($A86,Valorisation!$A$5:$AF$224,13,0)</f>
        <v>SF</v>
      </c>
    </row>
    <row r="87" spans="1:14">
      <c r="A87">
        <v>72</v>
      </c>
      <c r="B87" s="8" t="str">
        <f>VLOOKUP($A87,Valorisation!$A$5:$AF$224,2,0)</f>
        <v>Jamal Murray</v>
      </c>
      <c r="C87" s="39">
        <f ca="1">VLOOKUP($A87,Valorisation!$A$5:$AF$224,4,0)</f>
        <v>17.47729108912646</v>
      </c>
      <c r="D87" s="31">
        <f ca="1">VLOOKUP($A87,Valorisation!$A$5:$AZ$224,35+COLUMN(D86)-4,0)*D$2</f>
        <v>0</v>
      </c>
      <c r="E87" s="31">
        <f ca="1">VLOOKUP($A87,Valorisation!$A$5:$AZ$224,35+COLUMN(E86)-4,0)*E$2</f>
        <v>0.5372178500941176</v>
      </c>
      <c r="F87" s="31">
        <f ca="1">VLOOKUP($A87,Valorisation!$A$5:$AZ$224,35+COLUMN(F86)-4,0)*F$2</f>
        <v>-0.93766689281730009</v>
      </c>
      <c r="G87" s="31">
        <f ca="1">VLOOKUP($A87,Valorisation!$A$5:$AZ$224,35+COLUMN(G86)-4,0)*G$2</f>
        <v>0</v>
      </c>
      <c r="H87" s="31">
        <f ca="1">VLOOKUP($A87,Valorisation!$A$5:$AZ$224,35+COLUMN(H86)-4,0)*H$2</f>
        <v>0.39359607827828813</v>
      </c>
      <c r="I87" s="31">
        <f ca="1">VLOOKUP($A87,Valorisation!$A$5:$AZ$224,35+COLUMN(I86)-4,0)*I$2</f>
        <v>-0.77829322403544887</v>
      </c>
      <c r="J87" s="31">
        <f ca="1">VLOOKUP($A87,Valorisation!$A$5:$AZ$224,35+COLUMN(J86)-4,0)*J$2</f>
        <v>-0.10224351166900028</v>
      </c>
      <c r="K87" s="31">
        <f ca="1">VLOOKUP($A87,Valorisation!$A$5:$AZ$224,35+COLUMN(K86)-4,0)*K$2</f>
        <v>0.71897323218715736</v>
      </c>
      <c r="L87" s="31">
        <f ca="1">SUM(D87:K87)</f>
        <v>-0.16841646796218612</v>
      </c>
      <c r="M87" s="40">
        <f>VLOOKUP($A87,Valorisation!$A$5:$AF$224,8,0)</f>
        <v>1</v>
      </c>
      <c r="N87" s="31" t="str">
        <f>VLOOKUP($A87,Valorisation!$A$5:$AF$224,13,0)</f>
        <v>PG/SG</v>
      </c>
    </row>
    <row r="88" spans="1:14">
      <c r="A88">
        <v>30</v>
      </c>
      <c r="B88" s="8" t="str">
        <f>VLOOKUP($A88,Valorisation!$A$5:$AF$224,2,0)</f>
        <v>LeBron James</v>
      </c>
      <c r="C88" s="39">
        <f ca="1">VLOOKUP($A88,Valorisation!$A$5:$AF$224,4,0)</f>
        <v>29.871974156205685</v>
      </c>
      <c r="D88" s="31">
        <f ca="1">VLOOKUP($A88,Valorisation!$A$5:$AZ$224,35+COLUMN(D87)-4,0)*D$2</f>
        <v>0</v>
      </c>
      <c r="E88" s="31">
        <f ca="1">VLOOKUP($A88,Valorisation!$A$5:$AZ$224,35+COLUMN(E87)-4,0)*E$2</f>
        <v>0.48805555281058621</v>
      </c>
      <c r="F88" s="31">
        <f ca="1">VLOOKUP($A88,Valorisation!$A$5:$AZ$224,35+COLUMN(F87)-4,0)*F$2</f>
        <v>0.48674056823248063</v>
      </c>
      <c r="G88" s="31">
        <f ca="1">VLOOKUP($A88,Valorisation!$A$5:$AZ$224,35+COLUMN(G87)-4,0)*G$2</f>
        <v>0</v>
      </c>
      <c r="H88" s="31">
        <f ca="1">VLOOKUP($A88,Valorisation!$A$5:$AZ$224,35+COLUMN(H87)-4,0)*H$2</f>
        <v>0.19988467168413476</v>
      </c>
      <c r="I88" s="31">
        <f ca="1">VLOOKUP($A88,Valorisation!$A$5:$AZ$224,35+COLUMN(I87)-4,0)*I$2</f>
        <v>-0.20175045879457562</v>
      </c>
      <c r="J88" s="31">
        <f ca="1">VLOOKUP($A88,Valorisation!$A$5:$AZ$224,35+COLUMN(J87)-4,0)*J$2</f>
        <v>0.86487593982362998</v>
      </c>
      <c r="K88" s="31">
        <f ca="1">VLOOKUP($A88,Valorisation!$A$5:$AZ$224,35+COLUMN(K87)-4,0)*K$2</f>
        <v>-2.0472423305483631</v>
      </c>
      <c r="L88" s="31">
        <f ca="1">SUM(D88:K88)</f>
        <v>-0.20943605679210719</v>
      </c>
      <c r="M88" s="40">
        <f>VLOOKUP($A88,Valorisation!$A$5:$AF$224,8,0)</f>
        <v>1</v>
      </c>
      <c r="N88" s="31" t="str">
        <f>VLOOKUP($A88,Valorisation!$A$5:$AF$224,13,0)</f>
        <v>PG/SF/PF</v>
      </c>
    </row>
    <row r="89" spans="1:14">
      <c r="A89">
        <v>69</v>
      </c>
      <c r="B89" s="8" t="str">
        <f>VLOOKUP($A89,Valorisation!$A$5:$AF$224,2,0)</f>
        <v>Terry Rozier</v>
      </c>
      <c r="C89" s="39">
        <f ca="1">VLOOKUP($A89,Valorisation!$A$5:$AF$224,4,0)</f>
        <v>17.911568383058547</v>
      </c>
      <c r="D89" s="31">
        <f ca="1">VLOOKUP($A89,Valorisation!$A$5:$AZ$224,35+COLUMN(D88)-4,0)*D$2</f>
        <v>0</v>
      </c>
      <c r="E89" s="31">
        <f ca="1">VLOOKUP($A89,Valorisation!$A$5:$AZ$224,35+COLUMN(E88)-4,0)*E$2</f>
        <v>1.1163386501004213</v>
      </c>
      <c r="F89" s="31">
        <f ca="1">VLOOKUP($A89,Valorisation!$A$5:$AZ$224,35+COLUMN(F88)-4,0)*F$2</f>
        <v>-0.52067409008279242</v>
      </c>
      <c r="G89" s="31">
        <f ca="1">VLOOKUP($A89,Valorisation!$A$5:$AZ$224,35+COLUMN(G88)-4,0)*G$2</f>
        <v>0</v>
      </c>
      <c r="H89" s="31">
        <f ca="1">VLOOKUP($A89,Valorisation!$A$5:$AZ$224,35+COLUMN(H88)-4,0)*H$2</f>
        <v>0.46025350036180956</v>
      </c>
      <c r="I89" s="31">
        <f ca="1">VLOOKUP($A89,Valorisation!$A$5:$AZ$224,35+COLUMN(I88)-4,0)*I$2</f>
        <v>-0.58213878047132839</v>
      </c>
      <c r="J89" s="31">
        <f ca="1">VLOOKUP($A89,Valorisation!$A$5:$AZ$224,35+COLUMN(J88)-4,0)*J$2</f>
        <v>-1.1671458653970281</v>
      </c>
      <c r="K89" s="31">
        <f ca="1">VLOOKUP($A89,Valorisation!$A$5:$AZ$224,35+COLUMN(K88)-4,0)*K$2</f>
        <v>0.42143132809660272</v>
      </c>
      <c r="L89" s="31">
        <f ca="1">SUM(D89:K89)</f>
        <v>-0.27193525739231533</v>
      </c>
      <c r="M89" s="40">
        <f>VLOOKUP($A89,Valorisation!$A$5:$AF$224,8,0)</f>
        <v>1</v>
      </c>
      <c r="N89" s="31" t="str">
        <f>VLOOKUP($A89,Valorisation!$A$5:$AF$224,13,0)</f>
        <v>PG/SG</v>
      </c>
    </row>
    <row r="90" spans="1:14">
      <c r="A90">
        <v>123</v>
      </c>
      <c r="B90" s="8" t="str">
        <f>VLOOKUP($A90,Valorisation!$A$5:$AF$224,2,0)</f>
        <v>Jaden McDaniels</v>
      </c>
      <c r="C90" s="39">
        <f ca="1">VLOOKUP($A90,Valorisation!$A$5:$AF$224,4,0)</f>
        <v>3.780554168512162</v>
      </c>
      <c r="D90" s="31">
        <f ca="1">VLOOKUP($A90,Valorisation!$A$5:$AZ$224,35+COLUMN(D89)-4,0)*D$2</f>
        <v>0</v>
      </c>
      <c r="E90" s="31">
        <f ca="1">VLOOKUP($A90,Valorisation!$A$5:$AZ$224,35+COLUMN(E89)-4,0)*E$2</f>
        <v>-9.3229630324608737E-2</v>
      </c>
      <c r="F90" s="31">
        <f ca="1">VLOOKUP($A90,Valorisation!$A$5:$AZ$224,35+COLUMN(F89)-4,0)*F$2</f>
        <v>-9.870353122383077E-2</v>
      </c>
      <c r="G90" s="31">
        <f ca="1">VLOOKUP($A90,Valorisation!$A$5:$AZ$224,35+COLUMN(G89)-4,0)*G$2</f>
        <v>0</v>
      </c>
      <c r="H90" s="31">
        <f ca="1">VLOOKUP($A90,Valorisation!$A$5:$AZ$224,35+COLUMN(H89)-4,0)*H$2</f>
        <v>-0.48655797291294423</v>
      </c>
      <c r="I90" s="31">
        <f ca="1">VLOOKUP($A90,Valorisation!$A$5:$AZ$224,35+COLUMN(I89)-4,0)*I$2</f>
        <v>0.89749710151895545</v>
      </c>
      <c r="J90" s="31">
        <f ca="1">VLOOKUP($A90,Valorisation!$A$5:$AZ$224,35+COLUMN(J89)-4,0)*J$2</f>
        <v>-0.2157386285821328</v>
      </c>
      <c r="K90" s="31">
        <f ca="1">VLOOKUP($A90,Valorisation!$A$5:$AZ$224,35+COLUMN(K89)-4,0)*K$2</f>
        <v>-0.27782236405623029</v>
      </c>
      <c r="L90" s="31">
        <f ca="1">SUM(D90:K90)</f>
        <v>-0.27455502558079137</v>
      </c>
      <c r="M90" s="40">
        <f>VLOOKUP($A90,Valorisation!$A$5:$AF$224,8,0)</f>
        <v>1</v>
      </c>
      <c r="N90" s="31" t="str">
        <f>VLOOKUP($A90,Valorisation!$A$5:$AF$224,13,0)</f>
        <v>SF</v>
      </c>
    </row>
    <row r="91" spans="1:14">
      <c r="A91">
        <v>56</v>
      </c>
      <c r="B91" s="8" t="str">
        <f>VLOOKUP($A91,Valorisation!$A$5:$AF$224,2,0)</f>
        <v>C.J. McCollum</v>
      </c>
      <c r="C91" s="39">
        <f ca="1">VLOOKUP($A91,Valorisation!$A$5:$AF$224,4,0)</f>
        <v>22.82755993800685</v>
      </c>
      <c r="D91" s="31">
        <f ca="1">VLOOKUP($A91,Valorisation!$A$5:$AZ$224,35+COLUMN(D90)-4,0)*D$2</f>
        <v>0</v>
      </c>
      <c r="E91" s="31">
        <f ca="1">VLOOKUP($A91,Valorisation!$A$5:$AZ$224,35+COLUMN(E90)-4,0)*E$2</f>
        <v>1.5318646253066466</v>
      </c>
      <c r="F91" s="31">
        <f ca="1">VLOOKUP($A91,Valorisation!$A$5:$AZ$224,35+COLUMN(F90)-4,0)*F$2</f>
        <v>-0.64452239858043714</v>
      </c>
      <c r="G91" s="31">
        <f ca="1">VLOOKUP($A91,Valorisation!$A$5:$AZ$224,35+COLUMN(G90)-4,0)*G$2</f>
        <v>0</v>
      </c>
      <c r="H91" s="31">
        <f ca="1">VLOOKUP($A91,Valorisation!$A$5:$AZ$224,35+COLUMN(H90)-4,0)*H$2</f>
        <v>-0.49804885725540127</v>
      </c>
      <c r="I91" s="31">
        <f ca="1">VLOOKUP($A91,Valorisation!$A$5:$AZ$224,35+COLUMN(I90)-4,0)*I$2</f>
        <v>-0.2582406618871087</v>
      </c>
      <c r="J91" s="31">
        <f ca="1">VLOOKUP($A91,Valorisation!$A$5:$AZ$224,35+COLUMN(J90)-4,0)*J$2</f>
        <v>-0.5215409607963708</v>
      </c>
      <c r="K91" s="31">
        <f ca="1">VLOOKUP($A91,Valorisation!$A$5:$AZ$224,35+COLUMN(K90)-4,0)*K$2</f>
        <v>6.9617928094502984E-2</v>
      </c>
      <c r="L91" s="31">
        <f ca="1">SUM(D91:K91)</f>
        <v>-0.32087032511816838</v>
      </c>
      <c r="M91" s="40">
        <f>VLOOKUP($A91,Valorisation!$A$5:$AF$224,8,0)</f>
        <v>1</v>
      </c>
      <c r="N91" s="31" t="str">
        <f>VLOOKUP($A91,Valorisation!$A$5:$AF$224,13,0)</f>
        <v>SG</v>
      </c>
    </row>
    <row r="92" spans="1:14">
      <c r="A92">
        <v>61</v>
      </c>
      <c r="B92" s="8" t="str">
        <f>VLOOKUP($A92,Valorisation!$A$5:$AF$224,2,0)</f>
        <v>Kyle Lowry</v>
      </c>
      <c r="C92" s="39">
        <f ca="1">VLOOKUP($A92,Valorisation!$A$5:$AF$224,4,0)</f>
        <v>20.985921770072391</v>
      </c>
      <c r="D92" s="31">
        <f ca="1">VLOOKUP($A92,Valorisation!$A$5:$AZ$224,35+COLUMN(D91)-4,0)*D$2</f>
        <v>0</v>
      </c>
      <c r="E92" s="31">
        <f ca="1">VLOOKUP($A92,Valorisation!$A$5:$AZ$224,35+COLUMN(E91)-4,0)*E$2</f>
        <v>0.76471347223221353</v>
      </c>
      <c r="F92" s="31">
        <f ca="1">VLOOKUP($A92,Valorisation!$A$5:$AZ$224,35+COLUMN(F91)-4,0)*F$2</f>
        <v>-0.36506301379380696</v>
      </c>
      <c r="G92" s="31">
        <f ca="1">VLOOKUP($A92,Valorisation!$A$5:$AZ$224,35+COLUMN(G91)-4,0)*G$2</f>
        <v>0</v>
      </c>
      <c r="H92" s="31">
        <f ca="1">VLOOKUP($A92,Valorisation!$A$5:$AZ$224,35+COLUMN(H91)-4,0)*H$2</f>
        <v>-2.9466036065182357E-2</v>
      </c>
      <c r="I92" s="31">
        <f ca="1">VLOOKUP($A92,Valorisation!$A$5:$AZ$224,35+COLUMN(I91)-4,0)*I$2</f>
        <v>-0.75279613198008222</v>
      </c>
      <c r="J92" s="31">
        <f ca="1">VLOOKUP($A92,Valorisation!$A$5:$AZ$224,35+COLUMN(J91)-4,0)*J$2</f>
        <v>-0.72609762572161807</v>
      </c>
      <c r="K92" s="31">
        <f ca="1">VLOOKUP($A92,Valorisation!$A$5:$AZ$224,35+COLUMN(K91)-4,0)*K$2</f>
        <v>0.77012692658683524</v>
      </c>
      <c r="L92" s="31">
        <f ca="1">SUM(D92:K92)</f>
        <v>-0.33858240874164081</v>
      </c>
      <c r="M92" s="40">
        <f>VLOOKUP($A92,Valorisation!$A$5:$AF$224,8,0)</f>
        <v>1</v>
      </c>
      <c r="N92" s="31" t="str">
        <f>VLOOKUP($A92,Valorisation!$A$5:$AF$224,13,0)</f>
        <v>PG</v>
      </c>
    </row>
    <row r="93" spans="1:14">
      <c r="A93">
        <v>140</v>
      </c>
      <c r="B93" s="8" t="str">
        <f>VLOOKUP($A93,Valorisation!$A$5:$AF$224,2,0)</f>
        <v>Mo Bamba</v>
      </c>
      <c r="C93" s="39">
        <f ca="1">VLOOKUP($A93,Valorisation!$A$5:$AF$224,4,0)</f>
        <v>0.74467224827800238</v>
      </c>
      <c r="D93" s="31">
        <f ca="1">VLOOKUP($A93,Valorisation!$A$5:$AZ$224,35+COLUMN(D92)-4,0)*D$2</f>
        <v>0</v>
      </c>
      <c r="E93" s="31">
        <f ca="1">VLOOKUP($A93,Valorisation!$A$5:$AZ$224,35+COLUMN(E92)-4,0)*E$2</f>
        <v>-0.67373492691741865</v>
      </c>
      <c r="F93" s="31">
        <f ca="1">VLOOKUP($A93,Valorisation!$A$5:$AZ$224,35+COLUMN(F92)-4,0)*F$2</f>
        <v>0.82256219237110795</v>
      </c>
      <c r="G93" s="31">
        <f ca="1">VLOOKUP($A93,Valorisation!$A$5:$AZ$224,35+COLUMN(G92)-4,0)*G$2</f>
        <v>0</v>
      </c>
      <c r="H93" s="31">
        <f ca="1">VLOOKUP($A93,Valorisation!$A$5:$AZ$224,35+COLUMN(H92)-4,0)*H$2</f>
        <v>-1.7338780043635857</v>
      </c>
      <c r="I93" s="31">
        <f ca="1">VLOOKUP($A93,Valorisation!$A$5:$AZ$224,35+COLUMN(I92)-4,0)*I$2</f>
        <v>2.1315532840922535</v>
      </c>
      <c r="J93" s="31">
        <f ca="1">VLOOKUP($A93,Valorisation!$A$5:$AZ$224,35+COLUMN(J92)-4,0)*J$2</f>
        <v>-6.8556249656757412E-2</v>
      </c>
      <c r="K93" s="31">
        <f ca="1">VLOOKUP($A93,Valorisation!$A$5:$AZ$224,35+COLUMN(K92)-4,0)*K$2</f>
        <v>-0.82659557347108392</v>
      </c>
      <c r="L93" s="31">
        <f ca="1">SUM(D93:K93)</f>
        <v>-0.34864927794548428</v>
      </c>
      <c r="M93" s="40">
        <f>VLOOKUP($A93,Valorisation!$A$5:$AF$224,8,0)</f>
        <v>1</v>
      </c>
      <c r="N93" s="31" t="str">
        <f>VLOOKUP($A93,Valorisation!$A$5:$AF$224,13,0)</f>
        <v>C</v>
      </c>
    </row>
    <row r="94" spans="1:14">
      <c r="A94">
        <v>79</v>
      </c>
      <c r="B94" s="8" t="str">
        <f>VLOOKUP($A94,Valorisation!$A$5:$AF$224,2,0)</f>
        <v>Marcus Smart</v>
      </c>
      <c r="C94" s="39">
        <f ca="1">VLOOKUP($A94,Valorisation!$A$5:$AF$224,4,0)</f>
        <v>15.590546977293734</v>
      </c>
      <c r="D94" s="31">
        <f ca="1">VLOOKUP($A94,Valorisation!$A$5:$AZ$224,35+COLUMN(D93)-4,0)*D$2</f>
        <v>0</v>
      </c>
      <c r="E94" s="31">
        <f ca="1">VLOOKUP($A94,Valorisation!$A$5:$AZ$224,35+COLUMN(E93)-4,0)*E$2</f>
        <v>0.28962570341095117</v>
      </c>
      <c r="F94" s="31">
        <f ca="1">VLOOKUP($A94,Valorisation!$A$5:$AZ$224,35+COLUMN(F93)-4,0)*F$2</f>
        <v>-0.81870940124807678</v>
      </c>
      <c r="G94" s="31">
        <f ca="1">VLOOKUP($A94,Valorisation!$A$5:$AZ$224,35+COLUMN(G93)-4,0)*G$2</f>
        <v>0</v>
      </c>
      <c r="H94" s="31">
        <f ca="1">VLOOKUP($A94,Valorisation!$A$5:$AZ$224,35+COLUMN(H93)-4,0)*H$2</f>
        <v>1.7190159662172093</v>
      </c>
      <c r="I94" s="31">
        <f ca="1">VLOOKUP($A94,Valorisation!$A$5:$AZ$224,35+COLUMN(I93)-4,0)*I$2</f>
        <v>-0.33944004550969237</v>
      </c>
      <c r="J94" s="31">
        <f ca="1">VLOOKUP($A94,Valorisation!$A$5:$AZ$224,35+COLUMN(J93)-4,0)*J$2</f>
        <v>-1.2355840725938154</v>
      </c>
      <c r="K94" s="31">
        <f ca="1">VLOOKUP($A94,Valorisation!$A$5:$AZ$224,35+COLUMN(K93)-4,0)*K$2</f>
        <v>9.4279364202002943E-3</v>
      </c>
      <c r="L94" s="31">
        <f ca="1">SUM(D94:K94)</f>
        <v>-0.37566391330322385</v>
      </c>
      <c r="M94" s="40">
        <f>VLOOKUP($A94,Valorisation!$A$5:$AF$224,8,0)</f>
        <v>1</v>
      </c>
      <c r="N94" s="31" t="str">
        <f>VLOOKUP($A94,Valorisation!$A$5:$AF$224,13,0)</f>
        <v>PG/SG</v>
      </c>
    </row>
    <row r="95" spans="1:14">
      <c r="A95">
        <v>73</v>
      </c>
      <c r="B95" s="8" t="str">
        <f>VLOOKUP($A95,Valorisation!$A$5:$AF$224,2,0)</f>
        <v>Mike Conley</v>
      </c>
      <c r="C95" s="39">
        <f ca="1">VLOOKUP($A95,Valorisation!$A$5:$AF$224,4,0)</f>
        <v>17.394084065451388</v>
      </c>
      <c r="D95" s="31">
        <f ca="1">VLOOKUP($A95,Valorisation!$A$5:$AZ$224,35+COLUMN(D94)-4,0)*D$2</f>
        <v>0</v>
      </c>
      <c r="E95" s="31">
        <f ca="1">VLOOKUP($A95,Valorisation!$A$5:$AZ$224,35+COLUMN(E94)-4,0)*E$2</f>
        <v>0.62579029437637823</v>
      </c>
      <c r="F95" s="31">
        <f ca="1">VLOOKUP($A95,Valorisation!$A$5:$AZ$224,35+COLUMN(F94)-4,0)*F$2</f>
        <v>-0.99504783320631218</v>
      </c>
      <c r="G95" s="31">
        <f ca="1">VLOOKUP($A95,Valorisation!$A$5:$AZ$224,35+COLUMN(G94)-4,0)*G$2</f>
        <v>0</v>
      </c>
      <c r="H95" s="31">
        <f ca="1">VLOOKUP($A95,Valorisation!$A$5:$AZ$224,35+COLUMN(H94)-4,0)*H$2</f>
        <v>1.1704545073557389</v>
      </c>
      <c r="I95" s="31">
        <f ca="1">VLOOKUP($A95,Valorisation!$A$5:$AZ$224,35+COLUMN(I94)-4,0)*I$2</f>
        <v>-0.89353576544064128</v>
      </c>
      <c r="J95" s="31">
        <f ca="1">VLOOKUP($A95,Valorisation!$A$5:$AZ$224,35+COLUMN(J94)-4,0)*J$2</f>
        <v>-0.71298015717321206</v>
      </c>
      <c r="K95" s="31">
        <f ca="1">VLOOKUP($A95,Valorisation!$A$5:$AZ$224,35+COLUMN(K94)-4,0)*K$2</f>
        <v>0.41830817867250952</v>
      </c>
      <c r="L95" s="31">
        <f ca="1">SUM(D95:K95)</f>
        <v>-0.38701077541553891</v>
      </c>
      <c r="M95" s="40">
        <f>VLOOKUP($A95,Valorisation!$A$5:$AF$224,8,0)</f>
        <v>1</v>
      </c>
      <c r="N95" s="31" t="str">
        <f>VLOOKUP($A95,Valorisation!$A$5:$AF$224,13,0)</f>
        <v>PG</v>
      </c>
    </row>
    <row r="96" spans="1:14">
      <c r="A96">
        <v>100</v>
      </c>
      <c r="B96" s="8" t="str">
        <f>VLOOKUP($A96,Valorisation!$A$5:$AF$224,2,0)</f>
        <v>Nickeil Alexander-Walker</v>
      </c>
      <c r="C96" s="39">
        <f ca="1">VLOOKUP($A96,Valorisation!$A$5:$AF$224,4,0)</f>
        <v>9.3700350571031361</v>
      </c>
      <c r="D96" s="31">
        <f ca="1">VLOOKUP($A96,Valorisation!$A$5:$AZ$224,35+COLUMN(D95)-4,0)*D$2</f>
        <v>0</v>
      </c>
      <c r="E96" s="31">
        <f ca="1">VLOOKUP($A96,Valorisation!$A$5:$AZ$224,35+COLUMN(E95)-4,0)*E$2</f>
        <v>0.61286386170376184</v>
      </c>
      <c r="F96" s="31">
        <f ca="1">VLOOKUP($A96,Valorisation!$A$5:$AZ$224,35+COLUMN(F95)-4,0)*F$2</f>
        <v>-0.520660516981994</v>
      </c>
      <c r="G96" s="31">
        <f ca="1">VLOOKUP($A96,Valorisation!$A$5:$AZ$224,35+COLUMN(G95)-4,0)*G$2</f>
        <v>0</v>
      </c>
      <c r="H96" s="31">
        <f ca="1">VLOOKUP($A96,Valorisation!$A$5:$AZ$224,35+COLUMN(H95)-4,0)*H$2</f>
        <v>1.2415984961521034</v>
      </c>
      <c r="I96" s="31">
        <f ca="1">VLOOKUP($A96,Valorisation!$A$5:$AZ$224,35+COLUMN(I95)-4,0)*I$2</f>
        <v>-2.6682223996390968E-2</v>
      </c>
      <c r="J96" s="31">
        <f ca="1">VLOOKUP($A96,Valorisation!$A$5:$AZ$224,35+COLUMN(J95)-4,0)*J$2</f>
        <v>-1.3404846580460374</v>
      </c>
      <c r="K96" s="31">
        <f ca="1">VLOOKUP($A96,Valorisation!$A$5:$AZ$224,35+COLUMN(K95)-4,0)*K$2</f>
        <v>-0.41223793556028521</v>
      </c>
      <c r="L96" s="31">
        <f ca="1">SUM(D96:K96)</f>
        <v>-0.4456029767288423</v>
      </c>
      <c r="M96" s="40">
        <f>VLOOKUP($A96,Valorisation!$A$5:$AF$224,8,0)</f>
        <v>1</v>
      </c>
      <c r="N96" s="31" t="str">
        <f>VLOOKUP($A96,Valorisation!$A$5:$AF$224,13,0)</f>
        <v>SG</v>
      </c>
    </row>
    <row r="97" spans="1:14">
      <c r="A97">
        <v>68</v>
      </c>
      <c r="B97" s="8" t="str">
        <f>VLOOKUP($A97,Valorisation!$A$5:$AF$224,2,0)</f>
        <v>Kemba Walker</v>
      </c>
      <c r="C97" s="39">
        <f ca="1">VLOOKUP($A97,Valorisation!$A$5:$AF$224,4,0)</f>
        <v>18.490891542586734</v>
      </c>
      <c r="D97" s="31">
        <f ca="1">VLOOKUP($A97,Valorisation!$A$5:$AZ$224,35+COLUMN(D96)-4,0)*D$2</f>
        <v>0</v>
      </c>
      <c r="E97" s="31">
        <f ca="1">VLOOKUP($A97,Valorisation!$A$5:$AZ$224,35+COLUMN(E96)-4,0)*E$2</f>
        <v>1.1335052034326423</v>
      </c>
      <c r="F97" s="31">
        <f ca="1">VLOOKUP($A97,Valorisation!$A$5:$AZ$224,35+COLUMN(F96)-4,0)*F$2</f>
        <v>-0.84105780292688359</v>
      </c>
      <c r="G97" s="31">
        <f ca="1">VLOOKUP($A97,Valorisation!$A$5:$AZ$224,35+COLUMN(G96)-4,0)*G$2</f>
        <v>0</v>
      </c>
      <c r="H97" s="31">
        <f ca="1">VLOOKUP($A97,Valorisation!$A$5:$AZ$224,35+COLUMN(H96)-4,0)*H$2</f>
        <v>-0.15818068877817251</v>
      </c>
      <c r="I97" s="31">
        <f ca="1">VLOOKUP($A97,Valorisation!$A$5:$AZ$224,35+COLUMN(I96)-4,0)*I$2</f>
        <v>-0.65731265712110154</v>
      </c>
      <c r="J97" s="31">
        <f ca="1">VLOOKUP($A97,Valorisation!$A$5:$AZ$224,35+COLUMN(J96)-4,0)*J$2</f>
        <v>-1.1641669083543074</v>
      </c>
      <c r="K97" s="31">
        <f ca="1">VLOOKUP($A97,Valorisation!$A$5:$AZ$224,35+COLUMN(K96)-4,0)*K$2</f>
        <v>1.2012643187096592</v>
      </c>
      <c r="L97" s="31">
        <f ca="1">SUM(D97:K97)</f>
        <v>-0.4859485350381636</v>
      </c>
      <c r="M97" s="40">
        <f>VLOOKUP($A97,Valorisation!$A$5:$AF$224,8,0)</f>
        <v>1</v>
      </c>
      <c r="N97" s="31" t="str">
        <f>VLOOKUP($A97,Valorisation!$A$5:$AF$224,13,0)</f>
        <v>PG</v>
      </c>
    </row>
    <row r="98" spans="1:14">
      <c r="A98">
        <v>139</v>
      </c>
      <c r="B98" s="8" t="str">
        <f>VLOOKUP($A98,Valorisation!$A$5:$AF$224,2,0)</f>
        <v>Patrick Williams</v>
      </c>
      <c r="C98" s="39">
        <f ca="1">VLOOKUP($A98,Valorisation!$A$5:$AF$224,4,0)</f>
        <v>0.93975014533004064</v>
      </c>
      <c r="D98" s="31">
        <f ca="1">VLOOKUP($A98,Valorisation!$A$5:$AZ$224,35+COLUMN(D97)-4,0)*D$2</f>
        <v>0</v>
      </c>
      <c r="E98" s="31">
        <f ca="1">VLOOKUP($A98,Valorisation!$A$5:$AZ$224,35+COLUMN(E97)-4,0)*E$2</f>
        <v>-0.81304332802089452</v>
      </c>
      <c r="F98" s="31">
        <f ca="1">VLOOKUP($A98,Valorisation!$A$5:$AZ$224,35+COLUMN(F97)-4,0)*F$2</f>
        <v>-0.19059755541350826</v>
      </c>
      <c r="G98" s="31">
        <f ca="1">VLOOKUP($A98,Valorisation!$A$5:$AZ$224,35+COLUMN(G97)-4,0)*G$2</f>
        <v>0</v>
      </c>
      <c r="H98" s="31">
        <f ca="1">VLOOKUP($A98,Valorisation!$A$5:$AZ$224,35+COLUMN(H97)-4,0)*H$2</f>
        <v>0.49650307906453733</v>
      </c>
      <c r="I98" s="31">
        <f ca="1">VLOOKUP($A98,Valorisation!$A$5:$AZ$224,35+COLUMN(I97)-4,0)*I$2</f>
        <v>0.12872318005552727</v>
      </c>
      <c r="J98" s="31">
        <f ca="1">VLOOKUP($A98,Valorisation!$A$5:$AZ$224,35+COLUMN(J97)-4,0)*J$2</f>
        <v>0.13450400949111427</v>
      </c>
      <c r="K98" s="31">
        <f ca="1">VLOOKUP($A98,Valorisation!$A$5:$AZ$224,35+COLUMN(K97)-4,0)*K$2</f>
        <v>-0.2837024160903569</v>
      </c>
      <c r="L98" s="31">
        <f ca="1">SUM(D98:K98)</f>
        <v>-0.52761303091358092</v>
      </c>
      <c r="M98" s="40">
        <f>VLOOKUP($A98,Valorisation!$A$5:$AF$224,8,0)</f>
        <v>1</v>
      </c>
      <c r="N98" s="31" t="str">
        <f>VLOOKUP($A98,Valorisation!$A$5:$AF$224,13,0)</f>
        <v>SF/PF</v>
      </c>
    </row>
    <row r="99" spans="1:14">
      <c r="A99">
        <v>126</v>
      </c>
      <c r="B99" s="8" t="str">
        <f>VLOOKUP($A99,Valorisation!$A$5:$AF$224,2,0)</f>
        <v>Isaiah Roby</v>
      </c>
      <c r="C99" s="39">
        <f ca="1">VLOOKUP($A99,Valorisation!$A$5:$AF$224,4,0)</f>
        <v>3.1419261175273303</v>
      </c>
      <c r="D99" s="31">
        <f ca="1">VLOOKUP($A99,Valorisation!$A$5:$AZ$224,35+COLUMN(D98)-4,0)*D$2</f>
        <v>0</v>
      </c>
      <c r="E99" s="31">
        <f ca="1">VLOOKUP($A99,Valorisation!$A$5:$AZ$224,35+COLUMN(E98)-4,0)*E$2</f>
        <v>-1.037952663592427</v>
      </c>
      <c r="F99" s="31">
        <f ca="1">VLOOKUP($A99,Valorisation!$A$5:$AZ$224,35+COLUMN(F98)-4,0)*F$2</f>
        <v>0.32840773819876012</v>
      </c>
      <c r="G99" s="31">
        <f ca="1">VLOOKUP($A99,Valorisation!$A$5:$AZ$224,35+COLUMN(G98)-4,0)*G$2</f>
        <v>0</v>
      </c>
      <c r="H99" s="31">
        <f ca="1">VLOOKUP($A99,Valorisation!$A$5:$AZ$224,35+COLUMN(H98)-4,0)*H$2</f>
        <v>0.20353094684708103</v>
      </c>
      <c r="I99" s="31">
        <f ca="1">VLOOKUP($A99,Valorisation!$A$5:$AZ$224,35+COLUMN(I98)-4,0)*I$2</f>
        <v>-4.9971105337379217E-2</v>
      </c>
      <c r="J99" s="31">
        <f ca="1">VLOOKUP($A99,Valorisation!$A$5:$AZ$224,35+COLUMN(J98)-4,0)*J$2</f>
        <v>0.3108185529384937</v>
      </c>
      <c r="K99" s="31">
        <f ca="1">VLOOKUP($A99,Valorisation!$A$5:$AZ$224,35+COLUMN(K98)-4,0)*K$2</f>
        <v>-0.34667959051206465</v>
      </c>
      <c r="L99" s="31">
        <f ca="1">SUM(D99:K99)</f>
        <v>-0.59184612145753601</v>
      </c>
      <c r="M99" s="40">
        <f>VLOOKUP($A99,Valorisation!$A$5:$AF$224,8,0)</f>
        <v>1</v>
      </c>
      <c r="N99" s="31" t="str">
        <f>VLOOKUP($A99,Valorisation!$A$5:$AF$224,13,0)</f>
        <v>PF</v>
      </c>
    </row>
    <row r="100" spans="1:14">
      <c r="A100">
        <v>58</v>
      </c>
      <c r="B100" s="8" t="str">
        <f>VLOOKUP($A100,Valorisation!$A$5:$AF$224,2,0)</f>
        <v>DeMar DeRozan</v>
      </c>
      <c r="C100" s="39">
        <f ca="1">VLOOKUP($A100,Valorisation!$A$5:$AF$224,4,0)</f>
        <v>21.31537488234305</v>
      </c>
      <c r="D100" s="31">
        <f ca="1">VLOOKUP($A100,Valorisation!$A$5:$AZ$224,35+COLUMN(D99)-4,0)*D$2</f>
        <v>0</v>
      </c>
      <c r="E100" s="31">
        <f ca="1">VLOOKUP($A100,Valorisation!$A$5:$AZ$224,35+COLUMN(E99)-4,0)*E$2</f>
        <v>-1.5819881277600758</v>
      </c>
      <c r="F100" s="31">
        <f ca="1">VLOOKUP($A100,Valorisation!$A$5:$AZ$224,35+COLUMN(F99)-4,0)*F$2</f>
        <v>-0.65152457297094502</v>
      </c>
      <c r="G100" s="31">
        <f ca="1">VLOOKUP($A100,Valorisation!$A$5:$AZ$224,35+COLUMN(G99)-4,0)*G$2</f>
        <v>0</v>
      </c>
      <c r="H100" s="31">
        <f ca="1">VLOOKUP($A100,Valorisation!$A$5:$AZ$224,35+COLUMN(H99)-4,0)*H$2</f>
        <v>3.9501070876847427E-2</v>
      </c>
      <c r="I100" s="31">
        <f ca="1">VLOOKUP($A100,Valorisation!$A$5:$AZ$224,35+COLUMN(I99)-4,0)*I$2</f>
        <v>-0.83867814041138278</v>
      </c>
      <c r="J100" s="31">
        <f ca="1">VLOOKUP($A100,Valorisation!$A$5:$AZ$224,35+COLUMN(J99)-4,0)*J$2</f>
        <v>0.51446508370128807</v>
      </c>
      <c r="K100" s="31">
        <f ca="1">VLOOKUP($A100,Valorisation!$A$5:$AZ$224,35+COLUMN(K99)-4,0)*K$2</f>
        <v>1.8969566616393656</v>
      </c>
      <c r="L100" s="31">
        <f ca="1">SUM(D100:K100)</f>
        <v>-0.62126802492490252</v>
      </c>
      <c r="M100" s="40">
        <f>VLOOKUP($A100,Valorisation!$A$5:$AF$224,8,0)</f>
        <v>1</v>
      </c>
      <c r="N100" s="31" t="str">
        <f>VLOOKUP($A100,Valorisation!$A$5:$AF$224,13,0)</f>
        <v>SG/SF</v>
      </c>
    </row>
    <row r="101" spans="1:14">
      <c r="A101">
        <v>118</v>
      </c>
      <c r="B101" s="8" t="str">
        <f>VLOOKUP($A101,Valorisation!$A$5:$AF$224,2,0)</f>
        <v>Evan Mobley</v>
      </c>
      <c r="C101" s="39">
        <f ca="1">VLOOKUP($A101,Valorisation!$A$5:$AF$224,4,0)</f>
        <v>4.5016054548481206</v>
      </c>
      <c r="D101" s="31">
        <f ca="1">VLOOKUP($A101,Valorisation!$A$5:$AZ$224,35+COLUMN(D100)-4,0)*D$2</f>
        <v>0</v>
      </c>
      <c r="E101" s="31">
        <f ca="1">VLOOKUP($A101,Valorisation!$A$5:$AZ$224,35+COLUMN(E100)-4,0)*E$2</f>
        <v>-1.2786969046516927</v>
      </c>
      <c r="F101" s="31">
        <f ca="1">VLOOKUP($A101,Valorisation!$A$5:$AZ$224,35+COLUMN(F100)-4,0)*F$2</f>
        <v>0.51839519900403452</v>
      </c>
      <c r="G101" s="31">
        <f ca="1">VLOOKUP($A101,Valorisation!$A$5:$AZ$224,35+COLUMN(G100)-4,0)*G$2</f>
        <v>0</v>
      </c>
      <c r="H101" s="31">
        <f ca="1">VLOOKUP($A101,Valorisation!$A$5:$AZ$224,35+COLUMN(H100)-4,0)*H$2</f>
        <v>-0.65079132383121818</v>
      </c>
      <c r="I101" s="31">
        <f ca="1">VLOOKUP($A101,Valorisation!$A$5:$AZ$224,35+COLUMN(I100)-4,0)*I$2</f>
        <v>1.5443596885367434</v>
      </c>
      <c r="J101" s="31">
        <f ca="1">VLOOKUP($A101,Valorisation!$A$5:$AZ$224,35+COLUMN(J100)-4,0)*J$2</f>
        <v>0.25056221794211575</v>
      </c>
      <c r="K101" s="31">
        <f ca="1">VLOOKUP($A101,Valorisation!$A$5:$AZ$224,35+COLUMN(K100)-4,0)*K$2</f>
        <v>-1.0080520322411861</v>
      </c>
      <c r="L101" s="31">
        <f ca="1">SUM(D101:K101)</f>
        <v>-0.62422315524120331</v>
      </c>
      <c r="M101" s="40">
        <f>VLOOKUP($A101,Valorisation!$A$5:$AF$224,8,0)</f>
        <v>1</v>
      </c>
      <c r="N101" s="31" t="str">
        <f>VLOOKUP($A101,Valorisation!$A$5:$AF$224,13,0)</f>
        <v>PF/C</v>
      </c>
    </row>
    <row r="102" spans="1:14">
      <c r="A102">
        <v>98</v>
      </c>
      <c r="B102" s="8" t="str">
        <f>VLOOKUP($A102,Valorisation!$A$5:$AF$224,2,0)</f>
        <v>Evan Fournier</v>
      </c>
      <c r="C102" s="39">
        <f ca="1">VLOOKUP($A102,Valorisation!$A$5:$AF$224,4,0)</f>
        <v>9.4420094942933765</v>
      </c>
      <c r="D102" s="31">
        <f ca="1">VLOOKUP($A102,Valorisation!$A$5:$AZ$224,35+COLUMN(D101)-4,0)*D$2</f>
        <v>0</v>
      </c>
      <c r="E102" s="31">
        <f ca="1">VLOOKUP($A102,Valorisation!$A$5:$AZ$224,35+COLUMN(E101)-4,0)*E$2</f>
        <v>0.84050773126135747</v>
      </c>
      <c r="F102" s="31">
        <f ca="1">VLOOKUP($A102,Valorisation!$A$5:$AZ$224,35+COLUMN(F101)-4,0)*F$2</f>
        <v>-1.1156290958157982</v>
      </c>
      <c r="G102" s="31">
        <f ca="1">VLOOKUP($A102,Valorisation!$A$5:$AZ$224,35+COLUMN(G101)-4,0)*G$2</f>
        <v>0</v>
      </c>
      <c r="H102" s="31">
        <f ca="1">VLOOKUP($A102,Valorisation!$A$5:$AZ$224,35+COLUMN(H101)-4,0)*H$2</f>
        <v>0.3514672513782568</v>
      </c>
      <c r="I102" s="31">
        <f ca="1">VLOOKUP($A102,Valorisation!$A$5:$AZ$224,35+COLUMN(I101)-4,0)*I$2</f>
        <v>-0.40101521436009185</v>
      </c>
      <c r="J102" s="31">
        <f ca="1">VLOOKUP($A102,Valorisation!$A$5:$AZ$224,35+COLUMN(J101)-4,0)*J$2</f>
        <v>-0.29310642082809613</v>
      </c>
      <c r="K102" s="31">
        <f ca="1">VLOOKUP($A102,Valorisation!$A$5:$AZ$224,35+COLUMN(K101)-4,0)*K$2</f>
        <v>-9.8785752887745465E-3</v>
      </c>
      <c r="L102" s="31">
        <f ca="1">SUM(D102:K102)</f>
        <v>-0.62765432365314644</v>
      </c>
      <c r="M102" s="40">
        <f>VLOOKUP($A102,Valorisation!$A$5:$AF$224,8,0)</f>
        <v>1</v>
      </c>
      <c r="N102" s="31" t="str">
        <f>VLOOKUP($A102,Valorisation!$A$5:$AF$224,13,0)</f>
        <v>SG/SF</v>
      </c>
    </row>
    <row r="103" spans="1:14">
      <c r="A103">
        <v>108</v>
      </c>
      <c r="B103" s="8" t="str">
        <f>VLOOKUP($A103,Valorisation!$A$5:$AF$224,2,0)</f>
        <v>Al Horford</v>
      </c>
      <c r="C103" s="39">
        <f ca="1">VLOOKUP($A103,Valorisation!$A$5:$AF$224,4,0)</f>
        <v>5.8901460695834524</v>
      </c>
      <c r="D103" s="31">
        <f ca="1">VLOOKUP($A103,Valorisation!$A$5:$AZ$224,35+COLUMN(D102)-4,0)*D$2</f>
        <v>0</v>
      </c>
      <c r="E103" s="31">
        <f ca="1">VLOOKUP($A103,Valorisation!$A$5:$AZ$224,35+COLUMN(E102)-4,0)*E$2</f>
        <v>-0.23067861404128734</v>
      </c>
      <c r="F103" s="31">
        <f ca="1">VLOOKUP($A103,Valorisation!$A$5:$AZ$224,35+COLUMN(F102)-4,0)*F$2</f>
        <v>0.42165370259822677</v>
      </c>
      <c r="G103" s="31">
        <f ca="1">VLOOKUP($A103,Valorisation!$A$5:$AZ$224,35+COLUMN(G102)-4,0)*G$2</f>
        <v>0</v>
      </c>
      <c r="H103" s="31">
        <f ca="1">VLOOKUP($A103,Valorisation!$A$5:$AZ$224,35+COLUMN(H102)-4,0)*H$2</f>
        <v>-0.90103385889306387</v>
      </c>
      <c r="I103" s="31">
        <f ca="1">VLOOKUP($A103,Valorisation!$A$5:$AZ$224,35+COLUMN(I102)-4,0)*I$2</f>
        <v>0.39185610725961578</v>
      </c>
      <c r="J103" s="31">
        <f ca="1">VLOOKUP($A103,Valorisation!$A$5:$AZ$224,35+COLUMN(J102)-4,0)*J$2</f>
        <v>-0.35204547453672247</v>
      </c>
      <c r="K103" s="31">
        <f ca="1">VLOOKUP($A103,Valorisation!$A$5:$AZ$224,35+COLUMN(K102)-4,0)*K$2</f>
        <v>3.6441740263251796E-2</v>
      </c>
      <c r="L103" s="31">
        <f ca="1">SUM(D103:K103)</f>
        <v>-0.63380639734997934</v>
      </c>
      <c r="M103" s="40">
        <f>VLOOKUP($A103,Valorisation!$A$5:$AF$224,8,0)</f>
        <v>1</v>
      </c>
      <c r="N103" s="31" t="str">
        <f>VLOOKUP($A103,Valorisation!$A$5:$AF$224,13,0)</f>
        <v>PF/C</v>
      </c>
    </row>
    <row r="104" spans="1:14">
      <c r="A104">
        <v>142</v>
      </c>
      <c r="B104" s="8" t="str">
        <f>VLOOKUP($A104,Valorisation!$A$5:$AF$224,2,0)</f>
        <v>Ivica Zubac</v>
      </c>
      <c r="C104" s="39">
        <f ca="1">VLOOKUP($A104,Valorisation!$A$5:$AF$224,4,0)</f>
        <v>0.60452683621584868</v>
      </c>
      <c r="D104" s="31">
        <f ca="1">VLOOKUP($A104,Valorisation!$A$5:$AZ$224,35+COLUMN(D103)-4,0)*D$2</f>
        <v>0</v>
      </c>
      <c r="E104" s="31">
        <f ca="1">VLOOKUP($A104,Valorisation!$A$5:$AZ$224,35+COLUMN(E103)-4,0)*E$2</f>
        <v>-1.7120096997355103</v>
      </c>
      <c r="F104" s="31">
        <f ca="1">VLOOKUP($A104,Valorisation!$A$5:$AZ$224,35+COLUMN(F103)-4,0)*F$2</f>
        <v>0.99801608634202488</v>
      </c>
      <c r="G104" s="31">
        <f ca="1">VLOOKUP($A104,Valorisation!$A$5:$AZ$224,35+COLUMN(G103)-4,0)*G$2</f>
        <v>0</v>
      </c>
      <c r="H104" s="31">
        <f ca="1">VLOOKUP($A104,Valorisation!$A$5:$AZ$224,35+COLUMN(H103)-4,0)*H$2</f>
        <v>-2.0062836326153812</v>
      </c>
      <c r="I104" s="31">
        <f ca="1">VLOOKUP($A104,Valorisation!$A$5:$AZ$224,35+COLUMN(I103)-4,0)*I$2</f>
        <v>0.5681831283015244</v>
      </c>
      <c r="J104" s="31">
        <f ca="1">VLOOKUP($A104,Valorisation!$A$5:$AZ$224,35+COLUMN(J103)-4,0)*J$2</f>
        <v>1.7603468012465027</v>
      </c>
      <c r="K104" s="31">
        <f ca="1">VLOOKUP($A104,Valorisation!$A$5:$AZ$224,35+COLUMN(K103)-4,0)*K$2</f>
        <v>-0.25493104440259179</v>
      </c>
      <c r="L104" s="31">
        <f ca="1">SUM(D104:K104)</f>
        <v>-0.64667836086343167</v>
      </c>
      <c r="M104" s="40">
        <f>VLOOKUP($A104,Valorisation!$A$5:$AF$224,8,0)</f>
        <v>1</v>
      </c>
      <c r="N104" s="31" t="str">
        <f>VLOOKUP($A104,Valorisation!$A$5:$AF$224,13,0)</f>
        <v>C</v>
      </c>
    </row>
    <row r="105" spans="1:14">
      <c r="A105">
        <v>52</v>
      </c>
      <c r="B105" s="8" t="str">
        <f>VLOOKUP($A105,Valorisation!$A$5:$AF$224,2,0)</f>
        <v>Russell Westbrook</v>
      </c>
      <c r="C105" s="39">
        <f ca="1">VLOOKUP($A105,Valorisation!$A$5:$AF$224,4,0)</f>
        <v>23.613086557482816</v>
      </c>
      <c r="D105" s="31">
        <f ca="1">VLOOKUP($A105,Valorisation!$A$5:$AZ$224,35+COLUMN(D104)-4,0)*D$2</f>
        <v>0</v>
      </c>
      <c r="E105" s="31">
        <f ca="1">VLOOKUP($A105,Valorisation!$A$5:$AZ$224,35+COLUMN(E104)-4,0)*E$2</f>
        <v>-0.72149081108125401</v>
      </c>
      <c r="F105" s="31">
        <f ca="1">VLOOKUP($A105,Valorisation!$A$5:$AZ$224,35+COLUMN(F104)-4,0)*F$2</f>
        <v>1.5625460668927775</v>
      </c>
      <c r="G105" s="31">
        <f ca="1">VLOOKUP($A105,Valorisation!$A$5:$AZ$224,35+COLUMN(G104)-4,0)*G$2</f>
        <v>0</v>
      </c>
      <c r="H105" s="31">
        <f ca="1">VLOOKUP($A105,Valorisation!$A$5:$AZ$224,35+COLUMN(H104)-4,0)*H$2</f>
        <v>1.3533838194821701</v>
      </c>
      <c r="I105" s="31">
        <f ca="1">VLOOKUP($A105,Valorisation!$A$5:$AZ$224,35+COLUMN(I104)-4,0)*I$2</f>
        <v>-0.6864012568472202</v>
      </c>
      <c r="J105" s="31">
        <f ca="1">VLOOKUP($A105,Valorisation!$A$5:$AZ$224,35+COLUMN(J104)-4,0)*J$2</f>
        <v>-0.4351244886512477</v>
      </c>
      <c r="K105" s="31">
        <f ca="1">VLOOKUP($A105,Valorisation!$A$5:$AZ$224,35+COLUMN(K104)-4,0)*K$2</f>
        <v>-1.7525617744569784</v>
      </c>
      <c r="L105" s="31">
        <f ca="1">SUM(D105:K105)</f>
        <v>-0.67964844466175278</v>
      </c>
      <c r="M105" s="40">
        <f>VLOOKUP($A105,Valorisation!$A$5:$AF$224,8,0)</f>
        <v>1</v>
      </c>
      <c r="N105" s="31" t="str">
        <f>VLOOKUP($A105,Valorisation!$A$5:$AF$224,13,0)</f>
        <v>PG</v>
      </c>
    </row>
    <row r="106" spans="1:14">
      <c r="A106">
        <v>113</v>
      </c>
      <c r="B106" s="8" t="str">
        <f>VLOOKUP($A106,Valorisation!$A$5:$AF$224,2,0)</f>
        <v>Saddiq Bey</v>
      </c>
      <c r="C106" s="39">
        <f ca="1">VLOOKUP($A106,Valorisation!$A$5:$AF$224,4,0)</f>
        <v>5.5402737346754316</v>
      </c>
      <c r="D106" s="31">
        <f ca="1">VLOOKUP($A106,Valorisation!$A$5:$AZ$224,35+COLUMN(D105)-4,0)*D$2</f>
        <v>0</v>
      </c>
      <c r="E106" s="31">
        <f ca="1">VLOOKUP($A106,Valorisation!$A$5:$AZ$224,35+COLUMN(E105)-4,0)*E$2</f>
        <v>1.1359142967839835</v>
      </c>
      <c r="F106" s="31">
        <f ca="1">VLOOKUP($A106,Valorisation!$A$5:$AZ$224,35+COLUMN(F105)-4,0)*F$2</f>
        <v>-0.11564561851538553</v>
      </c>
      <c r="G106" s="31">
        <f ca="1">VLOOKUP($A106,Valorisation!$A$5:$AZ$224,35+COLUMN(G105)-4,0)*G$2</f>
        <v>0</v>
      </c>
      <c r="H106" s="31">
        <f ca="1">VLOOKUP($A106,Valorisation!$A$5:$AZ$224,35+COLUMN(H105)-4,0)*H$2</f>
        <v>-0.30506558622339175</v>
      </c>
      <c r="I106" s="31">
        <f ca="1">VLOOKUP($A106,Valorisation!$A$5:$AZ$224,35+COLUMN(I105)-4,0)*I$2</f>
        <v>-0.72771702504037739</v>
      </c>
      <c r="J106" s="31">
        <f ca="1">VLOOKUP($A106,Valorisation!$A$5:$AZ$224,35+COLUMN(J105)-4,0)*J$2</f>
        <v>-1.1892044142031215</v>
      </c>
      <c r="K106" s="31">
        <f ca="1">VLOOKUP($A106,Valorisation!$A$5:$AZ$224,35+COLUMN(K105)-4,0)*K$2</f>
        <v>0.5144203811535053</v>
      </c>
      <c r="L106" s="31">
        <f ca="1">SUM(D106:K106)</f>
        <v>-0.68729796604478754</v>
      </c>
      <c r="M106" s="40">
        <f>VLOOKUP($A106,Valorisation!$A$5:$AF$224,8,0)</f>
        <v>1</v>
      </c>
      <c r="N106" s="31" t="str">
        <f>VLOOKUP($A106,Valorisation!$A$5:$AF$224,13,0)</f>
        <v>SF</v>
      </c>
    </row>
    <row r="107" spans="1:14">
      <c r="A107">
        <v>87</v>
      </c>
      <c r="B107" s="8" t="str">
        <f>VLOOKUP($A107,Valorisation!$A$5:$AF$224,2,0)</f>
        <v>Jalen Green</v>
      </c>
      <c r="C107" s="39">
        <f ca="1">VLOOKUP($A107,Valorisation!$A$5:$AF$224,4,0)</f>
        <v>12.399743943753043</v>
      </c>
      <c r="D107" s="31">
        <f ca="1">VLOOKUP($A107,Valorisation!$A$5:$AZ$224,35+COLUMN(D106)-4,0)*D$2</f>
        <v>0</v>
      </c>
      <c r="E107" s="31">
        <f ca="1">VLOOKUP($A107,Valorisation!$A$5:$AZ$224,35+COLUMN(E106)-4,0)*E$2</f>
        <v>0.65423511776617993</v>
      </c>
      <c r="F107" s="31">
        <f ca="1">VLOOKUP($A107,Valorisation!$A$5:$AZ$224,35+COLUMN(F106)-4,0)*F$2</f>
        <v>-0.46199207272202436</v>
      </c>
      <c r="G107" s="31">
        <f ca="1">VLOOKUP($A107,Valorisation!$A$5:$AZ$224,35+COLUMN(G106)-4,0)*G$2</f>
        <v>0</v>
      </c>
      <c r="H107" s="31">
        <f ca="1">VLOOKUP($A107,Valorisation!$A$5:$AZ$224,35+COLUMN(H106)-4,0)*H$2</f>
        <v>1.1372447820732619</v>
      </c>
      <c r="I107" s="31">
        <f ca="1">VLOOKUP($A107,Valorisation!$A$5:$AZ$224,35+COLUMN(I106)-4,0)*I$2</f>
        <v>-0.97301780345873423</v>
      </c>
      <c r="J107" s="31">
        <f ca="1">VLOOKUP($A107,Valorisation!$A$5:$AZ$224,35+COLUMN(J106)-4,0)*J$2</f>
        <v>-1.2721699747380264</v>
      </c>
      <c r="K107" s="31">
        <f ca="1">VLOOKUP($A107,Valorisation!$A$5:$AZ$224,35+COLUMN(K106)-4,0)*K$2</f>
        <v>0.17649765521288588</v>
      </c>
      <c r="L107" s="31">
        <f ca="1">SUM(D107:K107)</f>
        <v>-0.73920229586645725</v>
      </c>
      <c r="M107" s="40">
        <f>VLOOKUP($A107,Valorisation!$A$5:$AF$224,8,0)</f>
        <v>1</v>
      </c>
      <c r="N107" s="31" t="str">
        <f>VLOOKUP($A107,Valorisation!$A$5:$AF$224,13,0)</f>
        <v>SG</v>
      </c>
    </row>
    <row r="108" spans="1:14">
      <c r="A108">
        <v>132</v>
      </c>
      <c r="B108" s="8" t="str">
        <f>VLOOKUP($A108,Valorisation!$A$5:$AF$224,2,0)</f>
        <v>Dorian Finney-Smith</v>
      </c>
      <c r="C108" s="39">
        <f ca="1">VLOOKUP($A108,Valorisation!$A$5:$AF$224,4,0)</f>
        <v>1.8512417944458075</v>
      </c>
      <c r="D108" s="31">
        <f ca="1">VLOOKUP($A108,Valorisation!$A$5:$AZ$224,35+COLUMN(D107)-4,0)*D$2</f>
        <v>0</v>
      </c>
      <c r="E108" s="31">
        <f ca="1">VLOOKUP($A108,Valorisation!$A$5:$AZ$224,35+COLUMN(E107)-4,0)*E$2</f>
        <v>0.53199473632053884</v>
      </c>
      <c r="F108" s="31">
        <f ca="1">VLOOKUP($A108,Valorisation!$A$5:$AZ$224,35+COLUMN(F107)-4,0)*F$2</f>
        <v>6.4508525315343955E-3</v>
      </c>
      <c r="G108" s="31">
        <f ca="1">VLOOKUP($A108,Valorisation!$A$5:$AZ$224,35+COLUMN(G107)-4,0)*G$2</f>
        <v>0</v>
      </c>
      <c r="H108" s="31">
        <f ca="1">VLOOKUP($A108,Valorisation!$A$5:$AZ$224,35+COLUMN(H107)-4,0)*H$2</f>
        <v>-0.57848268824921134</v>
      </c>
      <c r="I108" s="31">
        <f ca="1">VLOOKUP($A108,Valorisation!$A$5:$AZ$224,35+COLUMN(I107)-4,0)*I$2</f>
        <v>-0.4904209036632648</v>
      </c>
      <c r="J108" s="31">
        <f ca="1">VLOOKUP($A108,Valorisation!$A$5:$AZ$224,35+COLUMN(J107)-4,0)*J$2</f>
        <v>-3.3881217449325034E-2</v>
      </c>
      <c r="K108" s="31">
        <f ca="1">VLOOKUP($A108,Valorisation!$A$5:$AZ$224,35+COLUMN(K107)-4,0)*K$2</f>
        <v>-0.20131832735185529</v>
      </c>
      <c r="L108" s="31">
        <f ca="1">SUM(D108:K108)</f>
        <v>-0.76565754786158324</v>
      </c>
      <c r="M108" s="40">
        <f>VLOOKUP($A108,Valorisation!$A$5:$AF$224,8,0)</f>
        <v>1</v>
      </c>
      <c r="N108" s="31" t="str">
        <f>VLOOKUP($A108,Valorisation!$A$5:$AF$224,13,0)</f>
        <v>SF/PF</v>
      </c>
    </row>
    <row r="109" spans="1:14">
      <c r="A109">
        <v>135</v>
      </c>
      <c r="B109" s="8" t="str">
        <f>VLOOKUP($A109,Valorisation!$A$5:$AF$224,2,0)</f>
        <v>Chuma Okeke</v>
      </c>
      <c r="C109" s="39">
        <f ca="1">VLOOKUP($A109,Valorisation!$A$5:$AF$224,4,0)</f>
        <v>1.3720278910608794</v>
      </c>
      <c r="D109" s="31">
        <f ca="1">VLOOKUP($A109,Valorisation!$A$5:$AZ$224,35+COLUMN(D108)-4,0)*D$2</f>
        <v>0</v>
      </c>
      <c r="E109" s="31">
        <f ca="1">VLOOKUP($A109,Valorisation!$A$5:$AZ$224,35+COLUMN(E108)-4,0)*E$2</f>
        <v>-0.49098863653697628</v>
      </c>
      <c r="F109" s="31">
        <f ca="1">VLOOKUP($A109,Valorisation!$A$5:$AZ$224,35+COLUMN(F108)-4,0)*F$2</f>
        <v>-0.47090077539318048</v>
      </c>
      <c r="G109" s="31">
        <f ca="1">VLOOKUP($A109,Valorisation!$A$5:$AZ$224,35+COLUMN(G108)-4,0)*G$2</f>
        <v>0</v>
      </c>
      <c r="H109" s="31">
        <f ca="1">VLOOKUP($A109,Valorisation!$A$5:$AZ$224,35+COLUMN(H108)-4,0)*H$2</f>
        <v>0.83084895536703207</v>
      </c>
      <c r="I109" s="31">
        <f ca="1">VLOOKUP($A109,Valorisation!$A$5:$AZ$224,35+COLUMN(I108)-4,0)*I$2</f>
        <v>0.18904044058240957</v>
      </c>
      <c r="J109" s="31">
        <f ca="1">VLOOKUP($A109,Valorisation!$A$5:$AZ$224,35+COLUMN(J108)-4,0)*J$2</f>
        <v>-0.58838181361013953</v>
      </c>
      <c r="K109" s="31">
        <f ca="1">VLOOKUP($A109,Valorisation!$A$5:$AZ$224,35+COLUMN(K108)-4,0)*K$2</f>
        <v>-0.24308181849391378</v>
      </c>
      <c r="L109" s="31">
        <f ca="1">SUM(D109:K109)</f>
        <v>-0.77346364808476842</v>
      </c>
      <c r="M109" s="40">
        <f>VLOOKUP($A109,Valorisation!$A$5:$AF$224,8,0)</f>
        <v>1</v>
      </c>
      <c r="N109" s="31" t="str">
        <f>VLOOKUP($A109,Valorisation!$A$5:$AF$224,13,0)</f>
        <v>PF</v>
      </c>
    </row>
    <row r="110" spans="1:14">
      <c r="A110">
        <v>71</v>
      </c>
      <c r="B110" s="8" t="str">
        <f>VLOOKUP($A110,Valorisation!$A$5:$AF$224,2,0)</f>
        <v>Caris LeVert</v>
      </c>
      <c r="C110" s="39">
        <f ca="1">VLOOKUP($A110,Valorisation!$A$5:$AF$224,4,0)</f>
        <v>17.825195369479633</v>
      </c>
      <c r="D110" s="31">
        <f ca="1">VLOOKUP($A110,Valorisation!$A$5:$AZ$224,35+COLUMN(D109)-4,0)*D$2</f>
        <v>0</v>
      </c>
      <c r="E110" s="31">
        <f ca="1">VLOOKUP($A110,Valorisation!$A$5:$AZ$224,35+COLUMN(E109)-4,0)*E$2</f>
        <v>4.7907149764450485E-2</v>
      </c>
      <c r="F110" s="31">
        <f ca="1">VLOOKUP($A110,Valorisation!$A$5:$AZ$224,35+COLUMN(F109)-4,0)*F$2</f>
        <v>-0.55656574701389605</v>
      </c>
      <c r="G110" s="31">
        <f ca="1">VLOOKUP($A110,Valorisation!$A$5:$AZ$224,35+COLUMN(G109)-4,0)*G$2</f>
        <v>0</v>
      </c>
      <c r="H110" s="31">
        <f ca="1">VLOOKUP($A110,Valorisation!$A$5:$AZ$224,35+COLUMN(H109)-4,0)*H$2</f>
        <v>1.141100227967329</v>
      </c>
      <c r="I110" s="31">
        <f ca="1">VLOOKUP($A110,Valorisation!$A$5:$AZ$224,35+COLUMN(I109)-4,0)*I$2</f>
        <v>-0.24271945696447125</v>
      </c>
      <c r="J110" s="31">
        <f ca="1">VLOOKUP($A110,Valorisation!$A$5:$AZ$224,35+COLUMN(J109)-4,0)*J$2</f>
        <v>-0.83830923570468918</v>
      </c>
      <c r="K110" s="31">
        <f ca="1">VLOOKUP($A110,Valorisation!$A$5:$AZ$224,35+COLUMN(K109)-4,0)*K$2</f>
        <v>-0.35498793782543242</v>
      </c>
      <c r="L110" s="31">
        <f ca="1">SUM(D110:K110)</f>
        <v>-0.80357499977670943</v>
      </c>
      <c r="M110" s="40">
        <f>VLOOKUP($A110,Valorisation!$A$5:$AF$224,8,0)</f>
        <v>1</v>
      </c>
      <c r="N110" s="31" t="str">
        <f>VLOOKUP($A110,Valorisation!$A$5:$AF$224,13,0)</f>
        <v>SG/SF</v>
      </c>
    </row>
    <row r="111" spans="1:14">
      <c r="A111">
        <v>97</v>
      </c>
      <c r="B111" s="8" t="str">
        <f>VLOOKUP($A111,Valorisation!$A$5:$AF$224,2,0)</f>
        <v>Andrew Wiggins</v>
      </c>
      <c r="C111" s="39">
        <f ca="1">VLOOKUP($A111,Valorisation!$A$5:$AF$224,4,0)</f>
        <v>9.7735449194914246</v>
      </c>
      <c r="D111" s="31">
        <f ca="1">VLOOKUP($A111,Valorisation!$A$5:$AZ$224,35+COLUMN(D110)-4,0)*D$2</f>
        <v>0</v>
      </c>
      <c r="E111" s="31">
        <f ca="1">VLOOKUP($A111,Valorisation!$A$5:$AZ$224,35+COLUMN(E110)-4,0)*E$2</f>
        <v>0.14429748341544987</v>
      </c>
      <c r="F111" s="31">
        <f ca="1">VLOOKUP($A111,Valorisation!$A$5:$AZ$224,35+COLUMN(F110)-4,0)*F$2</f>
        <v>-0.34358180871730937</v>
      </c>
      <c r="G111" s="31">
        <f ca="1">VLOOKUP($A111,Valorisation!$A$5:$AZ$224,35+COLUMN(G110)-4,0)*G$2</f>
        <v>0</v>
      </c>
      <c r="H111" s="31">
        <f ca="1">VLOOKUP($A111,Valorisation!$A$5:$AZ$224,35+COLUMN(H110)-4,0)*H$2</f>
        <v>6.7779390545026751E-3</v>
      </c>
      <c r="I111" s="31">
        <f ca="1">VLOOKUP($A111,Valorisation!$A$5:$AZ$224,35+COLUMN(I110)-4,0)*I$2</f>
        <v>0.32928825420305907</v>
      </c>
      <c r="J111" s="31">
        <f ca="1">VLOOKUP($A111,Valorisation!$A$5:$AZ$224,35+COLUMN(J110)-4,0)*J$2</f>
        <v>2.6772953496166818E-2</v>
      </c>
      <c r="K111" s="31">
        <f ca="1">VLOOKUP($A111,Valorisation!$A$5:$AZ$224,35+COLUMN(K110)-4,0)*K$2</f>
        <v>-0.96917649763320091</v>
      </c>
      <c r="L111" s="31">
        <f ca="1">SUM(D111:K111)</f>
        <v>-0.80562167618133185</v>
      </c>
      <c r="M111" s="40">
        <f>VLOOKUP($A111,Valorisation!$A$5:$AF$224,8,0)</f>
        <v>1</v>
      </c>
      <c r="N111" s="31" t="str">
        <f>VLOOKUP($A111,Valorisation!$A$5:$AF$224,13,0)</f>
        <v>SG/SF</v>
      </c>
    </row>
    <row r="112" spans="1:14">
      <c r="A112">
        <v>121</v>
      </c>
      <c r="B112" s="8" t="str">
        <f>VLOOKUP($A112,Valorisation!$A$5:$AF$224,2,0)</f>
        <v>Mason Plumlee</v>
      </c>
      <c r="C112" s="39">
        <f ca="1">VLOOKUP($A112,Valorisation!$A$5:$AF$224,4,0)</f>
        <v>3.8313095445908831</v>
      </c>
      <c r="D112" s="31">
        <f ca="1">VLOOKUP($A112,Valorisation!$A$5:$AZ$224,35+COLUMN(D111)-4,0)*D$2</f>
        <v>0</v>
      </c>
      <c r="E112" s="31">
        <f ca="1">VLOOKUP($A112,Valorisation!$A$5:$AZ$224,35+COLUMN(E111)-4,0)*E$2</f>
        <v>-1.7120096997355103</v>
      </c>
      <c r="F112" s="31">
        <f ca="1">VLOOKUP($A112,Valorisation!$A$5:$AZ$224,35+COLUMN(F111)-4,0)*F$2</f>
        <v>1.4180533355856577</v>
      </c>
      <c r="G112" s="31">
        <f ca="1">VLOOKUP($A112,Valorisation!$A$5:$AZ$224,35+COLUMN(G111)-4,0)*G$2</f>
        <v>0</v>
      </c>
      <c r="H112" s="31">
        <f ca="1">VLOOKUP($A112,Valorisation!$A$5:$AZ$224,35+COLUMN(H111)-4,0)*H$2</f>
        <v>-1.083130169901751</v>
      </c>
      <c r="I112" s="31">
        <f ca="1">VLOOKUP($A112,Valorisation!$A$5:$AZ$224,35+COLUMN(I111)-4,0)*I$2</f>
        <v>0.46012398060671816</v>
      </c>
      <c r="J112" s="31">
        <f ca="1">VLOOKUP($A112,Valorisation!$A$5:$AZ$224,35+COLUMN(J111)-4,0)*J$2</f>
        <v>1.5141636846521966</v>
      </c>
      <c r="K112" s="31">
        <f ca="1">VLOOKUP($A112,Valorisation!$A$5:$AZ$224,35+COLUMN(K111)-4,0)*K$2</f>
        <v>-1.4175236275087812</v>
      </c>
      <c r="L112" s="31">
        <f ca="1">SUM(D112:K112)</f>
        <v>-0.82032249630147014</v>
      </c>
      <c r="M112" s="40">
        <f>VLOOKUP($A112,Valorisation!$A$5:$AF$224,8,0)</f>
        <v>1</v>
      </c>
      <c r="N112" s="31" t="str">
        <f>VLOOKUP($A112,Valorisation!$A$5:$AF$224,13,0)</f>
        <v>C</v>
      </c>
    </row>
    <row r="113" spans="1:14">
      <c r="A113">
        <v>74</v>
      </c>
      <c r="B113" s="8" t="str">
        <f>VLOOKUP($A113,Valorisation!$A$5:$AF$224,2,0)</f>
        <v>Ben Simmons</v>
      </c>
      <c r="C113" s="39">
        <f ca="1">VLOOKUP($A113,Valorisation!$A$5:$AF$224,4,0)</f>
        <v>17.267497372691114</v>
      </c>
      <c r="D113" s="31">
        <f ca="1">VLOOKUP($A113,Valorisation!$A$5:$AZ$224,35+COLUMN(D112)-4,0)*D$2</f>
        <v>0</v>
      </c>
      <c r="E113" s="31">
        <f ca="1">VLOOKUP($A113,Valorisation!$A$5:$AZ$224,35+COLUMN(E112)-4,0)*E$2</f>
        <v>-1.6710469463445734</v>
      </c>
      <c r="F113" s="31">
        <f ca="1">VLOOKUP($A113,Valorisation!$A$5:$AZ$224,35+COLUMN(F112)-4,0)*F$2</f>
        <v>0.60389803038339374</v>
      </c>
      <c r="G113" s="31">
        <f ca="1">VLOOKUP($A113,Valorisation!$A$5:$AZ$224,35+COLUMN(G112)-4,0)*G$2</f>
        <v>0</v>
      </c>
      <c r="H113" s="31">
        <f ca="1">VLOOKUP($A113,Valorisation!$A$5:$AZ$224,35+COLUMN(H112)-4,0)*H$2</f>
        <v>2.1616764240722266</v>
      </c>
      <c r="I113" s="31">
        <f ca="1">VLOOKUP($A113,Valorisation!$A$5:$AZ$224,35+COLUMN(I112)-4,0)*I$2</f>
        <v>-0.33919986003278219</v>
      </c>
      <c r="J113" s="31">
        <f ca="1">VLOOKUP($A113,Valorisation!$A$5:$AZ$224,35+COLUMN(J112)-4,0)*J$2</f>
        <v>1.3622229411863744</v>
      </c>
      <c r="K113" s="31">
        <f ca="1">VLOOKUP($A113,Valorisation!$A$5:$AZ$224,35+COLUMN(K112)-4,0)*K$2</f>
        <v>-2.9434824557650026</v>
      </c>
      <c r="L113" s="31">
        <f ca="1">SUM(D113:K113)</f>
        <v>-0.82593186650036321</v>
      </c>
      <c r="M113" s="40">
        <f>VLOOKUP($A113,Valorisation!$A$5:$AF$224,8,0)</f>
        <v>1</v>
      </c>
      <c r="N113" s="31" t="str">
        <f>VLOOKUP($A113,Valorisation!$A$5:$AF$224,13,0)</f>
        <v>PG</v>
      </c>
    </row>
    <row r="114" spans="1:14">
      <c r="A114">
        <v>59</v>
      </c>
      <c r="B114" s="8" t="str">
        <f>VLOOKUP($A114,Valorisation!$A$5:$AF$224,2,0)</f>
        <v>Darius Garland</v>
      </c>
      <c r="C114" s="39">
        <f ca="1">VLOOKUP($A114,Valorisation!$A$5:$AF$224,4,0)</f>
        <v>21.399961036143196</v>
      </c>
      <c r="D114" s="31">
        <f ca="1">VLOOKUP($A114,Valorisation!$A$5:$AZ$224,35+COLUMN(D113)-4,0)*D$2</f>
        <v>0</v>
      </c>
      <c r="E114" s="31">
        <f ca="1">VLOOKUP($A114,Valorisation!$A$5:$AZ$224,35+COLUMN(E113)-4,0)*E$2</f>
        <v>0.4620407952153171</v>
      </c>
      <c r="F114" s="31">
        <f ca="1">VLOOKUP($A114,Valorisation!$A$5:$AZ$224,35+COLUMN(F113)-4,0)*F$2</f>
        <v>-1.4386515726569982</v>
      </c>
      <c r="G114" s="31">
        <f ca="1">VLOOKUP($A114,Valorisation!$A$5:$AZ$224,35+COLUMN(G113)-4,0)*G$2</f>
        <v>0</v>
      </c>
      <c r="H114" s="31">
        <f ca="1">VLOOKUP($A114,Valorisation!$A$5:$AZ$224,35+COLUMN(H113)-4,0)*H$2</f>
        <v>0.91222098751730718</v>
      </c>
      <c r="I114" s="31">
        <f ca="1">VLOOKUP($A114,Valorisation!$A$5:$AZ$224,35+COLUMN(I113)-4,0)*I$2</f>
        <v>-1.1031854011907294</v>
      </c>
      <c r="J114" s="31">
        <f ca="1">VLOOKUP($A114,Valorisation!$A$5:$AZ$224,35+COLUMN(J113)-4,0)*J$2</f>
        <v>-0.28032321436338814</v>
      </c>
      <c r="K114" s="31">
        <f ca="1">VLOOKUP($A114,Valorisation!$A$5:$AZ$224,35+COLUMN(K113)-4,0)*K$2</f>
        <v>0.61456958521617611</v>
      </c>
      <c r="L114" s="31">
        <f ca="1">SUM(D114:K114)</f>
        <v>-0.83332882026231503</v>
      </c>
      <c r="M114" s="40">
        <f>VLOOKUP($A114,Valorisation!$A$5:$AF$224,8,0)</f>
        <v>1</v>
      </c>
      <c r="N114" s="31" t="str">
        <f>VLOOKUP($A114,Valorisation!$A$5:$AF$224,13,0)</f>
        <v>PG/SG</v>
      </c>
    </row>
    <row r="115" spans="1:14">
      <c r="A115">
        <v>96</v>
      </c>
      <c r="B115" s="8" t="str">
        <f>VLOOKUP($A115,Valorisation!$A$5:$AF$224,2,0)</f>
        <v>Jerami Grant</v>
      </c>
      <c r="C115" s="39">
        <f ca="1">VLOOKUP($A115,Valorisation!$A$5:$AF$224,4,0)</f>
        <v>10.219878443722322</v>
      </c>
      <c r="D115" s="31">
        <f ca="1">VLOOKUP($A115,Valorisation!$A$5:$AZ$224,35+COLUMN(D114)-4,0)*D$2</f>
        <v>0</v>
      </c>
      <c r="E115" s="31">
        <f ca="1">VLOOKUP($A115,Valorisation!$A$5:$AZ$224,35+COLUMN(E114)-4,0)*E$2</f>
        <v>5.2240321003712564E-2</v>
      </c>
      <c r="F115" s="31">
        <f ca="1">VLOOKUP($A115,Valorisation!$A$5:$AZ$224,35+COLUMN(F114)-4,0)*F$2</f>
        <v>-0.63299773548074123</v>
      </c>
      <c r="G115" s="31">
        <f ca="1">VLOOKUP($A115,Valorisation!$A$5:$AZ$224,35+COLUMN(G114)-4,0)*G$2</f>
        <v>0</v>
      </c>
      <c r="H115" s="31">
        <f ca="1">VLOOKUP($A115,Valorisation!$A$5:$AZ$224,35+COLUMN(H114)-4,0)*H$2</f>
        <v>-1.1828011014808861</v>
      </c>
      <c r="I115" s="31">
        <f ca="1">VLOOKUP($A115,Valorisation!$A$5:$AZ$224,35+COLUMN(I114)-4,0)*I$2</f>
        <v>0.663066314401492</v>
      </c>
      <c r="J115" s="31">
        <f ca="1">VLOOKUP($A115,Valorisation!$A$5:$AZ$224,35+COLUMN(J114)-4,0)*J$2</f>
        <v>-0.47495622647735558</v>
      </c>
      <c r="K115" s="31">
        <f ca="1">VLOOKUP($A115,Valorisation!$A$5:$AZ$224,35+COLUMN(K114)-4,0)*K$2</f>
        <v>0.72494621290729733</v>
      </c>
      <c r="L115" s="31">
        <f ca="1">SUM(D115:K115)</f>
        <v>-0.85050221512648105</v>
      </c>
      <c r="M115" s="40">
        <f>VLOOKUP($A115,Valorisation!$A$5:$AF$224,8,0)</f>
        <v>1</v>
      </c>
      <c r="N115" s="31" t="str">
        <f>VLOOKUP($A115,Valorisation!$A$5:$AF$224,13,0)</f>
        <v>SF/PF</v>
      </c>
    </row>
    <row r="116" spans="1:14">
      <c r="A116">
        <v>54</v>
      </c>
      <c r="B116" s="8" t="str">
        <f>VLOOKUP($A116,Valorisation!$A$5:$AF$224,2,0)</f>
        <v>D'Angelo Russell</v>
      </c>
      <c r="C116" s="39">
        <f ca="1">VLOOKUP($A116,Valorisation!$A$5:$AF$224,4,0)</f>
        <v>23.55901201269576</v>
      </c>
      <c r="D116" s="31">
        <f ca="1">VLOOKUP($A116,Valorisation!$A$5:$AZ$224,35+COLUMN(D115)-4,0)*D$2</f>
        <v>0</v>
      </c>
      <c r="E116" s="31">
        <f ca="1">VLOOKUP($A116,Valorisation!$A$5:$AZ$224,35+COLUMN(E115)-4,0)*E$2</f>
        <v>1.2636390562334876</v>
      </c>
      <c r="F116" s="31">
        <f ca="1">VLOOKUP($A116,Valorisation!$A$5:$AZ$224,35+COLUMN(F115)-4,0)*F$2</f>
        <v>-1.0540879027338024</v>
      </c>
      <c r="G116" s="31">
        <f ca="1">VLOOKUP($A116,Valorisation!$A$5:$AZ$224,35+COLUMN(G115)-4,0)*G$2</f>
        <v>0</v>
      </c>
      <c r="H116" s="31">
        <f ca="1">VLOOKUP($A116,Valorisation!$A$5:$AZ$224,35+COLUMN(H115)-4,0)*H$2</f>
        <v>0.68507111989285774</v>
      </c>
      <c r="I116" s="31">
        <f ca="1">VLOOKUP($A116,Valorisation!$A$5:$AZ$224,35+COLUMN(I115)-4,0)*I$2</f>
        <v>-0.32171414936093246</v>
      </c>
      <c r="J116" s="31">
        <f ca="1">VLOOKUP($A116,Valorisation!$A$5:$AZ$224,35+COLUMN(J115)-4,0)*J$2</f>
        <v>-1.1462099426319996</v>
      </c>
      <c r="K116" s="31">
        <f ca="1">VLOOKUP($A116,Valorisation!$A$5:$AZ$224,35+COLUMN(K115)-4,0)*K$2</f>
        <v>-0.32008039585686526</v>
      </c>
      <c r="L116" s="31">
        <f ca="1">SUM(D116:K116)</f>
        <v>-0.8933822144572543</v>
      </c>
      <c r="M116" s="40">
        <f>VLOOKUP($A116,Valorisation!$A$5:$AF$224,8,0)</f>
        <v>1</v>
      </c>
      <c r="N116" s="31" t="str">
        <f>VLOOKUP($A116,Valorisation!$A$5:$AF$224,13,0)</f>
        <v>PG/SG</v>
      </c>
    </row>
    <row r="117" spans="1:14">
      <c r="A117">
        <v>130</v>
      </c>
      <c r="B117" s="8" t="str">
        <f>VLOOKUP($A117,Valorisation!$A$5:$AF$224,2,0)</f>
        <v>Wendell Carter Jr.</v>
      </c>
      <c r="C117" s="39">
        <f ca="1">VLOOKUP($A117,Valorisation!$A$5:$AF$224,4,0)</f>
        <v>2.2645138172814603</v>
      </c>
      <c r="D117" s="31">
        <f ca="1">VLOOKUP($A117,Valorisation!$A$5:$AZ$224,35+COLUMN(D116)-4,0)*D$2</f>
        <v>0</v>
      </c>
      <c r="E117" s="31">
        <f ca="1">VLOOKUP($A117,Valorisation!$A$5:$AZ$224,35+COLUMN(E116)-4,0)*E$2</f>
        <v>-1.3722793438274068</v>
      </c>
      <c r="F117" s="31">
        <f ca="1">VLOOKUP($A117,Valorisation!$A$5:$AZ$224,35+COLUMN(F116)-4,0)*F$2</f>
        <v>1.3315578904796439</v>
      </c>
      <c r="G117" s="31">
        <f ca="1">VLOOKUP($A117,Valorisation!$A$5:$AZ$224,35+COLUMN(G116)-4,0)*G$2</f>
        <v>0</v>
      </c>
      <c r="H117" s="31">
        <f ca="1">VLOOKUP($A117,Valorisation!$A$5:$AZ$224,35+COLUMN(H116)-4,0)*H$2</f>
        <v>-0.77687951896589824</v>
      </c>
      <c r="I117" s="31">
        <f ca="1">VLOOKUP($A117,Valorisation!$A$5:$AZ$224,35+COLUMN(I116)-4,0)*I$2</f>
        <v>0.34921279479065986</v>
      </c>
      <c r="J117" s="31">
        <f ca="1">VLOOKUP($A117,Valorisation!$A$5:$AZ$224,35+COLUMN(J116)-4,0)*J$2</f>
        <v>0.39766561325969518</v>
      </c>
      <c r="K117" s="31">
        <f ca="1">VLOOKUP($A117,Valorisation!$A$5:$AZ$224,35+COLUMN(K116)-4,0)*K$2</f>
        <v>-0.85277854855870072</v>
      </c>
      <c r="L117" s="31">
        <f ca="1">SUM(D117:K117)</f>
        <v>-0.92350111282200675</v>
      </c>
      <c r="M117" s="40">
        <f>VLOOKUP($A117,Valorisation!$A$5:$AF$224,8,0)</f>
        <v>1</v>
      </c>
      <c r="N117" s="31" t="str">
        <f>VLOOKUP($A117,Valorisation!$A$5:$AF$224,13,0)</f>
        <v>C</v>
      </c>
    </row>
    <row r="118" spans="1:14">
      <c r="A118">
        <v>94</v>
      </c>
      <c r="B118" s="8" t="str">
        <f>VLOOKUP($A118,Valorisation!$A$5:$AF$224,2,0)</f>
        <v>Jalen Suggs</v>
      </c>
      <c r="C118" s="39">
        <f ca="1">VLOOKUP($A118,Valorisation!$A$5:$AF$224,4,0)</f>
        <v>10.544967687312715</v>
      </c>
      <c r="D118" s="31">
        <f ca="1">VLOOKUP($A118,Valorisation!$A$5:$AZ$224,35+COLUMN(D117)-4,0)*D$2</f>
        <v>0</v>
      </c>
      <c r="E118" s="31">
        <f ca="1">VLOOKUP($A118,Valorisation!$A$5:$AZ$224,35+COLUMN(E117)-4,0)*E$2</f>
        <v>-0.40437930785221943</v>
      </c>
      <c r="F118" s="31">
        <f ca="1">VLOOKUP($A118,Valorisation!$A$5:$AZ$224,35+COLUMN(F117)-4,0)*F$2</f>
        <v>6.5628848114709162E-2</v>
      </c>
      <c r="G118" s="31">
        <f ca="1">VLOOKUP($A118,Valorisation!$A$5:$AZ$224,35+COLUMN(G117)-4,0)*G$2</f>
        <v>0</v>
      </c>
      <c r="H118" s="31">
        <f ca="1">VLOOKUP($A118,Valorisation!$A$5:$AZ$224,35+COLUMN(H117)-4,0)*H$2</f>
        <v>1.3196497781279835</v>
      </c>
      <c r="I118" s="31">
        <f ca="1">VLOOKUP($A118,Valorisation!$A$5:$AZ$224,35+COLUMN(I117)-4,0)*I$2</f>
        <v>-0.64716293355004517</v>
      </c>
      <c r="J118" s="31">
        <f ca="1">VLOOKUP($A118,Valorisation!$A$5:$AZ$224,35+COLUMN(J117)-4,0)*J$2</f>
        <v>-0.69889266946684825</v>
      </c>
      <c r="K118" s="31">
        <f ca="1">VLOOKUP($A118,Valorisation!$A$5:$AZ$224,35+COLUMN(K117)-4,0)*K$2</f>
        <v>-0.59422755927634308</v>
      </c>
      <c r="L118" s="31">
        <f ca="1">SUM(D118:K118)</f>
        <v>-0.95938384390276332</v>
      </c>
      <c r="M118" s="40">
        <f>VLOOKUP($A118,Valorisation!$A$5:$AF$224,8,0)</f>
        <v>1</v>
      </c>
      <c r="N118" s="31" t="str">
        <f>VLOOKUP($A118,Valorisation!$A$5:$AF$224,13,0)</f>
        <v>PG/SG</v>
      </c>
    </row>
    <row r="119" spans="1:14">
      <c r="A119">
        <v>104</v>
      </c>
      <c r="B119" s="8" t="str">
        <f>VLOOKUP($A119,Valorisation!$A$5:$AF$224,2,0)</f>
        <v>Klay Thompson</v>
      </c>
      <c r="C119" s="39">
        <f ca="1">VLOOKUP($A119,Valorisation!$A$5:$AF$224,4,0)</f>
        <v>7.0953628345362549</v>
      </c>
      <c r="D119" s="31">
        <f ca="1">VLOOKUP($A119,Valorisation!$A$5:$AZ$224,35+COLUMN(D118)-4,0)*D$2</f>
        <v>0</v>
      </c>
      <c r="E119" s="31">
        <f ca="1">VLOOKUP($A119,Valorisation!$A$5:$AZ$224,35+COLUMN(E118)-4,0)*E$2</f>
        <v>1.0852498386425615</v>
      </c>
      <c r="F119" s="31">
        <f ca="1">VLOOKUP($A119,Valorisation!$A$5:$AZ$224,35+COLUMN(F118)-4,0)*F$2</f>
        <v>-1.0854219714732307</v>
      </c>
      <c r="G119" s="31">
        <f ca="1">VLOOKUP($A119,Valorisation!$A$5:$AZ$224,35+COLUMN(G118)-4,0)*G$2</f>
        <v>0</v>
      </c>
      <c r="H119" s="31">
        <f ca="1">VLOOKUP($A119,Valorisation!$A$5:$AZ$224,35+COLUMN(H118)-4,0)*H$2</f>
        <v>-0.37669626198859735</v>
      </c>
      <c r="I119" s="31">
        <f ca="1">VLOOKUP($A119,Valorisation!$A$5:$AZ$224,35+COLUMN(I118)-4,0)*I$2</f>
        <v>-0.3179348672734908</v>
      </c>
      <c r="J119" s="31">
        <f ca="1">VLOOKUP($A119,Valorisation!$A$5:$AZ$224,35+COLUMN(J118)-4,0)*J$2</f>
        <v>-0.33668853219694866</v>
      </c>
      <c r="K119" s="31">
        <f ca="1">VLOOKUP($A119,Valorisation!$A$5:$AZ$224,35+COLUMN(K118)-4,0)*K$2</f>
        <v>6.4640318581892953E-2</v>
      </c>
      <c r="L119" s="31">
        <f ca="1">SUM(D119:K119)</f>
        <v>-0.96685147570781305</v>
      </c>
      <c r="M119" s="40">
        <f>VLOOKUP($A119,Valorisation!$A$5:$AF$224,8,0)</f>
        <v>1</v>
      </c>
      <c r="N119" s="31" t="str">
        <f>VLOOKUP($A119,Valorisation!$A$5:$AF$224,13,0)</f>
        <v>SG</v>
      </c>
    </row>
    <row r="120" spans="1:14">
      <c r="A120">
        <v>101</v>
      </c>
      <c r="B120" s="8" t="str">
        <f>VLOOKUP($A120,Valorisation!$A$5:$AF$224,2,0)</f>
        <v>Bojan Bogdanovic</v>
      </c>
      <c r="C120" s="39">
        <f ca="1">VLOOKUP($A120,Valorisation!$A$5:$AF$224,4,0)</f>
        <v>8.1295171652204168</v>
      </c>
      <c r="D120" s="31">
        <f ca="1">VLOOKUP($A120,Valorisation!$A$5:$AZ$224,35+COLUMN(D119)-4,0)*D$2</f>
        <v>0</v>
      </c>
      <c r="E120" s="31">
        <f ca="1">VLOOKUP($A120,Valorisation!$A$5:$AZ$224,35+COLUMN(E119)-4,0)*E$2</f>
        <v>0.68499735275807172</v>
      </c>
      <c r="F120" s="31">
        <f ca="1">VLOOKUP($A120,Valorisation!$A$5:$AZ$224,35+COLUMN(F119)-4,0)*F$2</f>
        <v>-0.65212671382230281</v>
      </c>
      <c r="G120" s="31">
        <f ca="1">VLOOKUP($A120,Valorisation!$A$5:$AZ$224,35+COLUMN(G119)-4,0)*G$2</f>
        <v>0</v>
      </c>
      <c r="H120" s="31">
        <f ca="1">VLOOKUP($A120,Valorisation!$A$5:$AZ$224,35+COLUMN(H119)-4,0)*H$2</f>
        <v>-0.77013982711537021</v>
      </c>
      <c r="I120" s="31">
        <f ca="1">VLOOKUP($A120,Valorisation!$A$5:$AZ$224,35+COLUMN(I119)-4,0)*I$2</f>
        <v>-1.1083694701085474</v>
      </c>
      <c r="J120" s="31">
        <f ca="1">VLOOKUP($A120,Valorisation!$A$5:$AZ$224,35+COLUMN(J119)-4,0)*J$2</f>
        <v>-0.51386092853906673</v>
      </c>
      <c r="K120" s="31">
        <f ca="1">VLOOKUP($A120,Valorisation!$A$5:$AZ$224,35+COLUMN(K119)-4,0)*K$2</f>
        <v>1.3798095512606006</v>
      </c>
      <c r="L120" s="31">
        <f ca="1">SUM(D120:K120)</f>
        <v>-0.97969003556661471</v>
      </c>
      <c r="M120" s="40">
        <f>VLOOKUP($A120,Valorisation!$A$5:$AF$224,8,0)</f>
        <v>1</v>
      </c>
      <c r="N120" s="31" t="str">
        <f>VLOOKUP($A120,Valorisation!$A$5:$AF$224,13,0)</f>
        <v>SF/PF</v>
      </c>
    </row>
    <row r="121" spans="1:14">
      <c r="A121">
        <v>134</v>
      </c>
      <c r="B121" s="8" t="str">
        <f>VLOOKUP($A121,Valorisation!$A$5:$AF$224,2,0)</f>
        <v>Alperen Sengun</v>
      </c>
      <c r="C121" s="39">
        <f ca="1">VLOOKUP($A121,Valorisation!$A$5:$AF$224,4,0)</f>
        <v>1.3038471811900201</v>
      </c>
      <c r="D121" s="31">
        <f ca="1">VLOOKUP($A121,Valorisation!$A$5:$AZ$224,35+COLUMN(D120)-4,0)*D$2</f>
        <v>0</v>
      </c>
      <c r="E121" s="31">
        <f ca="1">VLOOKUP($A121,Valorisation!$A$5:$AZ$224,35+COLUMN(E120)-4,0)*E$2</f>
        <v>-1.4128399873899222</v>
      </c>
      <c r="F121" s="31">
        <f ca="1">VLOOKUP($A121,Valorisation!$A$5:$AZ$224,35+COLUMN(F120)-4,0)*F$2</f>
        <v>0.27535959618987421</v>
      </c>
      <c r="G121" s="31">
        <f ca="1">VLOOKUP($A121,Valorisation!$A$5:$AZ$224,35+COLUMN(G120)-4,0)*G$2</f>
        <v>0</v>
      </c>
      <c r="H121" s="31">
        <f ca="1">VLOOKUP($A121,Valorisation!$A$5:$AZ$224,35+COLUMN(H120)-4,0)*H$2</f>
        <v>-0.63702055796582457</v>
      </c>
      <c r="I121" s="31">
        <f ca="1">VLOOKUP($A121,Valorisation!$A$5:$AZ$224,35+COLUMN(I120)-4,0)*I$2</f>
        <v>0.58182445521357518</v>
      </c>
      <c r="J121" s="31">
        <f ca="1">VLOOKUP($A121,Valorisation!$A$5:$AZ$224,35+COLUMN(J120)-4,0)*J$2</f>
        <v>0.55918602375400639</v>
      </c>
      <c r="K121" s="31">
        <f ca="1">VLOOKUP($A121,Valorisation!$A$5:$AZ$224,35+COLUMN(K120)-4,0)*K$2</f>
        <v>-0.36984963438454527</v>
      </c>
      <c r="L121" s="31">
        <f ca="1">SUM(D121:K121)</f>
        <v>-1.0033401045828363</v>
      </c>
      <c r="M121" s="40">
        <f>VLOOKUP($A121,Valorisation!$A$5:$AF$224,8,0)</f>
        <v>1</v>
      </c>
      <c r="N121" s="31" t="str">
        <f>VLOOKUP($A121,Valorisation!$A$5:$AF$224,13,0)</f>
        <v>C</v>
      </c>
    </row>
    <row r="122" spans="1:14">
      <c r="A122">
        <v>125</v>
      </c>
      <c r="B122" s="8" t="str">
        <f>VLOOKUP($A122,Valorisation!$A$5:$AF$224,2,0)</f>
        <v>Montrezl Harrell</v>
      </c>
      <c r="C122" s="39">
        <f ca="1">VLOOKUP($A122,Valorisation!$A$5:$AF$224,4,0)</f>
        <v>3.1036252700319875</v>
      </c>
      <c r="D122" s="31">
        <f ca="1">VLOOKUP($A122,Valorisation!$A$5:$AZ$224,35+COLUMN(D121)-4,0)*D$2</f>
        <v>0</v>
      </c>
      <c r="E122" s="31">
        <f ca="1">VLOOKUP($A122,Valorisation!$A$5:$AZ$224,35+COLUMN(E121)-4,0)*E$2</f>
        <v>-1.7120096997355103</v>
      </c>
      <c r="F122" s="31">
        <f ca="1">VLOOKUP($A122,Valorisation!$A$5:$AZ$224,35+COLUMN(F121)-4,0)*F$2</f>
        <v>0.6544524016178489</v>
      </c>
      <c r="G122" s="31">
        <f ca="1">VLOOKUP($A122,Valorisation!$A$5:$AZ$224,35+COLUMN(G121)-4,0)*G$2</f>
        <v>0</v>
      </c>
      <c r="H122" s="31">
        <f ca="1">VLOOKUP($A122,Valorisation!$A$5:$AZ$224,35+COLUMN(H121)-4,0)*H$2</f>
        <v>-0.71411965722911741</v>
      </c>
      <c r="I122" s="31">
        <f ca="1">VLOOKUP($A122,Valorisation!$A$5:$AZ$224,35+COLUMN(I121)-4,0)*I$2</f>
        <v>0.37576368030663837</v>
      </c>
      <c r="J122" s="31">
        <f ca="1">VLOOKUP($A122,Valorisation!$A$5:$AZ$224,35+COLUMN(J121)-4,0)*J$2</f>
        <v>2.2788461693929425</v>
      </c>
      <c r="K122" s="31">
        <f ca="1">VLOOKUP($A122,Valorisation!$A$5:$AZ$224,35+COLUMN(K121)-4,0)*K$2</f>
        <v>-1.9001285589744206</v>
      </c>
      <c r="L122" s="31">
        <f ca="1">SUM(D122:K122)</f>
        <v>-1.0171956646216185</v>
      </c>
      <c r="M122" s="40">
        <f>VLOOKUP($A122,Valorisation!$A$5:$AF$224,8,0)</f>
        <v>1</v>
      </c>
      <c r="N122" s="31" t="str">
        <f>VLOOKUP($A122,Valorisation!$A$5:$AF$224,13,0)</f>
        <v>PF/C</v>
      </c>
    </row>
    <row r="123" spans="1:14">
      <c r="A123">
        <v>156</v>
      </c>
      <c r="B123" s="8" t="str">
        <f>VLOOKUP($A123,Valorisation!$A$5:$AF$224,2,0)</f>
        <v>Bobby Portis</v>
      </c>
      <c r="C123" s="39">
        <f ca="1">VLOOKUP($A123,Valorisation!$A$5:$AF$224,4,0)</f>
        <v>-1.1712069329159727</v>
      </c>
      <c r="D123" s="31">
        <f ca="1">VLOOKUP($A123,Valorisation!$A$5:$AZ$224,35+COLUMN(D122)-4,0)*D$2</f>
        <v>0</v>
      </c>
      <c r="E123" s="31">
        <f ca="1">VLOOKUP($A123,Valorisation!$A$5:$AZ$224,35+COLUMN(E122)-4,0)*E$2</f>
        <v>-0.72108345634202697</v>
      </c>
      <c r="F123" s="31">
        <f ca="1">VLOOKUP($A123,Valorisation!$A$5:$AZ$224,35+COLUMN(F122)-4,0)*F$2</f>
        <v>0.64272456387282106</v>
      </c>
      <c r="G123" s="31">
        <f ca="1">VLOOKUP($A123,Valorisation!$A$5:$AZ$224,35+COLUMN(G122)-4,0)*G$2</f>
        <v>0</v>
      </c>
      <c r="H123" s="31">
        <f ca="1">VLOOKUP($A123,Valorisation!$A$5:$AZ$224,35+COLUMN(H122)-4,0)*H$2</f>
        <v>-0.57106536546526743</v>
      </c>
      <c r="I123" s="31">
        <f ca="1">VLOOKUP($A123,Valorisation!$A$5:$AZ$224,35+COLUMN(I122)-4,0)*I$2</f>
        <v>-0.44449031066797667</v>
      </c>
      <c r="J123" s="31">
        <f ca="1">VLOOKUP($A123,Valorisation!$A$5:$AZ$224,35+COLUMN(J122)-4,0)*J$2</f>
        <v>0.30820742273072577</v>
      </c>
      <c r="K123" s="31">
        <f ca="1">VLOOKUP($A123,Valorisation!$A$5:$AZ$224,35+COLUMN(K122)-4,0)*K$2</f>
        <v>-0.24957375106877375</v>
      </c>
      <c r="L123" s="31">
        <f ca="1">SUM(D123:K123)</f>
        <v>-1.0352808969404981</v>
      </c>
      <c r="M123" s="40">
        <f>VLOOKUP($A123,Valorisation!$A$5:$AF$224,8,0)</f>
        <v>1</v>
      </c>
      <c r="N123" s="31" t="str">
        <f>VLOOKUP($A123,Valorisation!$A$5:$AF$224,13,0)</f>
        <v>PF</v>
      </c>
    </row>
    <row r="124" spans="1:14">
      <c r="A124">
        <v>138</v>
      </c>
      <c r="B124" s="8" t="str">
        <f>VLOOKUP($A124,Valorisation!$A$5:$AF$224,2,0)</f>
        <v>De'Anthony Melton</v>
      </c>
      <c r="C124" s="39">
        <f ca="1">VLOOKUP($A124,Valorisation!$A$5:$AF$224,4,0)</f>
        <v>1.1657064057155546</v>
      </c>
      <c r="D124" s="31">
        <f ca="1">VLOOKUP($A124,Valorisation!$A$5:$AZ$224,35+COLUMN(D123)-4,0)*D$2</f>
        <v>0</v>
      </c>
      <c r="E124" s="31">
        <f ca="1">VLOOKUP($A124,Valorisation!$A$5:$AZ$224,35+COLUMN(E123)-4,0)*E$2</f>
        <v>0.14734614688545616</v>
      </c>
      <c r="F124" s="31">
        <f ca="1">VLOOKUP($A124,Valorisation!$A$5:$AZ$224,35+COLUMN(F123)-4,0)*F$2</f>
        <v>-0.99216078964889676</v>
      </c>
      <c r="G124" s="31">
        <f ca="1">VLOOKUP($A124,Valorisation!$A$5:$AZ$224,35+COLUMN(G123)-4,0)*G$2</f>
        <v>0</v>
      </c>
      <c r="H124" s="31">
        <f ca="1">VLOOKUP($A124,Valorisation!$A$5:$AZ$224,35+COLUMN(H123)-4,0)*H$2</f>
        <v>0.86994850412821778</v>
      </c>
      <c r="I124" s="31">
        <f ca="1">VLOOKUP($A124,Valorisation!$A$5:$AZ$224,35+COLUMN(I123)-4,0)*I$2</f>
        <v>-0.32194178444739613</v>
      </c>
      <c r="J124" s="31">
        <f ca="1">VLOOKUP($A124,Valorisation!$A$5:$AZ$224,35+COLUMN(J123)-4,0)*J$2</f>
        <v>-0.7244053287383122</v>
      </c>
      <c r="K124" s="31">
        <f ca="1">VLOOKUP($A124,Valorisation!$A$5:$AZ$224,35+COLUMN(K123)-4,0)*K$2</f>
        <v>-4.9006302079051378E-2</v>
      </c>
      <c r="L124" s="31">
        <f ca="1">SUM(D124:K124)</f>
        <v>-1.0702195538999826</v>
      </c>
      <c r="M124" s="40">
        <f>VLOOKUP($A124,Valorisation!$A$5:$AF$224,8,0)</f>
        <v>1</v>
      </c>
      <c r="N124" s="31" t="str">
        <f>VLOOKUP($A124,Valorisation!$A$5:$AF$224,13,0)</f>
        <v>PG</v>
      </c>
    </row>
    <row r="125" spans="1:14">
      <c r="A125">
        <v>105</v>
      </c>
      <c r="B125" s="8" t="str">
        <f>VLOOKUP($A125,Valorisation!$A$5:$AF$224,2,0)</f>
        <v>Harrison Barnes</v>
      </c>
      <c r="C125" s="39">
        <f ca="1">VLOOKUP($A125,Valorisation!$A$5:$AF$224,4,0)</f>
        <v>6.8649310453176051</v>
      </c>
      <c r="D125" s="31">
        <f ca="1">VLOOKUP($A125,Valorisation!$A$5:$AZ$224,35+COLUMN(D124)-4,0)*D$2</f>
        <v>0</v>
      </c>
      <c r="E125" s="31">
        <f ca="1">VLOOKUP($A125,Valorisation!$A$5:$AZ$224,35+COLUMN(E124)-4,0)*E$2</f>
        <v>-1.2349425064672475E-2</v>
      </c>
      <c r="F125" s="31">
        <f ca="1">VLOOKUP($A125,Valorisation!$A$5:$AZ$224,35+COLUMN(F124)-4,0)*F$2</f>
        <v>0.21136967027776812</v>
      </c>
      <c r="G125" s="31">
        <f ca="1">VLOOKUP($A125,Valorisation!$A$5:$AZ$224,35+COLUMN(G124)-4,0)*G$2</f>
        <v>0</v>
      </c>
      <c r="H125" s="31">
        <f ca="1">VLOOKUP($A125,Valorisation!$A$5:$AZ$224,35+COLUMN(H124)-4,0)*H$2</f>
        <v>-1.0822899273707809</v>
      </c>
      <c r="I125" s="31">
        <f ca="1">VLOOKUP($A125,Valorisation!$A$5:$AZ$224,35+COLUMN(I124)-4,0)*I$2</f>
        <v>-0.83491920759930893</v>
      </c>
      <c r="J125" s="31">
        <f ca="1">VLOOKUP($A125,Valorisation!$A$5:$AZ$224,35+COLUMN(J124)-4,0)*J$2</f>
        <v>0.16103025719602443</v>
      </c>
      <c r="K125" s="31">
        <f ca="1">VLOOKUP($A125,Valorisation!$A$5:$AZ$224,35+COLUMN(K124)-4,0)*K$2</f>
        <v>0.39383277623989021</v>
      </c>
      <c r="L125" s="31">
        <f ca="1">SUM(D125:K125)</f>
        <v>-1.1633258563210798</v>
      </c>
      <c r="M125" s="40">
        <f>VLOOKUP($A125,Valorisation!$A$5:$AF$224,8,0)</f>
        <v>1</v>
      </c>
      <c r="N125" s="31" t="str">
        <f>VLOOKUP($A125,Valorisation!$A$5:$AF$224,13,0)</f>
        <v>SF/PF</v>
      </c>
    </row>
    <row r="126" spans="1:14">
      <c r="A126">
        <v>40</v>
      </c>
      <c r="B126" s="8" t="str">
        <f>VLOOKUP($A126,Valorisation!$A$5:$AF$224,2,0)</f>
        <v>De'Aaron Fox</v>
      </c>
      <c r="C126" s="39">
        <f ca="1">VLOOKUP($A126,Valorisation!$A$5:$AF$224,4,0)</f>
        <v>28.197124126906782</v>
      </c>
      <c r="D126" s="31">
        <f ca="1">VLOOKUP($A126,Valorisation!$A$5:$AZ$224,35+COLUMN(D125)-4,0)*D$2</f>
        <v>0</v>
      </c>
      <c r="E126" s="31">
        <f ca="1">VLOOKUP($A126,Valorisation!$A$5:$AZ$224,35+COLUMN(E125)-4,0)*E$2</f>
        <v>7.7219243080579453E-3</v>
      </c>
      <c r="F126" s="31">
        <f ca="1">VLOOKUP($A126,Valorisation!$A$5:$AZ$224,35+COLUMN(F125)-4,0)*F$2</f>
        <v>-0.92484456681809979</v>
      </c>
      <c r="G126" s="31">
        <f ca="1">VLOOKUP($A126,Valorisation!$A$5:$AZ$224,35+COLUMN(G125)-4,0)*G$2</f>
        <v>0</v>
      </c>
      <c r="H126" s="31">
        <f ca="1">VLOOKUP($A126,Valorisation!$A$5:$AZ$224,35+COLUMN(H125)-4,0)*H$2</f>
        <v>1.5908225460444203</v>
      </c>
      <c r="I126" s="31">
        <f ca="1">VLOOKUP($A126,Valorisation!$A$5:$AZ$224,35+COLUMN(I125)-4,0)*I$2</f>
        <v>-0.41273092817826279</v>
      </c>
      <c r="J126" s="31">
        <f ca="1">VLOOKUP($A126,Valorisation!$A$5:$AZ$224,35+COLUMN(J125)-4,0)*J$2</f>
        <v>0.10571430969433535</v>
      </c>
      <c r="K126" s="31">
        <f ca="1">VLOOKUP($A126,Valorisation!$A$5:$AZ$224,35+COLUMN(K125)-4,0)*K$2</f>
        <v>-1.537563221592454</v>
      </c>
      <c r="L126" s="31">
        <f ca="1">SUM(D126:K126)</f>
        <v>-1.1708799365420028</v>
      </c>
      <c r="M126" s="40">
        <f>VLOOKUP($A126,Valorisation!$A$5:$AF$224,8,0)</f>
        <v>1</v>
      </c>
      <c r="N126" s="31" t="str">
        <f>VLOOKUP($A126,Valorisation!$A$5:$AF$224,13,0)</f>
        <v>PG</v>
      </c>
    </row>
    <row r="127" spans="1:14">
      <c r="A127">
        <v>150</v>
      </c>
      <c r="B127" s="8" t="str">
        <f>VLOOKUP($A127,Valorisation!$A$5:$AF$224,2,0)</f>
        <v>Lauri Markkanen</v>
      </c>
      <c r="C127" s="39">
        <f ca="1">VLOOKUP($A127,Valorisation!$A$5:$AF$224,4,0)</f>
        <v>0.42457741129604709</v>
      </c>
      <c r="D127" s="31">
        <f ca="1">VLOOKUP($A127,Valorisation!$A$5:$AZ$224,35+COLUMN(D126)-4,0)*D$2</f>
        <v>0</v>
      </c>
      <c r="E127" s="31">
        <f ca="1">VLOOKUP($A127,Valorisation!$A$5:$AZ$224,35+COLUMN(E126)-4,0)*E$2</f>
        <v>0.89681741154256267</v>
      </c>
      <c r="F127" s="31">
        <f ca="1">VLOOKUP($A127,Valorisation!$A$5:$AZ$224,35+COLUMN(F126)-4,0)*F$2</f>
        <v>-2.0740592734989311E-2</v>
      </c>
      <c r="G127" s="31">
        <f ca="1">VLOOKUP($A127,Valorisation!$A$5:$AZ$224,35+COLUMN(G126)-4,0)*G$2</f>
        <v>0</v>
      </c>
      <c r="H127" s="31">
        <f ca="1">VLOOKUP($A127,Valorisation!$A$5:$AZ$224,35+COLUMN(H126)-4,0)*H$2</f>
        <v>-1.2959916110808558</v>
      </c>
      <c r="I127" s="31">
        <f ca="1">VLOOKUP($A127,Valorisation!$A$5:$AZ$224,35+COLUMN(I126)-4,0)*I$2</f>
        <v>-0.58978193687200031</v>
      </c>
      <c r="J127" s="31">
        <f ca="1">VLOOKUP($A127,Valorisation!$A$5:$AZ$224,35+COLUMN(J126)-4,0)*J$2</f>
        <v>-0.30491570768099002</v>
      </c>
      <c r="K127" s="31">
        <f ca="1">VLOOKUP($A127,Valorisation!$A$5:$AZ$224,35+COLUMN(K126)-4,0)*K$2</f>
        <v>0.12795770342836929</v>
      </c>
      <c r="L127" s="31">
        <f ca="1">SUM(D127:K127)</f>
        <v>-1.1866547333979036</v>
      </c>
      <c r="M127" s="40">
        <f>VLOOKUP($A127,Valorisation!$A$5:$AF$224,8,0)</f>
        <v>1</v>
      </c>
      <c r="N127" s="31" t="str">
        <f>VLOOKUP($A127,Valorisation!$A$5:$AF$224,13,0)</f>
        <v>PF</v>
      </c>
    </row>
    <row r="128" spans="1:14">
      <c r="A128">
        <v>137</v>
      </c>
      <c r="B128" s="8" t="str">
        <f>VLOOKUP($A128,Valorisation!$A$5:$AF$224,2,0)</f>
        <v>Duncan Robinson</v>
      </c>
      <c r="C128" s="39">
        <f ca="1">VLOOKUP($A128,Valorisation!$A$5:$AF$224,4,0)</f>
        <v>1.2248238577243542</v>
      </c>
      <c r="D128" s="31">
        <f ca="1">VLOOKUP($A128,Valorisation!$A$5:$AZ$224,35+COLUMN(D127)-4,0)*D$2</f>
        <v>0</v>
      </c>
      <c r="E128" s="31">
        <f ca="1">VLOOKUP($A128,Valorisation!$A$5:$AZ$224,35+COLUMN(E127)-4,0)*E$2</f>
        <v>1.9078564044660129</v>
      </c>
      <c r="F128" s="31">
        <f ca="1">VLOOKUP($A128,Valorisation!$A$5:$AZ$224,35+COLUMN(F127)-4,0)*F$2</f>
        <v>-1.0103555981790682</v>
      </c>
      <c r="G128" s="31">
        <f ca="1">VLOOKUP($A128,Valorisation!$A$5:$AZ$224,35+COLUMN(G127)-4,0)*G$2</f>
        <v>0</v>
      </c>
      <c r="H128" s="31">
        <f ca="1">VLOOKUP($A128,Valorisation!$A$5:$AZ$224,35+COLUMN(H127)-4,0)*H$2</f>
        <v>-1.1378089526046333</v>
      </c>
      <c r="I128" s="31">
        <f ca="1">VLOOKUP($A128,Valorisation!$A$5:$AZ$224,35+COLUMN(I127)-4,0)*I$2</f>
        <v>-0.65139294292054206</v>
      </c>
      <c r="J128" s="31">
        <f ca="1">VLOOKUP($A128,Valorisation!$A$5:$AZ$224,35+COLUMN(J127)-4,0)*J$2</f>
        <v>-0.4194582866798181</v>
      </c>
      <c r="K128" s="31">
        <f ca="1">VLOOKUP($A128,Valorisation!$A$5:$AZ$224,35+COLUMN(K127)-4,0)*K$2</f>
        <v>8.1446032067103366E-2</v>
      </c>
      <c r="L128" s="31">
        <f ca="1">SUM(D128:K128)</f>
        <v>-1.2297133438509453</v>
      </c>
      <c r="M128" s="40">
        <f>VLOOKUP($A128,Valorisation!$A$5:$AF$224,8,0)</f>
        <v>1</v>
      </c>
      <c r="N128" s="31" t="str">
        <f>VLOOKUP($A128,Valorisation!$A$5:$AF$224,13,0)</f>
        <v>SG/SF</v>
      </c>
    </row>
    <row r="129" spans="1:14">
      <c r="A129">
        <v>128</v>
      </c>
      <c r="B129" s="8" t="str">
        <f>VLOOKUP($A129,Valorisation!$A$5:$AF$224,2,0)</f>
        <v>De'Andre Hunter</v>
      </c>
      <c r="C129" s="39">
        <f ca="1">VLOOKUP($A129,Valorisation!$A$5:$AF$224,4,0)</f>
        <v>3.1949685201570972</v>
      </c>
      <c r="D129" s="31">
        <f ca="1">VLOOKUP($A129,Valorisation!$A$5:$AZ$224,35+COLUMN(D128)-4,0)*D$2</f>
        <v>0</v>
      </c>
      <c r="E129" s="31">
        <f ca="1">VLOOKUP($A129,Valorisation!$A$5:$AZ$224,35+COLUMN(E128)-4,0)*E$2</f>
        <v>4.9359232908490463E-3</v>
      </c>
      <c r="F129" s="31">
        <f ca="1">VLOOKUP($A129,Valorisation!$A$5:$AZ$224,35+COLUMN(F128)-4,0)*F$2</f>
        <v>-0.26808773295476124</v>
      </c>
      <c r="G129" s="31">
        <f ca="1">VLOOKUP($A129,Valorisation!$A$5:$AZ$224,35+COLUMN(G128)-4,0)*G$2</f>
        <v>0</v>
      </c>
      <c r="H129" s="31">
        <f ca="1">VLOOKUP($A129,Valorisation!$A$5:$AZ$224,35+COLUMN(H128)-4,0)*H$2</f>
        <v>-0.81705336842787002</v>
      </c>
      <c r="I129" s="31">
        <f ca="1">VLOOKUP($A129,Valorisation!$A$5:$AZ$224,35+COLUMN(I128)-4,0)*I$2</f>
        <v>-0.49782521142641573</v>
      </c>
      <c r="J129" s="31">
        <f ca="1">VLOOKUP($A129,Valorisation!$A$5:$AZ$224,35+COLUMN(J128)-4,0)*J$2</f>
        <v>-8.7047313021971995E-2</v>
      </c>
      <c r="K129" s="31">
        <f ca="1">VLOOKUP($A129,Valorisation!$A$5:$AZ$224,35+COLUMN(K128)-4,0)*K$2</f>
        <v>0.39424731836098936</v>
      </c>
      <c r="L129" s="31">
        <f ca="1">SUM(D129:K129)</f>
        <v>-1.2708303841791806</v>
      </c>
      <c r="M129" s="40">
        <f>VLOOKUP($A129,Valorisation!$A$5:$AF$224,8,0)</f>
        <v>1</v>
      </c>
      <c r="N129" s="31" t="str">
        <f>VLOOKUP($A129,Valorisation!$A$5:$AF$224,13,0)</f>
        <v>SF/PF</v>
      </c>
    </row>
    <row r="130" spans="1:14">
      <c r="A130">
        <v>80</v>
      </c>
      <c r="B130" s="8" t="str">
        <f>VLOOKUP($A130,Valorisation!$A$5:$AF$224,2,0)</f>
        <v>Collin Sexton</v>
      </c>
      <c r="C130" s="39">
        <f ca="1">VLOOKUP($A130,Valorisation!$A$5:$AF$224,4,0)</f>
        <v>15.642872500859198</v>
      </c>
      <c r="D130" s="31">
        <f ca="1">VLOOKUP($A130,Valorisation!$A$5:$AZ$224,35+COLUMN(D129)-4,0)*D$2</f>
        <v>0</v>
      </c>
      <c r="E130" s="31">
        <f ca="1">VLOOKUP($A130,Valorisation!$A$5:$AZ$224,35+COLUMN(E129)-4,0)*E$2</f>
        <v>-5.3773029295518054E-2</v>
      </c>
      <c r="F130" s="31">
        <f ca="1">VLOOKUP($A130,Valorisation!$A$5:$AZ$224,35+COLUMN(F129)-4,0)*F$2</f>
        <v>-1.0144979801486034</v>
      </c>
      <c r="G130" s="31">
        <f ca="1">VLOOKUP($A130,Valorisation!$A$5:$AZ$224,35+COLUMN(G129)-4,0)*G$2</f>
        <v>0</v>
      </c>
      <c r="H130" s="31">
        <f ca="1">VLOOKUP($A130,Valorisation!$A$5:$AZ$224,35+COLUMN(H129)-4,0)*H$2</f>
        <v>0.33383666692023545</v>
      </c>
      <c r="I130" s="31">
        <f ca="1">VLOOKUP($A130,Valorisation!$A$5:$AZ$224,35+COLUMN(I129)-4,0)*I$2</f>
        <v>-0.96531332105653656</v>
      </c>
      <c r="J130" s="31">
        <f ca="1">VLOOKUP($A130,Valorisation!$A$5:$AZ$224,35+COLUMN(J129)-4,0)*J$2</f>
        <v>-0.13075613156026789</v>
      </c>
      <c r="K130" s="31">
        <f ca="1">VLOOKUP($A130,Valorisation!$A$5:$AZ$224,35+COLUMN(K129)-4,0)*K$2</f>
        <v>0.53274657631080913</v>
      </c>
      <c r="L130" s="31">
        <f ca="1">SUM(D130:K130)</f>
        <v>-1.2977572188298812</v>
      </c>
      <c r="M130" s="40">
        <f>VLOOKUP($A130,Valorisation!$A$5:$AF$224,8,0)</f>
        <v>1</v>
      </c>
      <c r="N130" s="31" t="str">
        <f>VLOOKUP($A130,Valorisation!$A$5:$AF$224,13,0)</f>
        <v>PG/SG</v>
      </c>
    </row>
    <row r="131" spans="1:14">
      <c r="A131">
        <v>81</v>
      </c>
      <c r="B131" s="8" t="str">
        <f>VLOOKUP($A131,Valorisation!$A$5:$AF$224,2,0)</f>
        <v>Malcolm Brogdon</v>
      </c>
      <c r="C131" s="39">
        <f ca="1">VLOOKUP($A131,Valorisation!$A$5:$AF$224,4,0)</f>
        <v>15.221076090969976</v>
      </c>
      <c r="D131" s="31">
        <f ca="1">VLOOKUP($A131,Valorisation!$A$5:$AZ$224,35+COLUMN(D130)-4,0)*D$2</f>
        <v>0</v>
      </c>
      <c r="E131" s="31">
        <f ca="1">VLOOKUP($A131,Valorisation!$A$5:$AZ$224,35+COLUMN(E130)-4,0)*E$2</f>
        <v>0.7296916788615142</v>
      </c>
      <c r="F131" s="31">
        <f ca="1">VLOOKUP($A131,Valorisation!$A$5:$AZ$224,35+COLUMN(F130)-4,0)*F$2</f>
        <v>-0.12197463355401791</v>
      </c>
      <c r="G131" s="31">
        <f ca="1">VLOOKUP($A131,Valorisation!$A$5:$AZ$224,35+COLUMN(G130)-4,0)*G$2</f>
        <v>0</v>
      </c>
      <c r="H131" s="31">
        <f ca="1">VLOOKUP($A131,Valorisation!$A$5:$AZ$224,35+COLUMN(H130)-4,0)*H$2</f>
        <v>-1.1629532103439153</v>
      </c>
      <c r="I131" s="31">
        <f ca="1">VLOOKUP($A131,Valorisation!$A$5:$AZ$224,35+COLUMN(I130)-4,0)*I$2</f>
        <v>-0.72257826685371229</v>
      </c>
      <c r="J131" s="31">
        <f ca="1">VLOOKUP($A131,Valorisation!$A$5:$AZ$224,35+COLUMN(J130)-4,0)*J$2</f>
        <v>-0.85010449762903884</v>
      </c>
      <c r="K131" s="31">
        <f ca="1">VLOOKUP($A131,Valorisation!$A$5:$AZ$224,35+COLUMN(K130)-4,0)*K$2</f>
        <v>0.75202956995593917</v>
      </c>
      <c r="L131" s="31">
        <f ca="1">SUM(D131:K131)</f>
        <v>-1.3758893595632311</v>
      </c>
      <c r="M131" s="40">
        <f>VLOOKUP($A131,Valorisation!$A$5:$AF$224,8,0)</f>
        <v>1</v>
      </c>
      <c r="N131" s="31" t="str">
        <f>VLOOKUP($A131,Valorisation!$A$5:$AF$224,13,0)</f>
        <v>PG/SG</v>
      </c>
    </row>
    <row r="132" spans="1:14">
      <c r="A132">
        <v>119</v>
      </c>
      <c r="B132" s="8" t="str">
        <f>VLOOKUP($A132,Valorisation!$A$5:$AF$224,2,0)</f>
        <v>Joe Ingles</v>
      </c>
      <c r="C132" s="39">
        <f ca="1">VLOOKUP($A132,Valorisation!$A$5:$AF$224,4,0)</f>
        <v>4.4115939266433397</v>
      </c>
      <c r="D132" s="31">
        <f ca="1">VLOOKUP($A132,Valorisation!$A$5:$AZ$224,35+COLUMN(D131)-4,0)*D$2</f>
        <v>0</v>
      </c>
      <c r="E132" s="31">
        <f ca="1">VLOOKUP($A132,Valorisation!$A$5:$AZ$224,35+COLUMN(E131)-4,0)*E$2</f>
        <v>0.7186082086753145</v>
      </c>
      <c r="F132" s="31">
        <f ca="1">VLOOKUP($A132,Valorisation!$A$5:$AZ$224,35+COLUMN(F131)-4,0)*F$2</f>
        <v>-0.87509489813576635</v>
      </c>
      <c r="G132" s="31">
        <f ca="1">VLOOKUP($A132,Valorisation!$A$5:$AZ$224,35+COLUMN(G131)-4,0)*G$2</f>
        <v>0</v>
      </c>
      <c r="H132" s="31">
        <f ca="1">VLOOKUP($A132,Valorisation!$A$5:$AZ$224,35+COLUMN(H131)-4,0)*H$2</f>
        <v>-0.59382529861991273</v>
      </c>
      <c r="I132" s="31">
        <f ca="1">VLOOKUP($A132,Valorisation!$A$5:$AZ$224,35+COLUMN(I131)-4,0)*I$2</f>
        <v>-0.9170045702757692</v>
      </c>
      <c r="J132" s="31">
        <f ca="1">VLOOKUP($A132,Valorisation!$A$5:$AZ$224,35+COLUMN(J131)-4,0)*J$2</f>
        <v>1.5508780846998657E-3</v>
      </c>
      <c r="K132" s="31">
        <f ca="1">VLOOKUP($A132,Valorisation!$A$5:$AZ$224,35+COLUMN(K131)-4,0)*K$2</f>
        <v>0.14421061981606834</v>
      </c>
      <c r="L132" s="31">
        <f ca="1">SUM(D132:K132)</f>
        <v>-1.5215550604553656</v>
      </c>
      <c r="M132" s="40">
        <f>VLOOKUP($A132,Valorisation!$A$5:$AF$224,8,0)</f>
        <v>1</v>
      </c>
      <c r="N132" s="31" t="str">
        <f>VLOOKUP($A132,Valorisation!$A$5:$AF$224,13,0)</f>
        <v>SG/SF/PF</v>
      </c>
    </row>
    <row r="133" spans="1:14">
      <c r="A133">
        <v>99</v>
      </c>
      <c r="B133" s="8" t="str">
        <f>VLOOKUP($A133,Valorisation!$A$5:$AF$224,2,0)</f>
        <v>Tyrese Maxey</v>
      </c>
      <c r="C133" s="39">
        <f ca="1">VLOOKUP($A133,Valorisation!$A$5:$AF$224,4,0)</f>
        <v>9.3327663057536494</v>
      </c>
      <c r="D133" s="31">
        <f ca="1">VLOOKUP($A133,Valorisation!$A$5:$AZ$224,35+COLUMN(D132)-4,0)*D$2</f>
        <v>0</v>
      </c>
      <c r="E133" s="31">
        <f ca="1">VLOOKUP($A133,Valorisation!$A$5:$AZ$224,35+COLUMN(E132)-4,0)*E$2</f>
        <v>-0.50633104962521802</v>
      </c>
      <c r="F133" s="31">
        <f ca="1">VLOOKUP($A133,Valorisation!$A$5:$AZ$224,35+COLUMN(F132)-4,0)*F$2</f>
        <v>-0.87431815482073183</v>
      </c>
      <c r="G133" s="31">
        <f ca="1">VLOOKUP($A133,Valorisation!$A$5:$AZ$224,35+COLUMN(G132)-4,0)*G$2</f>
        <v>0</v>
      </c>
      <c r="H133" s="31">
        <f ca="1">VLOOKUP($A133,Valorisation!$A$5:$AZ$224,35+COLUMN(H132)-4,0)*H$2</f>
        <v>-0.55097656695398933</v>
      </c>
      <c r="I133" s="31">
        <f ca="1">VLOOKUP($A133,Valorisation!$A$5:$AZ$224,35+COLUMN(I132)-4,0)*I$2</f>
        <v>-0.26682991710710702</v>
      </c>
      <c r="J133" s="31">
        <f ca="1">VLOOKUP($A133,Valorisation!$A$5:$AZ$224,35+COLUMN(J132)-4,0)*J$2</f>
        <v>-7.9273258994968496E-2</v>
      </c>
      <c r="K133" s="31">
        <f ca="1">VLOOKUP($A133,Valorisation!$A$5:$AZ$224,35+COLUMN(K132)-4,0)*K$2</f>
        <v>0.66558512498906675</v>
      </c>
      <c r="L133" s="31">
        <f ca="1">SUM(D133:K133)</f>
        <v>-1.6121438225129481</v>
      </c>
      <c r="M133" s="40">
        <f>VLOOKUP($A133,Valorisation!$A$5:$AF$224,8,0)</f>
        <v>1</v>
      </c>
      <c r="N133" s="31" t="str">
        <f>VLOOKUP($A133,Valorisation!$A$5:$AF$224,13,0)</f>
        <v>SG</v>
      </c>
    </row>
    <row r="134" spans="1:14">
      <c r="A134">
        <v>131</v>
      </c>
      <c r="B134" s="8" t="str">
        <f>VLOOKUP($A134,Valorisation!$A$5:$AF$224,2,0)</f>
        <v>Malik Beasley</v>
      </c>
      <c r="C134" s="39">
        <f ca="1">VLOOKUP($A134,Valorisation!$A$5:$AF$224,4,0)</f>
        <v>2.4405882967375541</v>
      </c>
      <c r="D134" s="31">
        <f ca="1">VLOOKUP($A134,Valorisation!$A$5:$AZ$224,35+COLUMN(D133)-4,0)*D$2</f>
        <v>0</v>
      </c>
      <c r="E134" s="31">
        <f ca="1">VLOOKUP($A134,Valorisation!$A$5:$AZ$224,35+COLUMN(E133)-4,0)*E$2</f>
        <v>1.1925499451863661</v>
      </c>
      <c r="F134" s="31">
        <f ca="1">VLOOKUP($A134,Valorisation!$A$5:$AZ$224,35+COLUMN(F133)-4,0)*F$2</f>
        <v>-0.66202554206901942</v>
      </c>
      <c r="G134" s="31">
        <f ca="1">VLOOKUP($A134,Valorisation!$A$5:$AZ$224,35+COLUMN(G133)-4,0)*G$2</f>
        <v>0</v>
      </c>
      <c r="H134" s="31">
        <f ca="1">VLOOKUP($A134,Valorisation!$A$5:$AZ$224,35+COLUMN(H133)-4,0)*H$2</f>
        <v>-0.60974483440995964</v>
      </c>
      <c r="I134" s="31">
        <f ca="1">VLOOKUP($A134,Valorisation!$A$5:$AZ$224,35+COLUMN(I133)-4,0)*I$2</f>
        <v>-0.86645173690828114</v>
      </c>
      <c r="J134" s="31">
        <f ca="1">VLOOKUP($A134,Valorisation!$A$5:$AZ$224,35+COLUMN(J133)-4,0)*J$2</f>
        <v>-0.81829156548998927</v>
      </c>
      <c r="K134" s="31">
        <f ca="1">VLOOKUP($A134,Valorisation!$A$5:$AZ$224,35+COLUMN(K133)-4,0)*K$2</f>
        <v>0.11973150262023406</v>
      </c>
      <c r="L134" s="31">
        <f ca="1">SUM(D134:K134)</f>
        <v>-1.6442322310706492</v>
      </c>
      <c r="M134" s="40">
        <f>VLOOKUP($A134,Valorisation!$A$5:$AF$224,8,0)</f>
        <v>1</v>
      </c>
      <c r="N134" s="31" t="str">
        <f>VLOOKUP($A134,Valorisation!$A$5:$AF$224,13,0)</f>
        <v>SG/SF</v>
      </c>
    </row>
    <row r="135" spans="1:14">
      <c r="A135">
        <v>115</v>
      </c>
      <c r="B135" s="8" t="str">
        <f>VLOOKUP($A135,Valorisation!$A$5:$AF$224,2,0)</f>
        <v>Will Barton</v>
      </c>
      <c r="C135" s="39">
        <f ca="1">VLOOKUP($A135,Valorisation!$A$5:$AF$224,4,0)</f>
        <v>5.3000309527280578</v>
      </c>
      <c r="D135" s="31">
        <f ca="1">VLOOKUP($A135,Valorisation!$A$5:$AZ$224,35+COLUMN(D134)-4,0)*D$2</f>
        <v>0</v>
      </c>
      <c r="E135" s="31">
        <f ca="1">VLOOKUP($A135,Valorisation!$A$5:$AZ$224,35+COLUMN(E134)-4,0)*E$2</f>
        <v>0.41872044137026743</v>
      </c>
      <c r="F135" s="31">
        <f ca="1">VLOOKUP($A135,Valorisation!$A$5:$AZ$224,35+COLUMN(F134)-4,0)*F$2</f>
        <v>-0.56519548137094378</v>
      </c>
      <c r="G135" s="31">
        <f ca="1">VLOOKUP($A135,Valorisation!$A$5:$AZ$224,35+COLUMN(G134)-4,0)*G$2</f>
        <v>0</v>
      </c>
      <c r="H135" s="31">
        <f ca="1">VLOOKUP($A135,Valorisation!$A$5:$AZ$224,35+COLUMN(H134)-4,0)*H$2</f>
        <v>-0.11619913075457891</v>
      </c>
      <c r="I135" s="31">
        <f ca="1">VLOOKUP($A135,Valorisation!$A$5:$AZ$224,35+COLUMN(I134)-4,0)*I$2</f>
        <v>-0.4824533409041688</v>
      </c>
      <c r="J135" s="31">
        <f ca="1">VLOOKUP($A135,Valorisation!$A$5:$AZ$224,35+COLUMN(J134)-4,0)*J$2</f>
        <v>-0.86495529933413118</v>
      </c>
      <c r="K135" s="31">
        <f ca="1">VLOOKUP($A135,Valorisation!$A$5:$AZ$224,35+COLUMN(K134)-4,0)*K$2</f>
        <v>-7.697290158847922E-2</v>
      </c>
      <c r="L135" s="31">
        <f ca="1">SUM(D135:K135)</f>
        <v>-1.6870557125820345</v>
      </c>
      <c r="M135" s="40">
        <f>VLOOKUP($A135,Valorisation!$A$5:$AF$224,8,0)</f>
        <v>1</v>
      </c>
      <c r="N135" s="31" t="str">
        <f>VLOOKUP($A135,Valorisation!$A$5:$AF$224,13,0)</f>
        <v>SF</v>
      </c>
    </row>
    <row r="136" spans="1:14">
      <c r="A136">
        <v>124</v>
      </c>
      <c r="B136" s="8" t="str">
        <f>VLOOKUP($A136,Valorisation!$A$5:$AF$224,2,0)</f>
        <v>Jordan Clarkson</v>
      </c>
      <c r="C136" s="39">
        <f ca="1">VLOOKUP($A136,Valorisation!$A$5:$AF$224,4,0)</f>
        <v>3.5680480174315194</v>
      </c>
      <c r="D136" s="31">
        <f ca="1">VLOOKUP($A136,Valorisation!$A$5:$AZ$224,35+COLUMN(D135)-4,0)*D$2</f>
        <v>0</v>
      </c>
      <c r="E136" s="31">
        <f ca="1">VLOOKUP($A136,Valorisation!$A$5:$AZ$224,35+COLUMN(E135)-4,0)*E$2</f>
        <v>0.94416934423060372</v>
      </c>
      <c r="F136" s="31">
        <f ca="1">VLOOKUP($A136,Valorisation!$A$5:$AZ$224,35+COLUMN(F135)-4,0)*F$2</f>
        <v>-0.7925161528771002</v>
      </c>
      <c r="G136" s="31">
        <f ca="1">VLOOKUP($A136,Valorisation!$A$5:$AZ$224,35+COLUMN(G135)-4,0)*G$2</f>
        <v>0</v>
      </c>
      <c r="H136" s="31">
        <f ca="1">VLOOKUP($A136,Valorisation!$A$5:$AZ$224,35+COLUMN(H135)-4,0)*H$2</f>
        <v>-0.33590357833406292</v>
      </c>
      <c r="I136" s="31">
        <f ca="1">VLOOKUP($A136,Valorisation!$A$5:$AZ$224,35+COLUMN(I135)-4,0)*I$2</f>
        <v>-1.0302188244607229</v>
      </c>
      <c r="J136" s="31">
        <f ca="1">VLOOKUP($A136,Valorisation!$A$5:$AZ$224,35+COLUMN(J135)-4,0)*J$2</f>
        <v>-1.0788263197728578</v>
      </c>
      <c r="K136" s="31">
        <f ca="1">VLOOKUP($A136,Valorisation!$A$5:$AZ$224,35+COLUMN(K135)-4,0)*K$2</f>
        <v>0.57952759271890641</v>
      </c>
      <c r="L136" s="31">
        <f ca="1">SUM(D136:K136)</f>
        <v>-1.7137679384952333</v>
      </c>
      <c r="M136" s="40">
        <f>VLOOKUP($A136,Valorisation!$A$5:$AF$224,8,0)</f>
        <v>1</v>
      </c>
      <c r="N136" s="31" t="str">
        <f>VLOOKUP($A136,Valorisation!$A$5:$AF$224,13,0)</f>
        <v>SG</v>
      </c>
    </row>
    <row r="137" spans="1:14">
      <c r="A137">
        <v>155</v>
      </c>
      <c r="B137" s="8" t="str">
        <f>VLOOKUP($A137,Valorisation!$A$5:$AF$224,2,0)</f>
        <v>Kelly Oubre Jr.</v>
      </c>
      <c r="C137" s="39">
        <f ca="1">VLOOKUP($A137,Valorisation!$A$5:$AF$224,4,0)</f>
        <v>-2.4689812616618769</v>
      </c>
      <c r="D137" s="31">
        <f ca="1">VLOOKUP($A137,Valorisation!$A$5:$AZ$224,35+COLUMN(D136)-4,0)*D$2</f>
        <v>0</v>
      </c>
      <c r="E137" s="31">
        <f ca="1">VLOOKUP($A137,Valorisation!$A$5:$AZ$224,35+COLUMN(E136)-4,0)*E$2</f>
        <v>-0.29889270476586777</v>
      </c>
      <c r="F137" s="31">
        <f ca="1">VLOOKUP($A137,Valorisation!$A$5:$AZ$224,35+COLUMN(F136)-4,0)*F$2</f>
        <v>-0.1914449571120152</v>
      </c>
      <c r="G137" s="31">
        <f ca="1">VLOOKUP($A137,Valorisation!$A$5:$AZ$224,35+COLUMN(G136)-4,0)*G$2</f>
        <v>0</v>
      </c>
      <c r="H137" s="31">
        <f ca="1">VLOOKUP($A137,Valorisation!$A$5:$AZ$224,35+COLUMN(H136)-4,0)*H$2</f>
        <v>-0.36472280592227263</v>
      </c>
      <c r="I137" s="31">
        <f ca="1">VLOOKUP($A137,Valorisation!$A$5:$AZ$224,35+COLUMN(I136)-4,0)*I$2</f>
        <v>-0.16073121525352266</v>
      </c>
      <c r="J137" s="31">
        <f ca="1">VLOOKUP($A137,Valorisation!$A$5:$AZ$224,35+COLUMN(J136)-4,0)*J$2</f>
        <v>-0.3552976515083322</v>
      </c>
      <c r="K137" s="31">
        <f ca="1">VLOOKUP($A137,Valorisation!$A$5:$AZ$224,35+COLUMN(K136)-4,0)*K$2</f>
        <v>-0.34723189055533876</v>
      </c>
      <c r="L137" s="31">
        <f ca="1">SUM(D137:K137)</f>
        <v>-1.7183212251173492</v>
      </c>
      <c r="M137" s="40">
        <f>VLOOKUP($A137,Valorisation!$A$5:$AF$224,8,0)</f>
        <v>1</v>
      </c>
      <c r="N137" s="31" t="str">
        <f>VLOOKUP($A137,Valorisation!$A$5:$AF$224,13,0)</f>
        <v>SF/PF</v>
      </c>
    </row>
    <row r="138" spans="1:14">
      <c r="A138">
        <v>114</v>
      </c>
      <c r="B138" s="8" t="str">
        <f>VLOOKUP($A138,Valorisation!$A$5:$AF$224,2,0)</f>
        <v>Josh Giddey</v>
      </c>
      <c r="C138" s="39">
        <f ca="1">VLOOKUP($A138,Valorisation!$A$5:$AF$224,4,0)</f>
        <v>5.2601084064411046</v>
      </c>
      <c r="D138" s="31">
        <f ca="1">VLOOKUP($A138,Valorisation!$A$5:$AZ$224,35+COLUMN(D137)-4,0)*D$2</f>
        <v>0</v>
      </c>
      <c r="E138" s="31">
        <f ca="1">VLOOKUP($A138,Valorisation!$A$5:$AZ$224,35+COLUMN(E137)-4,0)*E$2</f>
        <v>-0.68132062198981425</v>
      </c>
      <c r="F138" s="31">
        <f ca="1">VLOOKUP($A138,Valorisation!$A$5:$AZ$224,35+COLUMN(F137)-4,0)*F$2</f>
        <v>0.45067054140687279</v>
      </c>
      <c r="G138" s="31">
        <f ca="1">VLOOKUP($A138,Valorisation!$A$5:$AZ$224,35+COLUMN(G137)-4,0)*G$2</f>
        <v>0</v>
      </c>
      <c r="H138" s="31">
        <f ca="1">VLOOKUP($A138,Valorisation!$A$5:$AZ$224,35+COLUMN(H137)-4,0)*H$2</f>
        <v>0.25213191216134134</v>
      </c>
      <c r="I138" s="31">
        <f ca="1">VLOOKUP($A138,Valorisation!$A$5:$AZ$224,35+COLUMN(I137)-4,0)*I$2</f>
        <v>-0.42451526641840792</v>
      </c>
      <c r="J138" s="31">
        <f ca="1">VLOOKUP($A138,Valorisation!$A$5:$AZ$224,35+COLUMN(J137)-4,0)*J$2</f>
        <v>-0.84021284457567647</v>
      </c>
      <c r="K138" s="31">
        <f ca="1">VLOOKUP($A138,Valorisation!$A$5:$AZ$224,35+COLUMN(K137)-4,0)*K$2</f>
        <v>-0.54886943766131824</v>
      </c>
      <c r="L138" s="31">
        <f ca="1">SUM(D138:K138)</f>
        <v>-1.7921157170770026</v>
      </c>
      <c r="M138" s="40">
        <f>VLOOKUP($A138,Valorisation!$A$5:$AF$224,8,0)</f>
        <v>1</v>
      </c>
      <c r="N138" s="31" t="str">
        <f>VLOOKUP($A138,Valorisation!$A$5:$AF$224,13,0)</f>
        <v>PG/SG</v>
      </c>
    </row>
    <row r="139" spans="1:14">
      <c r="A139">
        <v>111</v>
      </c>
      <c r="B139" s="8" t="str">
        <f>VLOOKUP($A139,Valorisation!$A$5:$AF$224,2,0)</f>
        <v>R.J. Barrett</v>
      </c>
      <c r="C139" s="39">
        <f ca="1">VLOOKUP($A139,Valorisation!$A$5:$AF$224,4,0)</f>
        <v>5.7102086352370049</v>
      </c>
      <c r="D139" s="31">
        <f ca="1">VLOOKUP($A139,Valorisation!$A$5:$AZ$224,35+COLUMN(D138)-4,0)*D$2</f>
        <v>0</v>
      </c>
      <c r="E139" s="31">
        <f ca="1">VLOOKUP($A139,Valorisation!$A$5:$AZ$224,35+COLUMN(E138)-4,0)*E$2</f>
        <v>0.32447888842743328</v>
      </c>
      <c r="F139" s="31">
        <f ca="1">VLOOKUP($A139,Valorisation!$A$5:$AZ$224,35+COLUMN(F138)-4,0)*F$2</f>
        <v>0.35095007192895883</v>
      </c>
      <c r="G139" s="31">
        <f ca="1">VLOOKUP($A139,Valorisation!$A$5:$AZ$224,35+COLUMN(G138)-4,0)*G$2</f>
        <v>0</v>
      </c>
      <c r="H139" s="31">
        <f ca="1">VLOOKUP($A139,Valorisation!$A$5:$AZ$224,35+COLUMN(H138)-4,0)*H$2</f>
        <v>-0.60337322939807658</v>
      </c>
      <c r="I139" s="31">
        <f ca="1">VLOOKUP($A139,Valorisation!$A$5:$AZ$224,35+COLUMN(I138)-4,0)*I$2</f>
        <v>-0.69824371560269005</v>
      </c>
      <c r="J139" s="31">
        <f ca="1">VLOOKUP($A139,Valorisation!$A$5:$AZ$224,35+COLUMN(J138)-4,0)*J$2</f>
        <v>-0.77126800974880205</v>
      </c>
      <c r="K139" s="31">
        <f ca="1">VLOOKUP($A139,Valorisation!$A$5:$AZ$224,35+COLUMN(K138)-4,0)*K$2</f>
        <v>-0.445274347601397</v>
      </c>
      <c r="L139" s="31">
        <f ca="1">SUM(D139:K139)</f>
        <v>-1.8427303419945735</v>
      </c>
      <c r="M139" s="40">
        <f>VLOOKUP($A139,Valorisation!$A$5:$AF$224,8,0)</f>
        <v>1</v>
      </c>
      <c r="N139" s="31" t="str">
        <f>VLOOKUP($A139,Valorisation!$A$5:$AF$224,13,0)</f>
        <v>SG/SF</v>
      </c>
    </row>
    <row r="140" spans="1:14">
      <c r="A140">
        <v>147</v>
      </c>
      <c r="B140" s="8" t="str">
        <f>VLOOKUP($A140,Valorisation!$A$5:$AF$224,2,0)</f>
        <v>Donte DiVincenzo</v>
      </c>
      <c r="C140" s="39">
        <f ca="1">VLOOKUP($A140,Valorisation!$A$5:$AF$224,4,0)</f>
        <v>-2.3679391174490987</v>
      </c>
      <c r="D140" s="31">
        <f ca="1">VLOOKUP($A140,Valorisation!$A$5:$AZ$224,35+COLUMN(D139)-4,0)*D$2</f>
        <v>0</v>
      </c>
      <c r="E140" s="31">
        <f ca="1">VLOOKUP($A140,Valorisation!$A$5:$AZ$224,35+COLUMN(E139)-4,0)*E$2</f>
        <v>5.901382392073564E-2</v>
      </c>
      <c r="F140" s="31">
        <f ca="1">VLOOKUP($A140,Valorisation!$A$5:$AZ$224,35+COLUMN(F139)-4,0)*F$2</f>
        <v>3.9442832885790008E-2</v>
      </c>
      <c r="G140" s="31">
        <f ca="1">VLOOKUP($A140,Valorisation!$A$5:$AZ$224,35+COLUMN(G139)-4,0)*G$2</f>
        <v>0</v>
      </c>
      <c r="H140" s="31">
        <f ca="1">VLOOKUP($A140,Valorisation!$A$5:$AZ$224,35+COLUMN(H139)-4,0)*H$2</f>
        <v>-0.10065248524639141</v>
      </c>
      <c r="I140" s="31">
        <f ca="1">VLOOKUP($A140,Valorisation!$A$5:$AZ$224,35+COLUMN(I139)-4,0)*I$2</f>
        <v>-0.81892000683476873</v>
      </c>
      <c r="J140" s="31">
        <f ca="1">VLOOKUP($A140,Valorisation!$A$5:$AZ$224,35+COLUMN(J139)-4,0)*J$2</f>
        <v>-0.61715703130368238</v>
      </c>
      <c r="K140" s="31">
        <f ca="1">VLOOKUP($A140,Valorisation!$A$5:$AZ$224,35+COLUMN(K139)-4,0)*K$2</f>
        <v>-0.4154842238994067</v>
      </c>
      <c r="L140" s="31">
        <f ca="1">SUM(D140:K140)</f>
        <v>-1.8537570904777236</v>
      </c>
      <c r="M140" s="40">
        <f>VLOOKUP($A140,Valorisation!$A$5:$AF$224,8,0)</f>
        <v>1</v>
      </c>
      <c r="N140" s="31" t="str">
        <f>VLOOKUP($A140,Valorisation!$A$5:$AF$224,13,0)</f>
        <v>PG/SG</v>
      </c>
    </row>
    <row r="141" spans="1:14">
      <c r="A141">
        <v>148</v>
      </c>
      <c r="B141" s="8" t="str">
        <f>VLOOKUP($A141,Valorisation!$A$5:$AF$224,2,0)</f>
        <v>Joe Harris</v>
      </c>
      <c r="C141" s="39">
        <f ca="1">VLOOKUP($A141,Valorisation!$A$5:$AF$224,4,0)</f>
        <v>-3.9009309848733418</v>
      </c>
      <c r="D141" s="31">
        <f ca="1">VLOOKUP($A141,Valorisation!$A$5:$AZ$224,35+COLUMN(D140)-4,0)*D$2</f>
        <v>0</v>
      </c>
      <c r="E141" s="31">
        <f ca="1">VLOOKUP($A141,Valorisation!$A$5:$AZ$224,35+COLUMN(E140)-4,0)*E$2</f>
        <v>0.63809275487732231</v>
      </c>
      <c r="F141" s="31">
        <f ca="1">VLOOKUP($A141,Valorisation!$A$5:$AZ$224,35+COLUMN(F140)-4,0)*F$2</f>
        <v>-0.84725664020924574</v>
      </c>
      <c r="G141" s="31">
        <f ca="1">VLOOKUP($A141,Valorisation!$A$5:$AZ$224,35+COLUMN(G140)-4,0)*G$2</f>
        <v>0</v>
      </c>
      <c r="H141" s="31">
        <f ca="1">VLOOKUP($A141,Valorisation!$A$5:$AZ$224,35+COLUMN(H140)-4,0)*H$2</f>
        <v>-0.89034237096042268</v>
      </c>
      <c r="I141" s="31">
        <f ca="1">VLOOKUP($A141,Valorisation!$A$5:$AZ$224,35+COLUMN(I140)-4,0)*I$2</f>
        <v>-0.87705940320073827</v>
      </c>
      <c r="J141" s="31">
        <f ca="1">VLOOKUP($A141,Valorisation!$A$5:$AZ$224,35+COLUMN(J140)-4,0)*J$2</f>
        <v>8.4857972875201249E-2</v>
      </c>
      <c r="K141" s="31">
        <f ca="1">VLOOKUP($A141,Valorisation!$A$5:$AZ$224,35+COLUMN(K140)-4,0)*K$2</f>
        <v>-4.0591443143182998E-2</v>
      </c>
      <c r="L141" s="31">
        <f ca="1">SUM(D141:K141)</f>
        <v>-1.9322991297610663</v>
      </c>
      <c r="M141" s="40">
        <f>VLOOKUP($A141,Valorisation!$A$5:$AF$224,8,0)</f>
        <v>1</v>
      </c>
      <c r="N141" s="31" t="str">
        <f>VLOOKUP($A141,Valorisation!$A$5:$AF$224,13,0)</f>
        <v>SG/SF</v>
      </c>
    </row>
    <row r="142" spans="1:14">
      <c r="A142">
        <v>133</v>
      </c>
      <c r="B142" s="8" t="str">
        <f>VLOOKUP($A142,Valorisation!$A$5:$AF$224,2,0)</f>
        <v>Dillon Brooks</v>
      </c>
      <c r="C142" s="39">
        <f ca="1">VLOOKUP($A142,Valorisation!$A$5:$AF$224,4,0)</f>
        <v>1.6470806609347137</v>
      </c>
      <c r="D142" s="31">
        <f ca="1">VLOOKUP($A142,Valorisation!$A$5:$AZ$224,35+COLUMN(D141)-4,0)*D$2</f>
        <v>0</v>
      </c>
      <c r="E142" s="31">
        <f ca="1">VLOOKUP($A142,Valorisation!$A$5:$AZ$224,35+COLUMN(E141)-4,0)*E$2</f>
        <v>0.27563114422918672</v>
      </c>
      <c r="F142" s="31">
        <f ca="1">VLOOKUP($A142,Valorisation!$A$5:$AZ$224,35+COLUMN(F141)-4,0)*F$2</f>
        <v>-1.1625896036457615</v>
      </c>
      <c r="G142" s="31">
        <f ca="1">VLOOKUP($A142,Valorisation!$A$5:$AZ$224,35+COLUMN(G141)-4,0)*G$2</f>
        <v>0</v>
      </c>
      <c r="H142" s="31">
        <f ca="1">VLOOKUP($A142,Valorisation!$A$5:$AZ$224,35+COLUMN(H141)-4,0)*H$2</f>
        <v>0.45199293418071357</v>
      </c>
      <c r="I142" s="31">
        <f ca="1">VLOOKUP($A142,Valorisation!$A$5:$AZ$224,35+COLUMN(I141)-4,0)*I$2</f>
        <v>-0.49951915110567657</v>
      </c>
      <c r="J142" s="31">
        <f ca="1">VLOOKUP($A142,Valorisation!$A$5:$AZ$224,35+COLUMN(J141)-4,0)*J$2</f>
        <v>-1.2393059526065906</v>
      </c>
      <c r="K142" s="31">
        <f ca="1">VLOOKUP($A142,Valorisation!$A$5:$AZ$224,35+COLUMN(K141)-4,0)*K$2</f>
        <v>0.12516236677012707</v>
      </c>
      <c r="L142" s="31">
        <f ca="1">SUM(D142:K142)</f>
        <v>-2.0486282621780014</v>
      </c>
      <c r="M142" s="40">
        <f>VLOOKUP($A142,Valorisation!$A$5:$AF$224,8,0)</f>
        <v>1</v>
      </c>
      <c r="N142" s="31" t="str">
        <f>VLOOKUP($A142,Valorisation!$A$5:$AF$224,13,0)</f>
        <v>SG/SF</v>
      </c>
    </row>
    <row r="143" spans="1:14">
      <c r="A143">
        <v>129</v>
      </c>
      <c r="B143" s="8" t="str">
        <f>VLOOKUP($A143,Valorisation!$A$5:$AF$224,2,0)</f>
        <v>Jordan Poole</v>
      </c>
      <c r="C143" s="39">
        <f ca="1">VLOOKUP($A143,Valorisation!$A$5:$AF$224,4,0)</f>
        <v>3.1910976054766516</v>
      </c>
      <c r="D143" s="31">
        <f ca="1">VLOOKUP($A143,Valorisation!$A$5:$AZ$224,35+COLUMN(D142)-4,0)*D$2</f>
        <v>0</v>
      </c>
      <c r="E143" s="31">
        <f ca="1">VLOOKUP($A143,Valorisation!$A$5:$AZ$224,35+COLUMN(E142)-4,0)*E$2</f>
        <v>1.0739209478562601</v>
      </c>
      <c r="F143" s="31">
        <f ca="1">VLOOKUP($A143,Valorisation!$A$5:$AZ$224,35+COLUMN(F142)-4,0)*F$2</f>
        <v>-1.344709707793049</v>
      </c>
      <c r="G143" s="31">
        <f ca="1">VLOOKUP($A143,Valorisation!$A$5:$AZ$224,35+COLUMN(G142)-4,0)*G$2</f>
        <v>0</v>
      </c>
      <c r="H143" s="31">
        <f ca="1">VLOOKUP($A143,Valorisation!$A$5:$AZ$224,35+COLUMN(H142)-4,0)*H$2</f>
        <v>-0.93881011278231796</v>
      </c>
      <c r="I143" s="31">
        <f ca="1">VLOOKUP($A143,Valorisation!$A$5:$AZ$224,35+COLUMN(I142)-4,0)*I$2</f>
        <v>-0.80729024479262323</v>
      </c>
      <c r="J143" s="31">
        <f ca="1">VLOOKUP($A143,Valorisation!$A$5:$AZ$224,35+COLUMN(J142)-4,0)*J$2</f>
        <v>-0.78812036410060471</v>
      </c>
      <c r="K143" s="31">
        <f ca="1">VLOOKUP($A143,Valorisation!$A$5:$AZ$224,35+COLUMN(K142)-4,0)*K$2</f>
        <v>0.74751279226876688</v>
      </c>
      <c r="L143" s="31">
        <f ca="1">SUM(D143:K143)</f>
        <v>-2.057496689343568</v>
      </c>
      <c r="M143" s="40">
        <f>VLOOKUP($A143,Valorisation!$A$5:$AF$224,8,0)</f>
        <v>1</v>
      </c>
      <c r="N143" s="31" t="str">
        <f>VLOOKUP($A143,Valorisation!$A$5:$AF$224,13,0)</f>
        <v>PG/SG</v>
      </c>
    </row>
    <row r="144" spans="1:14">
      <c r="A144">
        <v>136</v>
      </c>
      <c r="B144" s="8" t="str">
        <f>VLOOKUP($A144,Valorisation!$A$5:$AF$224,2,0)</f>
        <v>Tyler Herro</v>
      </c>
      <c r="C144" s="39">
        <f ca="1">VLOOKUP($A144,Valorisation!$A$5:$AF$224,4,0)</f>
        <v>1.3686267232970644</v>
      </c>
      <c r="D144" s="31">
        <f ca="1">VLOOKUP($A144,Valorisation!$A$5:$AZ$224,35+COLUMN(D143)-4,0)*D$2</f>
        <v>0</v>
      </c>
      <c r="E144" s="31">
        <f ca="1">VLOOKUP($A144,Valorisation!$A$5:$AZ$224,35+COLUMN(E143)-4,0)*E$2</f>
        <v>0.37811614127134757</v>
      </c>
      <c r="F144" s="31">
        <f ca="1">VLOOKUP($A144,Valorisation!$A$5:$AZ$224,35+COLUMN(F143)-4,0)*F$2</f>
        <v>-0.455544451102949</v>
      </c>
      <c r="G144" s="31">
        <f ca="1">VLOOKUP($A144,Valorisation!$A$5:$AZ$224,35+COLUMN(G143)-4,0)*G$2</f>
        <v>0</v>
      </c>
      <c r="H144" s="31">
        <f ca="1">VLOOKUP($A144,Valorisation!$A$5:$AZ$224,35+COLUMN(H143)-4,0)*H$2</f>
        <v>-1.0789654895308556</v>
      </c>
      <c r="I144" s="31">
        <f ca="1">VLOOKUP($A144,Valorisation!$A$5:$AZ$224,35+COLUMN(I143)-4,0)*I$2</f>
        <v>-0.58018645247767842</v>
      </c>
      <c r="J144" s="31">
        <f ca="1">VLOOKUP($A144,Valorisation!$A$5:$AZ$224,35+COLUMN(J143)-4,0)*J$2</f>
        <v>-0.59793989491740196</v>
      </c>
      <c r="K144" s="31">
        <f ca="1">VLOOKUP($A144,Valorisation!$A$5:$AZ$224,35+COLUMN(K143)-4,0)*K$2</f>
        <v>0.13981618643755095</v>
      </c>
      <c r="L144" s="31">
        <f ca="1">SUM(D144:K144)</f>
        <v>-2.1947039603199863</v>
      </c>
      <c r="M144" s="40">
        <f>VLOOKUP($A144,Valorisation!$A$5:$AF$224,8,0)</f>
        <v>1</v>
      </c>
      <c r="N144" s="31" t="str">
        <f>VLOOKUP($A144,Valorisation!$A$5:$AF$224,13,0)</f>
        <v>PG/SG</v>
      </c>
    </row>
    <row r="145" spans="1:14">
      <c r="A145">
        <v>76</v>
      </c>
      <c r="B145" s="8" t="str">
        <f>VLOOKUP($A145,Valorisation!$A$5:$AF$224,2,0)</f>
        <v>Kevin Porter</v>
      </c>
      <c r="C145" s="39">
        <f ca="1">VLOOKUP($A145,Valorisation!$A$5:$AF$224,4,0)</f>
        <v>17.064115742531587</v>
      </c>
      <c r="D145" s="31">
        <f ca="1">VLOOKUP($A145,Valorisation!$A$5:$AZ$224,35+COLUMN(D144)-4,0)*D$2</f>
        <v>0</v>
      </c>
      <c r="E145" s="31">
        <f ca="1">VLOOKUP($A145,Valorisation!$A$5:$AZ$224,35+COLUMN(E144)-4,0)*E$2</f>
        <v>0.57974571527469509</v>
      </c>
      <c r="F145" s="31">
        <f ca="1">VLOOKUP($A145,Valorisation!$A$5:$AZ$224,35+COLUMN(F144)-4,0)*F$2</f>
        <v>-0.5867156840670168</v>
      </c>
      <c r="G145" s="31">
        <f ca="1">VLOOKUP($A145,Valorisation!$A$5:$AZ$224,35+COLUMN(G144)-4,0)*G$2</f>
        <v>0</v>
      </c>
      <c r="H145" s="31">
        <f ca="1">VLOOKUP($A145,Valorisation!$A$5:$AZ$224,35+COLUMN(H144)-4,0)*H$2</f>
        <v>0.10287825127660906</v>
      </c>
      <c r="I145" s="31">
        <f ca="1">VLOOKUP($A145,Valorisation!$A$5:$AZ$224,35+COLUMN(I144)-4,0)*I$2</f>
        <v>-0.42852449080075777</v>
      </c>
      <c r="J145" s="31">
        <f ca="1">VLOOKUP($A145,Valorisation!$A$5:$AZ$224,35+COLUMN(J144)-4,0)*J$2</f>
        <v>-0.95291553844794763</v>
      </c>
      <c r="K145" s="31">
        <f ca="1">VLOOKUP($A145,Valorisation!$A$5:$AZ$224,35+COLUMN(K144)-4,0)*K$2</f>
        <v>-0.98182931562885101</v>
      </c>
      <c r="L145" s="31">
        <f ca="1">SUM(D145:K145)</f>
        <v>-2.267361062393269</v>
      </c>
      <c r="M145" s="40">
        <f>VLOOKUP($A145,Valorisation!$A$5:$AF$224,8,0)</f>
        <v>1</v>
      </c>
      <c r="N145" s="31" t="str">
        <f>VLOOKUP($A145,Valorisation!$A$5:$AF$224,13,0)</f>
        <v>PG/SG</v>
      </c>
    </row>
    <row r="146" spans="1:14">
      <c r="A146">
        <v>127</v>
      </c>
      <c r="B146" s="8" t="str">
        <f>VLOOKUP($A146,Valorisation!$A$5:$AF$224,2,0)</f>
        <v>Reggie Jackson</v>
      </c>
      <c r="C146" s="39">
        <f ca="1">VLOOKUP($A146,Valorisation!$A$5:$AF$224,4,0)</f>
        <v>3.3027465820449939</v>
      </c>
      <c r="D146" s="31">
        <f ca="1">VLOOKUP($A146,Valorisation!$A$5:$AZ$224,35+COLUMN(D145)-4,0)*D$2</f>
        <v>0</v>
      </c>
      <c r="E146" s="31">
        <f ca="1">VLOOKUP($A146,Valorisation!$A$5:$AZ$224,35+COLUMN(E145)-4,0)*E$2</f>
        <v>0.72238604602858303</v>
      </c>
      <c r="F146" s="31">
        <f ca="1">VLOOKUP($A146,Valorisation!$A$5:$AZ$224,35+COLUMN(F145)-4,0)*F$2</f>
        <v>-0.75575874811707955</v>
      </c>
      <c r="G146" s="31">
        <f ca="1">VLOOKUP($A146,Valorisation!$A$5:$AZ$224,35+COLUMN(G145)-4,0)*G$2</f>
        <v>0</v>
      </c>
      <c r="H146" s="31">
        <f ca="1">VLOOKUP($A146,Valorisation!$A$5:$AZ$224,35+COLUMN(H145)-4,0)*H$2</f>
        <v>-0.70891975630888504</v>
      </c>
      <c r="I146" s="31">
        <f ca="1">VLOOKUP($A146,Valorisation!$A$5:$AZ$224,35+COLUMN(I145)-4,0)*I$2</f>
        <v>-0.99831501578491777</v>
      </c>
      <c r="J146" s="31">
        <f ca="1">VLOOKUP($A146,Valorisation!$A$5:$AZ$224,35+COLUMN(J145)-4,0)*J$2</f>
        <v>-0.86606932993845354</v>
      </c>
      <c r="K146" s="31">
        <f ca="1">VLOOKUP($A146,Valorisation!$A$5:$AZ$224,35+COLUMN(K145)-4,0)*K$2</f>
        <v>0.22541271964393922</v>
      </c>
      <c r="L146" s="31">
        <f ca="1">SUM(D146:K146)</f>
        <v>-2.3812640844768138</v>
      </c>
      <c r="M146" s="40">
        <f>VLOOKUP($A146,Valorisation!$A$5:$AF$224,8,0)</f>
        <v>1</v>
      </c>
      <c r="N146" s="31" t="str">
        <f>VLOOKUP($A146,Valorisation!$A$5:$AF$224,13,0)</f>
        <v>PG</v>
      </c>
    </row>
    <row r="147" spans="1:14">
      <c r="A147">
        <v>146</v>
      </c>
      <c r="B147" s="8" t="str">
        <f>VLOOKUP($A147,Valorisation!$A$5:$AF$224,2,0)</f>
        <v>Kyle Kuzma</v>
      </c>
      <c r="C147" s="39">
        <f ca="1">VLOOKUP($A147,Valorisation!$A$5:$AF$224,4,0)</f>
        <v>-4.4280547957451475</v>
      </c>
      <c r="D147" s="31">
        <f ca="1">VLOOKUP($A147,Valorisation!$A$5:$AZ$224,35+COLUMN(D146)-4,0)*D$2</f>
        <v>0</v>
      </c>
      <c r="E147" s="31">
        <f ca="1">VLOOKUP($A147,Valorisation!$A$5:$AZ$224,35+COLUMN(E146)-4,0)*E$2</f>
        <v>0.1955230366843185</v>
      </c>
      <c r="F147" s="31">
        <f ca="1">VLOOKUP($A147,Valorisation!$A$5:$AZ$224,35+COLUMN(F146)-4,0)*F$2</f>
        <v>9.7553505091719561E-2</v>
      </c>
      <c r="G147" s="31">
        <f ca="1">VLOOKUP($A147,Valorisation!$A$5:$AZ$224,35+COLUMN(G146)-4,0)*G$2</f>
        <v>0</v>
      </c>
      <c r="H147" s="31">
        <f ca="1">VLOOKUP($A147,Valorisation!$A$5:$AZ$224,35+COLUMN(H146)-4,0)*H$2</f>
        <v>-1.3982756802188672</v>
      </c>
      <c r="I147" s="31">
        <f ca="1">VLOOKUP($A147,Valorisation!$A$5:$AZ$224,35+COLUMN(I146)-4,0)*I$2</f>
        <v>-0.21956654871445183</v>
      </c>
      <c r="J147" s="31">
        <f ca="1">VLOOKUP($A147,Valorisation!$A$5:$AZ$224,35+COLUMN(J146)-4,0)*J$2</f>
        <v>-0.59631351702908753</v>
      </c>
      <c r="K147" s="31">
        <f ca="1">VLOOKUP($A147,Valorisation!$A$5:$AZ$224,35+COLUMN(K146)-4,0)*K$2</f>
        <v>-0.48037270413526817</v>
      </c>
      <c r="L147" s="31">
        <f ca="1">SUM(D147:K147)</f>
        <v>-2.4014519083216368</v>
      </c>
      <c r="M147" s="40">
        <f>VLOOKUP($A147,Valorisation!$A$5:$AF$224,8,0)</f>
        <v>1</v>
      </c>
      <c r="N147" s="31" t="str">
        <f>VLOOKUP($A147,Valorisation!$A$5:$AF$224,13,0)</f>
        <v>SF/PF</v>
      </c>
    </row>
    <row r="148" spans="1:14">
      <c r="A148">
        <v>152</v>
      </c>
      <c r="B148" s="8" t="str">
        <f>VLOOKUP($A148,Valorisation!$A$5:$AF$224,2,0)</f>
        <v>Seth Curry</v>
      </c>
      <c r="C148" s="39">
        <f ca="1">VLOOKUP($A148,Valorisation!$A$5:$AF$224,4,0)</f>
        <v>-4.6439277190446155</v>
      </c>
      <c r="D148" s="31">
        <f ca="1">VLOOKUP($A148,Valorisation!$A$5:$AZ$224,35+COLUMN(D147)-4,0)*D$2</f>
        <v>0</v>
      </c>
      <c r="E148" s="31">
        <f ca="1">VLOOKUP($A148,Valorisation!$A$5:$AZ$224,35+COLUMN(E147)-4,0)*E$2</f>
        <v>0.52857979333920002</v>
      </c>
      <c r="F148" s="31">
        <f ca="1">VLOOKUP($A148,Valorisation!$A$5:$AZ$224,35+COLUMN(F147)-4,0)*F$2</f>
        <v>-1.2514632242471846</v>
      </c>
      <c r="G148" s="31">
        <f ca="1">VLOOKUP($A148,Valorisation!$A$5:$AZ$224,35+COLUMN(G147)-4,0)*G$2</f>
        <v>0</v>
      </c>
      <c r="H148" s="31">
        <f ca="1">VLOOKUP($A148,Valorisation!$A$5:$AZ$224,35+COLUMN(H147)-4,0)*H$2</f>
        <v>-0.7397817493697022</v>
      </c>
      <c r="I148" s="31">
        <f ca="1">VLOOKUP($A148,Valorisation!$A$5:$AZ$224,35+COLUMN(I147)-4,0)*I$2</f>
        <v>-1.1173364110721489</v>
      </c>
      <c r="J148" s="31">
        <f ca="1">VLOOKUP($A148,Valorisation!$A$5:$AZ$224,35+COLUMN(J147)-4,0)*J$2</f>
        <v>-8.8692378360799656E-2</v>
      </c>
      <c r="K148" s="31">
        <f ca="1">VLOOKUP($A148,Valorisation!$A$5:$AZ$224,35+COLUMN(K147)-4,0)*K$2</f>
        <v>0.20229162045831495</v>
      </c>
      <c r="L148" s="31">
        <f ca="1">SUM(D148:K148)</f>
        <v>-2.4664023492523208</v>
      </c>
      <c r="M148" s="40">
        <f>VLOOKUP($A148,Valorisation!$A$5:$AF$224,8,0)</f>
        <v>1</v>
      </c>
      <c r="N148" s="31" t="str">
        <f>VLOOKUP($A148,Valorisation!$A$5:$AF$224,13,0)</f>
        <v>PG/SG</v>
      </c>
    </row>
    <row r="149" spans="1:14">
      <c r="A149">
        <v>144</v>
      </c>
      <c r="B149" s="8" t="str">
        <f>VLOOKUP($A149,Valorisation!$A$5:$AF$224,2,0)</f>
        <v>Tim Hardaway Jr.</v>
      </c>
      <c r="C149" s="39">
        <f ca="1">VLOOKUP($A149,Valorisation!$A$5:$AF$224,4,0)</f>
        <v>-0.19271294436850306</v>
      </c>
      <c r="D149" s="31">
        <f ca="1">VLOOKUP($A149,Valorisation!$A$5:$AZ$224,35+COLUMN(D148)-4,0)*D$2</f>
        <v>0</v>
      </c>
      <c r="E149" s="31">
        <f ca="1">VLOOKUP($A149,Valorisation!$A$5:$AZ$224,35+COLUMN(E148)-4,0)*E$2</f>
        <v>1.5312215392264161</v>
      </c>
      <c r="F149" s="31">
        <f ca="1">VLOOKUP($A149,Valorisation!$A$5:$AZ$224,35+COLUMN(F148)-4,0)*F$2</f>
        <v>-0.88112135489034338</v>
      </c>
      <c r="G149" s="31">
        <f ca="1">VLOOKUP($A149,Valorisation!$A$5:$AZ$224,35+COLUMN(G148)-4,0)*G$2</f>
        <v>0</v>
      </c>
      <c r="H149" s="31">
        <f ca="1">VLOOKUP($A149,Valorisation!$A$5:$AZ$224,35+COLUMN(H148)-4,0)*H$2</f>
        <v>-1.7946955589861868</v>
      </c>
      <c r="I149" s="31">
        <f ca="1">VLOOKUP($A149,Valorisation!$A$5:$AZ$224,35+COLUMN(I148)-4,0)*I$2</f>
        <v>-1.0089612957213536</v>
      </c>
      <c r="J149" s="31">
        <f ca="1">VLOOKUP($A149,Valorisation!$A$5:$AZ$224,35+COLUMN(J148)-4,0)*J$2</f>
        <v>-0.65787353118005609</v>
      </c>
      <c r="K149" s="31">
        <f ca="1">VLOOKUP($A149,Valorisation!$A$5:$AZ$224,35+COLUMN(K148)-4,0)*K$2</f>
        <v>0.33872285595607893</v>
      </c>
      <c r="L149" s="31">
        <f ca="1">SUM(D149:K149)</f>
        <v>-2.4727073455954445</v>
      </c>
      <c r="M149" s="40">
        <f>VLOOKUP($A149,Valorisation!$A$5:$AF$224,8,0)</f>
        <v>1</v>
      </c>
      <c r="N149" s="31" t="str">
        <f>VLOOKUP($A149,Valorisation!$A$5:$AF$224,13,0)</f>
        <v>SG/SF</v>
      </c>
    </row>
    <row r="150" spans="1:14">
      <c r="A150">
        <v>117</v>
      </c>
      <c r="B150" s="8" t="str">
        <f>VLOOKUP($A150,Valorisation!$A$5:$AF$224,2,0)</f>
        <v>Devonte' Graham</v>
      </c>
      <c r="C150" s="39">
        <f ca="1">VLOOKUP($A150,Valorisation!$A$5:$AF$224,4,0)</f>
        <v>4.7755345831449141</v>
      </c>
      <c r="D150" s="31">
        <f ca="1">VLOOKUP($A150,Valorisation!$A$5:$AZ$224,35+COLUMN(D149)-4,0)*D$2</f>
        <v>0</v>
      </c>
      <c r="E150" s="31">
        <f ca="1">VLOOKUP($A150,Valorisation!$A$5:$AZ$224,35+COLUMN(E149)-4,0)*E$2</f>
        <v>1.1636000645586879</v>
      </c>
      <c r="F150" s="31">
        <f ca="1">VLOOKUP($A150,Valorisation!$A$5:$AZ$224,35+COLUMN(F149)-4,0)*F$2</f>
        <v>-1.1955340145611983</v>
      </c>
      <c r="G150" s="31">
        <f ca="1">VLOOKUP($A150,Valorisation!$A$5:$AZ$224,35+COLUMN(G149)-4,0)*G$2</f>
        <v>0</v>
      </c>
      <c r="H150" s="31">
        <f ca="1">VLOOKUP($A150,Valorisation!$A$5:$AZ$224,35+COLUMN(H149)-4,0)*H$2</f>
        <v>-0.56012061477928887</v>
      </c>
      <c r="I150" s="31">
        <f ca="1">VLOOKUP($A150,Valorisation!$A$5:$AZ$224,35+COLUMN(I149)-4,0)*I$2</f>
        <v>-0.98403020765560556</v>
      </c>
      <c r="J150" s="31">
        <f ca="1">VLOOKUP($A150,Valorisation!$A$5:$AZ$224,35+COLUMN(J149)-4,0)*J$2</f>
        <v>-1.4553035849479177</v>
      </c>
      <c r="K150" s="31">
        <f ca="1">VLOOKUP($A150,Valorisation!$A$5:$AZ$224,35+COLUMN(K149)-4,0)*K$2</f>
        <v>0.41314725554455384</v>
      </c>
      <c r="L150" s="31">
        <f ca="1">SUM(D150:K150)</f>
        <v>-2.618241101840769</v>
      </c>
      <c r="M150" s="40">
        <f>VLOOKUP($A150,Valorisation!$A$5:$AF$224,8,0)</f>
        <v>1</v>
      </c>
      <c r="N150" s="31" t="str">
        <f>VLOOKUP($A150,Valorisation!$A$5:$AF$224,13,0)</f>
        <v>PG/SG</v>
      </c>
    </row>
    <row r="151" spans="1:14">
      <c r="A151">
        <v>149</v>
      </c>
      <c r="B151" s="8" t="str">
        <f>VLOOKUP($A151,Valorisation!$A$5:$AF$224,2,0)</f>
        <v>Killian Hayes</v>
      </c>
      <c r="C151" s="39">
        <f ca="1">VLOOKUP($A151,Valorisation!$A$5:$AF$224,4,0)</f>
        <v>-0.29950358451993142</v>
      </c>
      <c r="D151" s="31">
        <f ca="1">VLOOKUP($A151,Valorisation!$A$5:$AZ$224,35+COLUMN(D150)-4,0)*D$2</f>
        <v>0</v>
      </c>
      <c r="E151" s="31">
        <f ca="1">VLOOKUP($A151,Valorisation!$A$5:$AZ$224,35+COLUMN(E150)-4,0)*E$2</f>
        <v>-0.76084181755709601</v>
      </c>
      <c r="F151" s="31">
        <f ca="1">VLOOKUP($A151,Valorisation!$A$5:$AZ$224,35+COLUMN(F150)-4,0)*F$2</f>
        <v>-1.0819511553497625</v>
      </c>
      <c r="G151" s="31">
        <f ca="1">VLOOKUP($A151,Valorisation!$A$5:$AZ$224,35+COLUMN(G150)-4,0)*G$2</f>
        <v>0</v>
      </c>
      <c r="H151" s="31">
        <f ca="1">VLOOKUP($A151,Valorisation!$A$5:$AZ$224,35+COLUMN(H150)-4,0)*H$2</f>
        <v>0.63371241344620388</v>
      </c>
      <c r="I151" s="31">
        <f ca="1">VLOOKUP($A151,Valorisation!$A$5:$AZ$224,35+COLUMN(I150)-4,0)*I$2</f>
        <v>-0.52889167272559967</v>
      </c>
      <c r="J151" s="31">
        <f ca="1">VLOOKUP($A151,Valorisation!$A$5:$AZ$224,35+COLUMN(J150)-4,0)*J$2</f>
        <v>-1.0085356342758063</v>
      </c>
      <c r="K151" s="31">
        <f ca="1">VLOOKUP($A151,Valorisation!$A$5:$AZ$224,35+COLUMN(K150)-4,0)*K$2</f>
        <v>7.8330254474455963E-2</v>
      </c>
      <c r="L151" s="31">
        <f ca="1">SUM(D151:K151)</f>
        <v>-2.6681776119876046</v>
      </c>
      <c r="M151" s="40">
        <f>VLOOKUP($A151,Valorisation!$A$5:$AF$224,8,0)</f>
        <v>1</v>
      </c>
      <c r="N151" s="31" t="str">
        <f>VLOOKUP($A151,Valorisation!$A$5:$AF$224,13,0)</f>
        <v>PG</v>
      </c>
    </row>
    <row r="152" spans="1:14">
      <c r="A152">
        <v>154</v>
      </c>
      <c r="B152" s="8" t="str">
        <f>VLOOKUP($A152,Valorisation!$A$5:$AF$224,2,0)</f>
        <v>Aaron Gordon</v>
      </c>
      <c r="C152" s="39">
        <f ca="1">VLOOKUP($A152,Valorisation!$A$5:$AF$224,4,0)</f>
        <v>-4.6100133364232159</v>
      </c>
      <c r="D152" s="31">
        <f ca="1">VLOOKUP($A152,Valorisation!$A$5:$AZ$224,35+COLUMN(D151)-4,0)*D$2</f>
        <v>0</v>
      </c>
      <c r="E152" s="31">
        <f ca="1">VLOOKUP($A152,Valorisation!$A$5:$AZ$224,35+COLUMN(E151)-4,0)*E$2</f>
        <v>-0.64917286603478397</v>
      </c>
      <c r="F152" s="31">
        <f ca="1">VLOOKUP($A152,Valorisation!$A$5:$AZ$224,35+COLUMN(F151)-4,0)*F$2</f>
        <v>0.25999008067794743</v>
      </c>
      <c r="G152" s="31">
        <f ca="1">VLOOKUP($A152,Valorisation!$A$5:$AZ$224,35+COLUMN(G151)-4,0)*G$2</f>
        <v>0</v>
      </c>
      <c r="H152" s="31">
        <f ca="1">VLOOKUP($A152,Valorisation!$A$5:$AZ$224,35+COLUMN(H151)-4,0)*H$2</f>
        <v>-0.9128410169584672</v>
      </c>
      <c r="I152" s="31">
        <f ca="1">VLOOKUP($A152,Valorisation!$A$5:$AZ$224,35+COLUMN(I151)-4,0)*I$2</f>
        <v>6.0045589610131157E-2</v>
      </c>
      <c r="J152" s="31">
        <f ca="1">VLOOKUP($A152,Valorisation!$A$5:$AZ$224,35+COLUMN(J151)-4,0)*J$2</f>
        <v>-2.1264518636476389E-2</v>
      </c>
      <c r="K152" s="31">
        <f ca="1">VLOOKUP($A152,Valorisation!$A$5:$AZ$224,35+COLUMN(K151)-4,0)*K$2</f>
        <v>-1.4311094943315448</v>
      </c>
      <c r="L152" s="31">
        <f ca="1">SUM(D152:K152)</f>
        <v>-2.6943522256731938</v>
      </c>
      <c r="M152" s="40">
        <f>VLOOKUP($A152,Valorisation!$A$5:$AF$224,8,0)</f>
        <v>1</v>
      </c>
      <c r="N152" s="31" t="str">
        <f>VLOOKUP($A152,Valorisation!$A$5:$AF$224,13,0)</f>
        <v>PF</v>
      </c>
    </row>
    <row r="153" spans="1:14">
      <c r="A153">
        <v>151</v>
      </c>
      <c r="B153" s="8" t="str">
        <f>VLOOKUP($A153,Valorisation!$A$5:$AF$224,2,0)</f>
        <v>Derrick Rose</v>
      </c>
      <c r="C153" s="39">
        <f ca="1">VLOOKUP($A153,Valorisation!$A$5:$AF$224,4,0)</f>
        <v>-1.8380126105883867</v>
      </c>
      <c r="D153" s="31">
        <f ca="1">VLOOKUP($A153,Valorisation!$A$5:$AZ$224,35+COLUMN(D152)-4,0)*D$2</f>
        <v>0</v>
      </c>
      <c r="E153" s="31">
        <f ca="1">VLOOKUP($A153,Valorisation!$A$5:$AZ$224,35+COLUMN(E152)-4,0)*E$2</f>
        <v>-0.86875625114228339</v>
      </c>
      <c r="F153" s="31">
        <f ca="1">VLOOKUP($A153,Valorisation!$A$5:$AZ$224,35+COLUMN(F152)-4,0)*F$2</f>
        <v>-1.3091056546515552</v>
      </c>
      <c r="G153" s="31">
        <f ca="1">VLOOKUP($A153,Valorisation!$A$5:$AZ$224,35+COLUMN(G152)-4,0)*G$2</f>
        <v>0</v>
      </c>
      <c r="H153" s="31">
        <f ca="1">VLOOKUP($A153,Valorisation!$A$5:$AZ$224,35+COLUMN(H152)-4,0)*H$2</f>
        <v>-0.41634170540820548</v>
      </c>
      <c r="I153" s="31">
        <f ca="1">VLOOKUP($A153,Valorisation!$A$5:$AZ$224,35+COLUMN(I152)-4,0)*I$2</f>
        <v>-0.58303844367265756</v>
      </c>
      <c r="J153" s="31">
        <f ca="1">VLOOKUP($A153,Valorisation!$A$5:$AZ$224,35+COLUMN(J152)-4,0)*J$2</f>
        <v>1.2330393796300798E-2</v>
      </c>
      <c r="K153" s="31">
        <f ca="1">VLOOKUP($A153,Valorisation!$A$5:$AZ$224,35+COLUMN(K152)-4,0)*K$2</f>
        <v>0.4674123880035293</v>
      </c>
      <c r="L153" s="31">
        <f ca="1">SUM(D153:K153)</f>
        <v>-2.6974992730748713</v>
      </c>
      <c r="M153" s="40">
        <f>VLOOKUP($A153,Valorisation!$A$5:$AF$224,8,0)</f>
        <v>1</v>
      </c>
      <c r="N153" s="31" t="str">
        <f>VLOOKUP($A153,Valorisation!$A$5:$AF$224,13,0)</f>
        <v>PG</v>
      </c>
    </row>
    <row r="154" spans="1:14">
      <c r="A154">
        <v>153</v>
      </c>
      <c r="B154" s="8" t="str">
        <f>VLOOKUP($A154,Valorisation!$A$5:$AF$224,2,0)</f>
        <v>T.J. McConnell</v>
      </c>
      <c r="C154" s="39">
        <f ca="1">VLOOKUP($A154,Valorisation!$A$5:$AF$224,4,0)</f>
        <v>-4.9177798168586664</v>
      </c>
      <c r="D154" s="31">
        <f ca="1">VLOOKUP($A154,Valorisation!$A$5:$AZ$224,35+COLUMN(D153)-4,0)*D$2</f>
        <v>0</v>
      </c>
      <c r="E154" s="31">
        <f ca="1">VLOOKUP($A154,Valorisation!$A$5:$AZ$224,35+COLUMN(E153)-4,0)*E$2</f>
        <v>-1.5416459146763124</v>
      </c>
      <c r="F154" s="31">
        <f ca="1">VLOOKUP($A154,Valorisation!$A$5:$AZ$224,35+COLUMN(F153)-4,0)*F$2</f>
        <v>-1.1670251501119979</v>
      </c>
      <c r="G154" s="31">
        <f ca="1">VLOOKUP($A154,Valorisation!$A$5:$AZ$224,35+COLUMN(G153)-4,0)*G$2</f>
        <v>0</v>
      </c>
      <c r="H154" s="31">
        <f ca="1">VLOOKUP($A154,Valorisation!$A$5:$AZ$224,35+COLUMN(H153)-4,0)*H$2</f>
        <v>0.50959865263514725</v>
      </c>
      <c r="I154" s="31">
        <f ca="1">VLOOKUP($A154,Valorisation!$A$5:$AZ$224,35+COLUMN(I153)-4,0)*I$2</f>
        <v>-0.8271974825678734</v>
      </c>
      <c r="J154" s="31">
        <f ca="1">VLOOKUP($A154,Valorisation!$A$5:$AZ$224,35+COLUMN(J153)-4,0)*J$2</f>
        <v>0.40189458471271367</v>
      </c>
      <c r="K154" s="31">
        <f ca="1">VLOOKUP($A154,Valorisation!$A$5:$AZ$224,35+COLUMN(K153)-4,0)*K$2</f>
        <v>-8.9462488285702038E-2</v>
      </c>
      <c r="L154" s="31">
        <f ca="1">SUM(D154:K154)</f>
        <v>-2.7138377982940254</v>
      </c>
      <c r="M154" s="40">
        <f>VLOOKUP($A154,Valorisation!$A$5:$AF$224,8,0)</f>
        <v>1</v>
      </c>
      <c r="N154" s="31" t="str">
        <f>VLOOKUP($A154,Valorisation!$A$5:$AF$224,13,0)</f>
        <v>PG</v>
      </c>
    </row>
    <row r="155" spans="1:14">
      <c r="A155">
        <v>145</v>
      </c>
      <c r="B155" s="8" t="str">
        <f>VLOOKUP($A155,Valorisation!$A$5:$AF$224,2,0)</f>
        <v>Keldon Johnson</v>
      </c>
      <c r="C155" s="39">
        <f ca="1">VLOOKUP($A155,Valorisation!$A$5:$AF$224,4,0)</f>
        <v>-2.7443586038754351</v>
      </c>
      <c r="D155" s="31">
        <f ca="1">VLOOKUP($A155,Valorisation!$A$5:$AZ$224,35+COLUMN(D154)-4,0)*D$2</f>
        <v>0</v>
      </c>
      <c r="E155" s="31">
        <f ca="1">VLOOKUP($A155,Valorisation!$A$5:$AZ$224,35+COLUMN(E154)-4,0)*E$2</f>
        <v>-0.61270545761242057</v>
      </c>
      <c r="F155" s="31">
        <f ca="1">VLOOKUP($A155,Valorisation!$A$5:$AZ$224,35+COLUMN(F154)-4,0)*F$2</f>
        <v>0.31608042794913632</v>
      </c>
      <c r="G155" s="31">
        <f ca="1">VLOOKUP($A155,Valorisation!$A$5:$AZ$224,35+COLUMN(G154)-4,0)*G$2</f>
        <v>0</v>
      </c>
      <c r="H155" s="31">
        <f ca="1">VLOOKUP($A155,Valorisation!$A$5:$AZ$224,35+COLUMN(H154)-4,0)*H$2</f>
        <v>-1.2237016541089911</v>
      </c>
      <c r="I155" s="31">
        <f ca="1">VLOOKUP($A155,Valorisation!$A$5:$AZ$224,35+COLUMN(I154)-4,0)*I$2</f>
        <v>-0.61438334653666327</v>
      </c>
      <c r="J155" s="31">
        <f ca="1">VLOOKUP($A155,Valorisation!$A$5:$AZ$224,35+COLUMN(J154)-4,0)*J$2</f>
        <v>0.44251482545628495</v>
      </c>
      <c r="K155" s="31">
        <f ca="1">VLOOKUP($A155,Valorisation!$A$5:$AZ$224,35+COLUMN(K154)-4,0)*K$2</f>
        <v>-1.0861991358525589</v>
      </c>
      <c r="L155" s="31">
        <f ca="1">SUM(D155:K155)</f>
        <v>-2.7783943407052125</v>
      </c>
      <c r="M155" s="40">
        <f>VLOOKUP($A155,Valorisation!$A$5:$AF$224,8,0)</f>
        <v>1</v>
      </c>
      <c r="N155" s="31" t="str">
        <f>VLOOKUP($A155,Valorisation!$A$5:$AF$224,13,0)</f>
        <v>SF/PF</v>
      </c>
    </row>
    <row r="156" spans="1:14">
      <c r="A156">
        <v>75</v>
      </c>
      <c r="B156" s="8" t="str">
        <f>VLOOKUP($A156,Valorisation!$A$5:$AF$224,2,0)</f>
        <v>Ja Morant</v>
      </c>
      <c r="C156" s="39">
        <f ca="1">VLOOKUP($A156,Valorisation!$A$5:$AF$224,4,0)</f>
        <v>17.383746154265477</v>
      </c>
      <c r="D156" s="31">
        <f ca="1">VLOOKUP($A156,Valorisation!$A$5:$AZ$224,35+COLUMN(D155)-4,0)*D$2</f>
        <v>0</v>
      </c>
      <c r="E156" s="31">
        <f ca="1">VLOOKUP($A156,Valorisation!$A$5:$AZ$224,35+COLUMN(E155)-4,0)*E$2</f>
        <v>-9.7696085947395678E-2</v>
      </c>
      <c r="F156" s="31">
        <f ca="1">VLOOKUP($A156,Valorisation!$A$5:$AZ$224,35+COLUMN(F155)-4,0)*F$2</f>
        <v>-0.52570951930863807</v>
      </c>
      <c r="G156" s="31">
        <f ca="1">VLOOKUP($A156,Valorisation!$A$5:$AZ$224,35+COLUMN(G155)-4,0)*G$2</f>
        <v>0</v>
      </c>
      <c r="H156" s="31">
        <f ca="1">VLOOKUP($A156,Valorisation!$A$5:$AZ$224,35+COLUMN(H155)-4,0)*H$2</f>
        <v>-0.36314883047693425</v>
      </c>
      <c r="I156" s="31">
        <f ca="1">VLOOKUP($A156,Valorisation!$A$5:$AZ$224,35+COLUMN(I155)-4,0)*I$2</f>
        <v>-0.83094168726591389</v>
      </c>
      <c r="J156" s="31">
        <f ca="1">VLOOKUP($A156,Valorisation!$A$5:$AZ$224,35+COLUMN(J155)-4,0)*J$2</f>
        <v>-0.39820514154860853</v>
      </c>
      <c r="K156" s="31">
        <f ca="1">VLOOKUP($A156,Valorisation!$A$5:$AZ$224,35+COLUMN(K155)-4,0)*K$2</f>
        <v>-0.64294269374201263</v>
      </c>
      <c r="L156" s="31">
        <f ca="1">SUM(D156:K156)</f>
        <v>-2.8586439582895036</v>
      </c>
      <c r="M156" s="40">
        <f>VLOOKUP($A156,Valorisation!$A$5:$AF$224,8,0)</f>
        <v>1</v>
      </c>
      <c r="N156" s="31" t="str">
        <f>VLOOKUP($A156,Valorisation!$A$5:$AF$224,13,0)</f>
        <v>PG</v>
      </c>
    </row>
    <row r="157" spans="1:14">
      <c r="A157">
        <v>141</v>
      </c>
      <c r="B157" s="8" t="str">
        <f>VLOOKUP($A157,Valorisation!$A$5:$AF$224,2,0)</f>
        <v>Eric Bledsoe</v>
      </c>
      <c r="C157" s="39">
        <f ca="1">VLOOKUP($A157,Valorisation!$A$5:$AF$224,4,0)</f>
        <v>-0.20133373345792446</v>
      </c>
      <c r="D157" s="31">
        <f ca="1">VLOOKUP($A157,Valorisation!$A$5:$AZ$224,35+COLUMN(D156)-4,0)*D$2</f>
        <v>0</v>
      </c>
      <c r="E157" s="31">
        <f ca="1">VLOOKUP($A157,Valorisation!$A$5:$AZ$224,35+COLUMN(E156)-4,0)*E$2</f>
        <v>6.6584777195255976E-2</v>
      </c>
      <c r="F157" s="31">
        <f ca="1">VLOOKUP($A157,Valorisation!$A$5:$AZ$224,35+COLUMN(F156)-4,0)*F$2</f>
        <v>-0.96355821600199498</v>
      </c>
      <c r="G157" s="31">
        <f ca="1">VLOOKUP($A157,Valorisation!$A$5:$AZ$224,35+COLUMN(G156)-4,0)*G$2</f>
        <v>0</v>
      </c>
      <c r="H157" s="31">
        <f ca="1">VLOOKUP($A157,Valorisation!$A$5:$AZ$224,35+COLUMN(H156)-4,0)*H$2</f>
        <v>2.4631801116830289E-3</v>
      </c>
      <c r="I157" s="31">
        <f ca="1">VLOOKUP($A157,Valorisation!$A$5:$AZ$224,35+COLUMN(I156)-4,0)*I$2</f>
        <v>-0.66457340690107591</v>
      </c>
      <c r="J157" s="31">
        <f ca="1">VLOOKUP($A157,Valorisation!$A$5:$AZ$224,35+COLUMN(J156)-4,0)*J$2</f>
        <v>-0.80358909322276184</v>
      </c>
      <c r="K157" s="31">
        <f ca="1">VLOOKUP($A157,Valorisation!$A$5:$AZ$224,35+COLUMN(K156)-4,0)*K$2</f>
        <v>-0.56239288266798249</v>
      </c>
      <c r="L157" s="31">
        <f ca="1">SUM(D157:K157)</f>
        <v>-2.9250656414868761</v>
      </c>
      <c r="M157" s="40">
        <f>VLOOKUP($A157,Valorisation!$A$5:$AF$224,8,0)</f>
        <v>1</v>
      </c>
      <c r="N157" s="31" t="str">
        <f>VLOOKUP($A157,Valorisation!$A$5:$AF$224,13,0)</f>
        <v>PG/SG</v>
      </c>
    </row>
    <row r="158" spans="1:14">
      <c r="A158">
        <v>143</v>
      </c>
      <c r="B158" s="8" t="str">
        <f>VLOOKUP($A158,Valorisation!$A$5:$AF$224,2,0)</f>
        <v>Dennis Schroder</v>
      </c>
      <c r="C158" s="39">
        <f ca="1">VLOOKUP($A158,Valorisation!$A$5:$AF$224,4,0)</f>
        <v>-1.295362905553487</v>
      </c>
      <c r="D158" s="31">
        <f ca="1">VLOOKUP($A158,Valorisation!$A$5:$AZ$224,35+COLUMN(D157)-4,0)*D$2</f>
        <v>0</v>
      </c>
      <c r="E158" s="31">
        <f ca="1">VLOOKUP($A158,Valorisation!$A$5:$AZ$224,35+COLUMN(E157)-4,0)*E$2</f>
        <v>-0.52546534106994314</v>
      </c>
      <c r="F158" s="31">
        <f ca="1">VLOOKUP($A158,Valorisation!$A$5:$AZ$224,35+COLUMN(F157)-4,0)*F$2</f>
        <v>-1.1107063196524343</v>
      </c>
      <c r="G158" s="31">
        <f ca="1">VLOOKUP($A158,Valorisation!$A$5:$AZ$224,35+COLUMN(G157)-4,0)*G$2</f>
        <v>0</v>
      </c>
      <c r="H158" s="31">
        <f ca="1">VLOOKUP($A158,Valorisation!$A$5:$AZ$224,35+COLUMN(H157)-4,0)*H$2</f>
        <v>-0.62576572196286384</v>
      </c>
      <c r="I158" s="31">
        <f ca="1">VLOOKUP($A158,Valorisation!$A$5:$AZ$224,35+COLUMN(I157)-4,0)*I$2</f>
        <v>-0.89671857450793824</v>
      </c>
      <c r="J158" s="31">
        <f ca="1">VLOOKUP($A158,Valorisation!$A$5:$AZ$224,35+COLUMN(J157)-4,0)*J$2</f>
        <v>-0.46504313248806489</v>
      </c>
      <c r="K158" s="31">
        <f ca="1">VLOOKUP($A158,Valorisation!$A$5:$AZ$224,35+COLUMN(K157)-4,0)*K$2</f>
        <v>0.55912968238179606</v>
      </c>
      <c r="L158" s="31">
        <f ca="1">SUM(D158:K158)</f>
        <v>-3.0645694072994485</v>
      </c>
      <c r="M158" s="40">
        <f>VLOOKUP($A158,Valorisation!$A$5:$AF$224,8,0)</f>
        <v>1</v>
      </c>
      <c r="N158" s="31" t="str">
        <f>VLOOKUP($A158,Valorisation!$A$5:$AF$224,13,0)</f>
        <v>PG</v>
      </c>
    </row>
    <row r="159" spans="1:14">
      <c r="A159">
        <v>122</v>
      </c>
      <c r="B159" s="8" t="str">
        <f>VLOOKUP($A159,Valorisation!$A$5:$AF$224,2,0)</f>
        <v>Spencer Dinwiddie</v>
      </c>
      <c r="C159" s="39">
        <f ca="1">VLOOKUP($A159,Valorisation!$A$5:$AF$224,4,0)</f>
        <v>4.1850829864462984</v>
      </c>
      <c r="D159" s="31">
        <f ca="1">VLOOKUP($A159,Valorisation!$A$5:$AZ$224,35+COLUMN(D158)-4,0)*D$2</f>
        <v>0</v>
      </c>
      <c r="E159" s="31">
        <f ca="1">VLOOKUP($A159,Valorisation!$A$5:$AZ$224,35+COLUMN(E158)-4,0)*E$2</f>
        <v>0.36063918630902853</v>
      </c>
      <c r="F159" s="31">
        <f ca="1">VLOOKUP($A159,Valorisation!$A$5:$AZ$224,35+COLUMN(F158)-4,0)*F$2</f>
        <v>-0.69622742878924793</v>
      </c>
      <c r="G159" s="31">
        <f ca="1">VLOOKUP($A159,Valorisation!$A$5:$AZ$224,35+COLUMN(G158)-4,0)*G$2</f>
        <v>0</v>
      </c>
      <c r="H159" s="31">
        <f ca="1">VLOOKUP($A159,Valorisation!$A$5:$AZ$224,35+COLUMN(H158)-4,0)*H$2</f>
        <v>-1.3147294140015517</v>
      </c>
      <c r="I159" s="31">
        <f ca="1">VLOOKUP($A159,Valorisation!$A$5:$AZ$224,35+COLUMN(I158)-4,0)*I$2</f>
        <v>-0.70246130467151957</v>
      </c>
      <c r="J159" s="31">
        <f ca="1">VLOOKUP($A159,Valorisation!$A$5:$AZ$224,35+COLUMN(J158)-4,0)*J$2</f>
        <v>-1.3854276506535304</v>
      </c>
      <c r="K159" s="31">
        <f ca="1">VLOOKUP($A159,Valorisation!$A$5:$AZ$224,35+COLUMN(K158)-4,0)*K$2</f>
        <v>-0.73565496609387038</v>
      </c>
      <c r="L159" s="31">
        <f ca="1">SUM(D159:K159)</f>
        <v>-4.4738615779006912</v>
      </c>
      <c r="M159" s="40">
        <f>VLOOKUP($A159,Valorisation!$A$5:$AF$224,8,0)</f>
        <v>1</v>
      </c>
      <c r="N159" s="31" t="str">
        <f>VLOOKUP($A159,Valorisation!$A$5:$AF$224,13,0)</f>
        <v>PG/SG</v>
      </c>
    </row>
  </sheetData>
  <autoFilter ref="A3:N159" xr:uid="{C72089F2-69BA-3547-8955-A73AFE5C9D62}">
    <sortState xmlns:xlrd2="http://schemas.microsoft.com/office/spreadsheetml/2017/richdata2" ref="A4:N159">
      <sortCondition descending="1" ref="L3:L159"/>
    </sortState>
  </autoFilter>
  <conditionalFormatting sqref="D4:L15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E89-5B88-384D-9F73-5FE20CE027E0}">
  <dimension ref="A1:AF41"/>
  <sheetViews>
    <sheetView workbookViewId="0">
      <selection activeCell="V15" sqref="V15"/>
    </sheetView>
  </sheetViews>
  <sheetFormatPr defaultColWidth="11.42578125" defaultRowHeight="15"/>
  <cols>
    <col min="1" max="1" width="5" customWidth="1"/>
    <col min="2" max="2" width="23.140625" bestFit="1" customWidth="1"/>
    <col min="3" max="3" width="7.42578125" bestFit="1" customWidth="1"/>
    <col min="4" max="4" width="8.140625" bestFit="1" customWidth="1"/>
    <col min="5" max="5" width="7.85546875" bestFit="1" customWidth="1"/>
    <col min="6" max="6" width="6.28515625" bestFit="1" customWidth="1"/>
    <col min="7" max="7" width="5.7109375" bestFit="1" customWidth="1"/>
    <col min="8" max="9" width="6.42578125" bestFit="1" customWidth="1"/>
    <col min="10" max="10" width="6.140625" bestFit="1" customWidth="1"/>
    <col min="11" max="11" width="6.42578125" bestFit="1" customWidth="1"/>
    <col min="12" max="12" width="8.140625" bestFit="1" customWidth="1"/>
    <col min="13" max="13" width="6.85546875" bestFit="1" customWidth="1"/>
    <col min="14" max="14" width="8.140625" bestFit="1" customWidth="1"/>
    <col min="15" max="15" width="6.42578125" bestFit="1" customWidth="1"/>
    <col min="16" max="19" width="7.140625" customWidth="1"/>
    <col min="20" max="20" width="7.28515625" bestFit="1" customWidth="1"/>
    <col min="21" max="21" width="8.42578125" bestFit="1" customWidth="1"/>
    <col min="22" max="22" width="8.140625" bestFit="1" customWidth="1"/>
    <col min="23" max="25" width="13.7109375" bestFit="1" customWidth="1"/>
    <col min="26" max="26" width="12.140625" hidden="1" customWidth="1"/>
    <col min="27" max="28" width="13.7109375" hidden="1" customWidth="1"/>
    <col min="29" max="31" width="0" hidden="1" customWidth="1"/>
    <col min="32" max="32" width="19.42578125" bestFit="1" customWidth="1"/>
  </cols>
  <sheetData>
    <row r="1" spans="1:32">
      <c r="B1" s="32" t="s">
        <v>401</v>
      </c>
      <c r="C1" s="32"/>
      <c r="D1" s="32"/>
      <c r="E1" s="9">
        <f t="shared" ref="E1:V1" si="0">AVERAGE(E8:E34)</f>
        <v>31.462361111111111</v>
      </c>
      <c r="F1" s="9">
        <f t="shared" si="0"/>
        <v>5.4933333333333332</v>
      </c>
      <c r="G1" s="9">
        <f t="shared" si="0"/>
        <v>5.4719444444444445</v>
      </c>
      <c r="H1" s="9">
        <f t="shared" si="0"/>
        <v>5.9095833333333339</v>
      </c>
      <c r="I1" s="9">
        <f t="shared" si="0"/>
        <v>1.2402777777777778</v>
      </c>
      <c r="J1" s="9">
        <f t="shared" si="0"/>
        <v>0.14597222222222223</v>
      </c>
      <c r="K1" s="9">
        <f t="shared" si="0"/>
        <v>0.46887219592508739</v>
      </c>
      <c r="L1" s="33">
        <f t="shared" si="0"/>
        <v>21.595555555555556</v>
      </c>
      <c r="M1" s="34">
        <f t="shared" si="0"/>
        <v>0.91300008870753124</v>
      </c>
      <c r="N1" s="33">
        <f t="shared" si="0"/>
        <v>6.262777777777778</v>
      </c>
      <c r="O1" s="9">
        <f t="shared" si="0"/>
        <v>2.6643341875365079</v>
      </c>
      <c r="P1" s="9">
        <f t="shared" si="0"/>
        <v>3.7430705094171404</v>
      </c>
      <c r="Q1" s="9">
        <f t="shared" si="0"/>
        <v>-9.8660748175114679E-2</v>
      </c>
      <c r="R1" s="9">
        <f t="shared" si="0"/>
        <v>1.0880429841863297</v>
      </c>
      <c r="S1" s="9">
        <f t="shared" si="0"/>
        <v>0.80158050720490548</v>
      </c>
      <c r="T1" s="9">
        <f t="shared" si="0"/>
        <v>-0.96501646375967787</v>
      </c>
      <c r="U1" s="9">
        <f t="shared" si="0"/>
        <v>-0.2385508946707455</v>
      </c>
      <c r="V1" s="9">
        <f t="shared" si="0"/>
        <v>2.5389305742341941</v>
      </c>
      <c r="W1" s="9"/>
      <c r="X1" s="9"/>
      <c r="Y1" s="9"/>
    </row>
    <row r="2" spans="1:32">
      <c r="E2" s="5" t="str">
        <f>E7</f>
        <v>PTS</v>
      </c>
      <c r="F2" s="5" t="str">
        <f t="shared" ref="F2:V2" si="1">F7</f>
        <v>3P</v>
      </c>
      <c r="G2" s="5" t="str">
        <f t="shared" si="1"/>
        <v>REB</v>
      </c>
      <c r="H2" s="5" t="str">
        <f t="shared" si="1"/>
        <v>AST</v>
      </c>
      <c r="I2" s="5" t="str">
        <f t="shared" si="1"/>
        <v>STL</v>
      </c>
      <c r="J2" s="5" t="str">
        <f t="shared" si="1"/>
        <v>BLK</v>
      </c>
      <c r="K2" s="5" t="str">
        <f t="shared" si="1"/>
        <v>FG%</v>
      </c>
      <c r="L2" s="5" t="str">
        <f t="shared" si="1"/>
        <v>FGA</v>
      </c>
      <c r="M2" s="5" t="str">
        <f t="shared" si="1"/>
        <v>FT%</v>
      </c>
      <c r="N2" s="5" t="str">
        <f t="shared" si="1"/>
        <v>FTA</v>
      </c>
      <c r="O2" s="5" t="str">
        <f t="shared" si="1"/>
        <v>vPTS</v>
      </c>
      <c r="P2" s="5" t="str">
        <f t="shared" si="1"/>
        <v>v3P</v>
      </c>
      <c r="Q2" s="5" t="str">
        <f t="shared" si="1"/>
        <v>vREB</v>
      </c>
      <c r="R2" s="5" t="str">
        <f t="shared" si="1"/>
        <v>vAST</v>
      </c>
      <c r="S2" s="5" t="str">
        <f t="shared" si="1"/>
        <v>vSTL</v>
      </c>
      <c r="T2" s="5" t="str">
        <f t="shared" si="1"/>
        <v>vBLK</v>
      </c>
      <c r="U2" s="5" t="str">
        <f t="shared" si="1"/>
        <v>w FG v</v>
      </c>
      <c r="V2" s="5" t="str">
        <f t="shared" si="1"/>
        <v>w FT v</v>
      </c>
      <c r="W2" s="5"/>
      <c r="X2" s="5"/>
      <c r="Y2" s="5"/>
    </row>
    <row r="4" spans="1:32">
      <c r="B4" s="3" t="s">
        <v>380</v>
      </c>
      <c r="C4" s="4">
        <v>1</v>
      </c>
    </row>
    <row r="7" spans="1:3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383</v>
      </c>
      <c r="P7" s="3" t="s">
        <v>384</v>
      </c>
      <c r="Q7" s="3" t="s">
        <v>385</v>
      </c>
      <c r="R7" s="3" t="s">
        <v>386</v>
      </c>
      <c r="S7" s="3" t="s">
        <v>387</v>
      </c>
      <c r="T7" s="3" t="s">
        <v>388</v>
      </c>
      <c r="U7" s="3" t="s">
        <v>389</v>
      </c>
      <c r="V7" s="3" t="s">
        <v>390</v>
      </c>
      <c r="AF7" s="2" t="s">
        <v>402</v>
      </c>
    </row>
    <row r="8" spans="1:32">
      <c r="A8">
        <v>1</v>
      </c>
      <c r="B8" t="s">
        <v>27</v>
      </c>
      <c r="C8" t="s">
        <v>28</v>
      </c>
      <c r="D8" t="s">
        <v>29</v>
      </c>
      <c r="E8">
        <v>31.462361111111111</v>
      </c>
      <c r="F8">
        <v>5.4933333333333332</v>
      </c>
      <c r="G8">
        <v>5.4719444444444445</v>
      </c>
      <c r="H8">
        <v>5.9095833333333339</v>
      </c>
      <c r="I8">
        <v>1.2402777777777778</v>
      </c>
      <c r="J8">
        <v>0.14597222222222223</v>
      </c>
      <c r="K8">
        <v>0.46887219592508739</v>
      </c>
      <c r="L8">
        <v>21.595555555555556</v>
      </c>
      <c r="M8">
        <v>0.91300008870753124</v>
      </c>
      <c r="N8">
        <v>6.262777777777778</v>
      </c>
      <c r="O8">
        <v>2.6643341875365079</v>
      </c>
      <c r="P8">
        <v>3.7430705094171404</v>
      </c>
      <c r="Q8">
        <v>-9.8660748175114679E-2</v>
      </c>
      <c r="R8">
        <v>1.0880429841863297</v>
      </c>
      <c r="S8">
        <v>0.80158050720490548</v>
      </c>
      <c r="T8">
        <v>-0.96501646375967787</v>
      </c>
      <c r="U8" s="11">
        <v>-0.2385508946707455</v>
      </c>
      <c r="V8" s="11">
        <v>2.5389305742341941</v>
      </c>
      <c r="AF8">
        <v>52</v>
      </c>
    </row>
    <row r="9" spans="1:32">
      <c r="A9">
        <v>2</v>
      </c>
      <c r="AF9">
        <v>30</v>
      </c>
    </row>
    <row r="10" spans="1:32">
      <c r="A10">
        <v>3</v>
      </c>
      <c r="AF10">
        <v>28</v>
      </c>
    </row>
    <row r="11" spans="1:32">
      <c r="A11">
        <v>4</v>
      </c>
      <c r="AF11">
        <v>18</v>
      </c>
    </row>
    <row r="12" spans="1:32">
      <c r="A12">
        <v>5</v>
      </c>
      <c r="AF12">
        <v>11</v>
      </c>
    </row>
    <row r="13" spans="1:32">
      <c r="A13">
        <v>6</v>
      </c>
      <c r="AF13">
        <v>11.3</v>
      </c>
    </row>
    <row r="14" spans="1:32" ht="14.1" customHeight="1">
      <c r="A14">
        <v>7</v>
      </c>
      <c r="AF14">
        <v>11.2</v>
      </c>
    </row>
    <row r="15" spans="1:32">
      <c r="A15">
        <v>8</v>
      </c>
      <c r="AF15">
        <v>6.3</v>
      </c>
    </row>
    <row r="16" spans="1:32">
      <c r="A16">
        <v>9</v>
      </c>
      <c r="AF16">
        <v>9.6999999999999993</v>
      </c>
    </row>
    <row r="17" spans="1:32">
      <c r="A17">
        <v>10</v>
      </c>
      <c r="AF17">
        <v>11.7</v>
      </c>
    </row>
    <row r="18" spans="1:32">
      <c r="A18">
        <v>11</v>
      </c>
      <c r="AF18">
        <v>8.9</v>
      </c>
    </row>
    <row r="19" spans="1:32">
      <c r="A19">
        <v>12</v>
      </c>
    </row>
    <row r="20" spans="1:32">
      <c r="A20">
        <v>13</v>
      </c>
      <c r="AF20">
        <f>SUM(AF8:AF18)</f>
        <v>198.1</v>
      </c>
    </row>
    <row r="21" spans="1:32">
      <c r="A21">
        <v>14</v>
      </c>
    </row>
    <row r="22" spans="1:32">
      <c r="A22">
        <v>15</v>
      </c>
    </row>
    <row r="23" spans="1:32">
      <c r="A23">
        <v>16</v>
      </c>
    </row>
    <row r="24" spans="1:32">
      <c r="A24">
        <v>17</v>
      </c>
    </row>
    <row r="25" spans="1:32">
      <c r="A25">
        <v>18</v>
      </c>
    </row>
    <row r="26" spans="1:32">
      <c r="A26">
        <v>19</v>
      </c>
    </row>
    <row r="27" spans="1:32">
      <c r="A27">
        <v>20</v>
      </c>
    </row>
    <row r="28" spans="1:32">
      <c r="A28">
        <v>21</v>
      </c>
    </row>
    <row r="29" spans="1:32">
      <c r="A29">
        <v>22</v>
      </c>
      <c r="AF29" s="16"/>
    </row>
    <row r="30" spans="1:32">
      <c r="A30">
        <v>23</v>
      </c>
      <c r="AF30" s="16"/>
    </row>
    <row r="31" spans="1:32">
      <c r="A31">
        <v>24</v>
      </c>
      <c r="AF31" s="16"/>
    </row>
    <row r="32" spans="1:32">
      <c r="A32">
        <v>25</v>
      </c>
      <c r="AF32" s="16"/>
    </row>
    <row r="33" spans="27:32">
      <c r="AF33" s="16"/>
    </row>
    <row r="34" spans="27:32">
      <c r="AF34" s="16"/>
    </row>
    <row r="35" spans="27:32">
      <c r="AF35" s="16"/>
    </row>
    <row r="36" spans="27:32">
      <c r="AF36" s="16"/>
    </row>
    <row r="37" spans="27:32">
      <c r="AF37" s="16"/>
    </row>
    <row r="38" spans="27:32">
      <c r="AA38" s="9">
        <f>SUM(AA8:AA34)</f>
        <v>0</v>
      </c>
      <c r="AF38" s="16"/>
    </row>
    <row r="39" spans="27:32">
      <c r="AA39" s="5" t="s">
        <v>403</v>
      </c>
      <c r="AF39" s="16"/>
    </row>
    <row r="40" spans="27:32">
      <c r="AF40" s="16"/>
    </row>
    <row r="41" spans="27:32">
      <c r="AF41" s="16"/>
    </row>
  </sheetData>
  <conditionalFormatting sqref="P162:Z163 P8:T34 P40:T16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AAB4-5689-CD4F-8B60-FC367DE9FFE7}">
  <dimension ref="A1:AA88"/>
  <sheetViews>
    <sheetView tabSelected="1" zoomScale="75" zoomScaleNormal="75" workbookViewId="0">
      <selection activeCell="R15" sqref="R15"/>
    </sheetView>
  </sheetViews>
  <sheetFormatPr defaultColWidth="11.42578125" defaultRowHeight="15"/>
  <cols>
    <col min="1" max="1" width="19.28515625" customWidth="1"/>
    <col min="2" max="2" width="13.7109375" customWidth="1"/>
  </cols>
  <sheetData>
    <row r="1" spans="1:27" ht="15.75" thickBot="1">
      <c r="A1" s="53" t="s">
        <v>4</v>
      </c>
      <c r="B1" s="53"/>
      <c r="C1" s="55" t="s">
        <v>467</v>
      </c>
      <c r="D1" s="53" t="s">
        <v>443</v>
      </c>
      <c r="E1" s="53" t="s">
        <v>444</v>
      </c>
      <c r="F1" s="53" t="s">
        <v>445</v>
      </c>
      <c r="G1" s="53" t="s">
        <v>446</v>
      </c>
      <c r="H1" s="53" t="s">
        <v>447</v>
      </c>
      <c r="I1" s="53" t="s">
        <v>448</v>
      </c>
      <c r="J1" s="53" t="s">
        <v>449</v>
      </c>
      <c r="K1" s="53" t="s">
        <v>450</v>
      </c>
      <c r="L1" s="53" t="s">
        <v>451</v>
      </c>
      <c r="M1" s="53" t="s">
        <v>452</v>
      </c>
      <c r="N1" s="53" t="s">
        <v>453</v>
      </c>
      <c r="O1" s="53" t="s">
        <v>454</v>
      </c>
      <c r="P1" s="53" t="s">
        <v>455</v>
      </c>
      <c r="Q1" s="53" t="s">
        <v>456</v>
      </c>
      <c r="R1" s="53" t="s">
        <v>457</v>
      </c>
      <c r="S1" s="53" t="s">
        <v>458</v>
      </c>
      <c r="T1" s="53" t="s">
        <v>459</v>
      </c>
      <c r="U1" s="53" t="s">
        <v>460</v>
      </c>
      <c r="V1" s="53" t="s">
        <v>461</v>
      </c>
      <c r="W1" s="53" t="s">
        <v>462</v>
      </c>
      <c r="X1" s="53" t="s">
        <v>463</v>
      </c>
      <c r="Y1" s="53" t="s">
        <v>464</v>
      </c>
      <c r="Z1" s="53" t="s">
        <v>465</v>
      </c>
      <c r="AA1" s="53" t="s">
        <v>466</v>
      </c>
    </row>
    <row r="2" spans="1:27" ht="24.75" thickBot="1">
      <c r="A2" s="45" t="s">
        <v>424</v>
      </c>
      <c r="B2" s="54" t="s">
        <v>61</v>
      </c>
      <c r="C2" s="7">
        <f t="shared" ref="C2:C31" si="0">SUM(X2:AA2)</f>
        <v>14</v>
      </c>
      <c r="D2" s="42">
        <v>2</v>
      </c>
      <c r="E2" s="43">
        <v>4</v>
      </c>
      <c r="F2" s="43">
        <v>4</v>
      </c>
      <c r="G2" s="43">
        <v>4</v>
      </c>
      <c r="H2" s="41">
        <v>3</v>
      </c>
      <c r="I2" s="43">
        <v>4</v>
      </c>
      <c r="J2" s="41">
        <v>3</v>
      </c>
      <c r="K2" s="42">
        <v>2</v>
      </c>
      <c r="L2" s="43">
        <v>4</v>
      </c>
      <c r="M2" s="41">
        <v>3</v>
      </c>
      <c r="N2" s="41">
        <v>3</v>
      </c>
      <c r="O2" s="43">
        <v>4</v>
      </c>
      <c r="P2" s="41">
        <v>3</v>
      </c>
      <c r="Q2" s="43">
        <v>4</v>
      </c>
      <c r="R2" s="43">
        <v>4</v>
      </c>
      <c r="S2" s="43">
        <v>4</v>
      </c>
      <c r="T2" s="41">
        <v>3</v>
      </c>
      <c r="U2" s="43">
        <v>4</v>
      </c>
      <c r="V2" s="42">
        <v>2</v>
      </c>
      <c r="W2" s="43">
        <v>4</v>
      </c>
      <c r="X2" s="43">
        <v>4</v>
      </c>
      <c r="Y2" s="41">
        <v>3</v>
      </c>
      <c r="Z2" s="41">
        <v>3</v>
      </c>
      <c r="AA2" s="46">
        <v>4</v>
      </c>
    </row>
    <row r="3" spans="1:27" ht="24.75" thickBot="1">
      <c r="A3" s="45" t="s">
        <v>412</v>
      </c>
      <c r="B3" s="54" t="s">
        <v>42</v>
      </c>
      <c r="C3" s="7">
        <f t="shared" si="0"/>
        <v>13</v>
      </c>
      <c r="D3" s="41">
        <v>3</v>
      </c>
      <c r="E3" s="41">
        <v>3</v>
      </c>
      <c r="F3" s="43">
        <v>4</v>
      </c>
      <c r="G3" s="41">
        <v>3</v>
      </c>
      <c r="H3" s="43">
        <v>4</v>
      </c>
      <c r="I3" s="43">
        <v>4</v>
      </c>
      <c r="J3" s="41">
        <v>3</v>
      </c>
      <c r="K3" s="41">
        <v>3</v>
      </c>
      <c r="L3" s="41">
        <v>3</v>
      </c>
      <c r="M3" s="41">
        <v>3</v>
      </c>
      <c r="N3" s="43">
        <v>4</v>
      </c>
      <c r="O3" s="41">
        <v>3</v>
      </c>
      <c r="P3" s="43">
        <v>4</v>
      </c>
      <c r="Q3" s="43">
        <v>4</v>
      </c>
      <c r="R3" s="41">
        <v>3</v>
      </c>
      <c r="S3" s="43">
        <v>4</v>
      </c>
      <c r="T3" s="41">
        <v>3</v>
      </c>
      <c r="U3" s="44">
        <v>5</v>
      </c>
      <c r="V3" s="41">
        <v>3</v>
      </c>
      <c r="W3" s="41">
        <v>3</v>
      </c>
      <c r="X3" s="41">
        <v>3</v>
      </c>
      <c r="Y3" s="41">
        <v>3</v>
      </c>
      <c r="Z3" s="43">
        <v>4</v>
      </c>
      <c r="AA3" s="47">
        <v>3</v>
      </c>
    </row>
    <row r="4" spans="1:27" ht="24.75" thickBot="1">
      <c r="A4" s="45" t="s">
        <v>425</v>
      </c>
      <c r="B4" s="54" t="s">
        <v>26</v>
      </c>
      <c r="C4" s="7">
        <f t="shared" si="0"/>
        <v>14</v>
      </c>
      <c r="D4" s="41">
        <v>3</v>
      </c>
      <c r="E4" s="43">
        <v>4</v>
      </c>
      <c r="F4" s="41">
        <v>3</v>
      </c>
      <c r="G4" s="43">
        <v>4</v>
      </c>
      <c r="H4" s="41">
        <v>3</v>
      </c>
      <c r="I4" s="41">
        <v>3</v>
      </c>
      <c r="J4" s="41">
        <v>3</v>
      </c>
      <c r="K4" s="43">
        <v>4</v>
      </c>
      <c r="L4" s="43">
        <v>4</v>
      </c>
      <c r="M4" s="41">
        <v>3</v>
      </c>
      <c r="N4" s="41">
        <v>3</v>
      </c>
      <c r="O4" s="43">
        <v>4</v>
      </c>
      <c r="P4" s="41">
        <v>3</v>
      </c>
      <c r="Q4" s="43">
        <v>4</v>
      </c>
      <c r="R4" s="41">
        <v>3</v>
      </c>
      <c r="S4" s="43">
        <v>4</v>
      </c>
      <c r="T4" s="41">
        <v>3</v>
      </c>
      <c r="U4" s="43">
        <v>4</v>
      </c>
      <c r="V4" s="41">
        <v>3</v>
      </c>
      <c r="W4" s="41">
        <v>3</v>
      </c>
      <c r="X4" s="41">
        <v>3</v>
      </c>
      <c r="Y4" s="43">
        <v>4</v>
      </c>
      <c r="Z4" s="41">
        <v>3</v>
      </c>
      <c r="AA4" s="46">
        <v>4</v>
      </c>
    </row>
    <row r="5" spans="1:27" ht="24.75" thickBot="1">
      <c r="A5" s="45" t="s">
        <v>413</v>
      </c>
      <c r="B5" s="54" t="s">
        <v>65</v>
      </c>
      <c r="C5" s="7">
        <f t="shared" si="0"/>
        <v>14</v>
      </c>
      <c r="D5" s="41">
        <v>3</v>
      </c>
      <c r="E5" s="43">
        <v>4</v>
      </c>
      <c r="F5" s="43">
        <v>4</v>
      </c>
      <c r="G5" s="43">
        <v>4</v>
      </c>
      <c r="H5" s="41">
        <v>3</v>
      </c>
      <c r="I5" s="43">
        <v>4</v>
      </c>
      <c r="J5" s="41">
        <v>3</v>
      </c>
      <c r="K5" s="41">
        <v>3</v>
      </c>
      <c r="L5" s="43">
        <v>4</v>
      </c>
      <c r="M5" s="42">
        <v>2</v>
      </c>
      <c r="N5" s="41">
        <v>3</v>
      </c>
      <c r="O5" s="41">
        <v>3</v>
      </c>
      <c r="P5" s="41">
        <v>3</v>
      </c>
      <c r="Q5" s="43">
        <v>4</v>
      </c>
      <c r="R5" s="43">
        <v>4</v>
      </c>
      <c r="S5" s="41">
        <v>3</v>
      </c>
      <c r="T5" s="43">
        <v>4</v>
      </c>
      <c r="U5" s="43">
        <v>4</v>
      </c>
      <c r="V5" s="41">
        <v>3</v>
      </c>
      <c r="W5" s="41">
        <v>3</v>
      </c>
      <c r="X5" s="41">
        <v>3</v>
      </c>
      <c r="Y5" s="43">
        <v>4</v>
      </c>
      <c r="Z5" s="41">
        <v>3</v>
      </c>
      <c r="AA5" s="46">
        <v>4</v>
      </c>
    </row>
    <row r="6" spans="1:27" ht="24.75" thickBot="1">
      <c r="A6" s="45" t="s">
        <v>432</v>
      </c>
      <c r="B6" s="54" t="s">
        <v>59</v>
      </c>
      <c r="C6" s="7">
        <f t="shared" si="0"/>
        <v>15</v>
      </c>
      <c r="D6" s="41">
        <v>3</v>
      </c>
      <c r="E6" s="41">
        <v>3</v>
      </c>
      <c r="F6" s="41">
        <v>3</v>
      </c>
      <c r="G6" s="43">
        <v>4</v>
      </c>
      <c r="H6" s="43">
        <v>4</v>
      </c>
      <c r="I6" s="43">
        <v>4</v>
      </c>
      <c r="J6" s="41">
        <v>3</v>
      </c>
      <c r="K6" s="41">
        <v>3</v>
      </c>
      <c r="L6" s="41">
        <v>3</v>
      </c>
      <c r="M6" s="41">
        <v>3</v>
      </c>
      <c r="N6" s="43">
        <v>4</v>
      </c>
      <c r="O6" s="41">
        <v>3</v>
      </c>
      <c r="P6" s="41">
        <v>3</v>
      </c>
      <c r="Q6" s="43">
        <v>4</v>
      </c>
      <c r="R6" s="43">
        <v>4</v>
      </c>
      <c r="S6" s="41">
        <v>3</v>
      </c>
      <c r="T6" s="43">
        <v>4</v>
      </c>
      <c r="U6" s="43">
        <v>4</v>
      </c>
      <c r="V6" s="42">
        <v>2</v>
      </c>
      <c r="W6" s="41">
        <v>3</v>
      </c>
      <c r="X6" s="41">
        <v>3</v>
      </c>
      <c r="Y6" s="43">
        <v>4</v>
      </c>
      <c r="Z6" s="43">
        <v>4</v>
      </c>
      <c r="AA6" s="46">
        <v>4</v>
      </c>
    </row>
    <row r="7" spans="1:27" ht="24.75" thickBot="1">
      <c r="A7" s="45" t="s">
        <v>405</v>
      </c>
      <c r="B7" s="54" t="s">
        <v>118</v>
      </c>
      <c r="C7" s="7">
        <f t="shared" si="0"/>
        <v>14</v>
      </c>
      <c r="D7" s="41">
        <v>3</v>
      </c>
      <c r="E7" s="43">
        <v>4</v>
      </c>
      <c r="F7" s="43">
        <v>4</v>
      </c>
      <c r="G7" s="41">
        <v>3</v>
      </c>
      <c r="H7" s="41">
        <v>3</v>
      </c>
      <c r="I7" s="41">
        <v>3</v>
      </c>
      <c r="J7" s="43">
        <v>4</v>
      </c>
      <c r="K7" s="43">
        <v>4</v>
      </c>
      <c r="L7" s="43">
        <v>4</v>
      </c>
      <c r="M7" s="42">
        <v>2</v>
      </c>
      <c r="N7" s="43">
        <v>4</v>
      </c>
      <c r="O7" s="41">
        <v>3</v>
      </c>
      <c r="P7" s="43">
        <v>4</v>
      </c>
      <c r="Q7" s="41">
        <v>3</v>
      </c>
      <c r="R7" s="41">
        <v>3</v>
      </c>
      <c r="S7" s="43">
        <v>4</v>
      </c>
      <c r="T7" s="41">
        <v>3</v>
      </c>
      <c r="U7" s="41">
        <v>3</v>
      </c>
      <c r="V7" s="43">
        <v>4</v>
      </c>
      <c r="W7" s="41">
        <v>3</v>
      </c>
      <c r="X7" s="43">
        <v>4</v>
      </c>
      <c r="Y7" s="41">
        <v>3</v>
      </c>
      <c r="Z7" s="43">
        <v>4</v>
      </c>
      <c r="AA7" s="47">
        <v>3</v>
      </c>
    </row>
    <row r="8" spans="1:27" ht="24.75" thickBot="1">
      <c r="A8" s="45" t="s">
        <v>414</v>
      </c>
      <c r="B8" s="54" t="s">
        <v>51</v>
      </c>
      <c r="C8" s="7">
        <f t="shared" si="0"/>
        <v>14</v>
      </c>
      <c r="D8" s="42">
        <v>2</v>
      </c>
      <c r="E8" s="43">
        <v>4</v>
      </c>
      <c r="F8" s="41">
        <v>3</v>
      </c>
      <c r="G8" s="41">
        <v>3</v>
      </c>
      <c r="H8" s="43">
        <v>4</v>
      </c>
      <c r="I8" s="42">
        <v>2</v>
      </c>
      <c r="J8" s="43">
        <v>4</v>
      </c>
      <c r="K8" s="43">
        <v>4</v>
      </c>
      <c r="L8" s="41">
        <v>3</v>
      </c>
      <c r="M8" s="41">
        <v>3</v>
      </c>
      <c r="N8" s="43">
        <v>4</v>
      </c>
      <c r="O8" s="43">
        <v>4</v>
      </c>
      <c r="P8" s="41">
        <v>3</v>
      </c>
      <c r="Q8" s="43">
        <v>4</v>
      </c>
      <c r="R8" s="43">
        <v>4</v>
      </c>
      <c r="S8" s="41">
        <v>3</v>
      </c>
      <c r="T8" s="41">
        <v>3</v>
      </c>
      <c r="U8" s="43">
        <v>4</v>
      </c>
      <c r="V8" s="41">
        <v>3</v>
      </c>
      <c r="W8" s="43">
        <v>4</v>
      </c>
      <c r="X8" s="41">
        <v>3</v>
      </c>
      <c r="Y8" s="43">
        <v>4</v>
      </c>
      <c r="Z8" s="43">
        <v>4</v>
      </c>
      <c r="AA8" s="47">
        <v>3</v>
      </c>
    </row>
    <row r="9" spans="1:27" ht="24.75" thickBot="1">
      <c r="A9" s="45" t="s">
        <v>406</v>
      </c>
      <c r="B9" s="54" t="s">
        <v>23</v>
      </c>
      <c r="C9" s="7">
        <f t="shared" si="0"/>
        <v>14</v>
      </c>
      <c r="D9" s="42">
        <v>2</v>
      </c>
      <c r="E9" s="43">
        <v>4</v>
      </c>
      <c r="F9" s="41">
        <v>3</v>
      </c>
      <c r="G9" s="43">
        <v>4</v>
      </c>
      <c r="H9" s="43">
        <v>4</v>
      </c>
      <c r="I9" s="42">
        <v>2</v>
      </c>
      <c r="J9" s="41">
        <v>3</v>
      </c>
      <c r="K9" s="43">
        <v>4</v>
      </c>
      <c r="L9" s="43">
        <v>4</v>
      </c>
      <c r="M9" s="41">
        <v>3</v>
      </c>
      <c r="N9" s="41">
        <v>3</v>
      </c>
      <c r="O9" s="43">
        <v>4</v>
      </c>
      <c r="P9" s="43">
        <v>4</v>
      </c>
      <c r="Q9" s="41">
        <v>3</v>
      </c>
      <c r="R9" s="41">
        <v>3</v>
      </c>
      <c r="S9" s="43">
        <v>4</v>
      </c>
      <c r="T9" s="41">
        <v>3</v>
      </c>
      <c r="U9" s="44">
        <v>5</v>
      </c>
      <c r="V9" s="41">
        <v>3</v>
      </c>
      <c r="W9" s="41">
        <v>3</v>
      </c>
      <c r="X9" s="43">
        <v>4</v>
      </c>
      <c r="Y9" s="41">
        <v>3</v>
      </c>
      <c r="Z9" s="43">
        <v>4</v>
      </c>
      <c r="AA9" s="47">
        <v>3</v>
      </c>
    </row>
    <row r="10" spans="1:27" ht="24.75" thickBot="1">
      <c r="A10" s="45" t="s">
        <v>407</v>
      </c>
      <c r="B10" s="54" t="s">
        <v>115</v>
      </c>
      <c r="C10" s="7">
        <f t="shared" si="0"/>
        <v>14</v>
      </c>
      <c r="D10" s="42">
        <v>2</v>
      </c>
      <c r="E10" s="43">
        <v>4</v>
      </c>
      <c r="F10" s="41">
        <v>3</v>
      </c>
      <c r="G10" s="41">
        <v>3</v>
      </c>
      <c r="H10" s="43">
        <v>4</v>
      </c>
      <c r="I10" s="43">
        <v>4</v>
      </c>
      <c r="J10" s="42">
        <v>2</v>
      </c>
      <c r="K10" s="43">
        <v>4</v>
      </c>
      <c r="L10" s="43">
        <v>4</v>
      </c>
      <c r="M10" s="41">
        <v>3</v>
      </c>
      <c r="N10" s="42">
        <v>2</v>
      </c>
      <c r="O10" s="43">
        <v>4</v>
      </c>
      <c r="P10" s="41">
        <v>3</v>
      </c>
      <c r="Q10" s="43">
        <v>4</v>
      </c>
      <c r="R10" s="41">
        <v>3</v>
      </c>
      <c r="S10" s="43">
        <v>4</v>
      </c>
      <c r="T10" s="41">
        <v>3</v>
      </c>
      <c r="U10" s="44">
        <v>5</v>
      </c>
      <c r="V10" s="41">
        <v>3</v>
      </c>
      <c r="W10" s="43">
        <v>4</v>
      </c>
      <c r="X10" s="41">
        <v>3</v>
      </c>
      <c r="Y10" s="43">
        <v>4</v>
      </c>
      <c r="Z10" s="43">
        <v>4</v>
      </c>
      <c r="AA10" s="47">
        <v>3</v>
      </c>
    </row>
    <row r="11" spans="1:27" ht="24.75" thickBot="1">
      <c r="A11" s="45" t="s">
        <v>415</v>
      </c>
      <c r="B11" s="54" t="s">
        <v>29</v>
      </c>
      <c r="C11" s="7">
        <f t="shared" si="0"/>
        <v>14</v>
      </c>
      <c r="D11" s="41">
        <v>3</v>
      </c>
      <c r="E11" s="41">
        <v>3</v>
      </c>
      <c r="F11" s="41">
        <v>3</v>
      </c>
      <c r="G11" s="43">
        <v>4</v>
      </c>
      <c r="H11" s="43">
        <v>4</v>
      </c>
      <c r="I11" s="41">
        <v>3</v>
      </c>
      <c r="J11" s="41">
        <v>3</v>
      </c>
      <c r="K11" s="41">
        <v>3</v>
      </c>
      <c r="L11" s="43">
        <v>4</v>
      </c>
      <c r="M11" s="41">
        <v>3</v>
      </c>
      <c r="N11" s="41">
        <v>3</v>
      </c>
      <c r="O11" s="43">
        <v>4</v>
      </c>
      <c r="P11" s="43">
        <v>4</v>
      </c>
      <c r="Q11" s="43">
        <v>4</v>
      </c>
      <c r="R11" s="41">
        <v>3</v>
      </c>
      <c r="S11" s="41">
        <v>3</v>
      </c>
      <c r="T11" s="43">
        <v>4</v>
      </c>
      <c r="U11" s="43">
        <v>4</v>
      </c>
      <c r="V11" s="41">
        <v>3</v>
      </c>
      <c r="W11" s="41">
        <v>3</v>
      </c>
      <c r="X11" s="41">
        <v>3</v>
      </c>
      <c r="Y11" s="43">
        <v>4</v>
      </c>
      <c r="Z11" s="43">
        <v>4</v>
      </c>
      <c r="AA11" s="47">
        <v>3</v>
      </c>
    </row>
    <row r="12" spans="1:27" ht="24.75" thickBot="1">
      <c r="A12" s="45" t="s">
        <v>408</v>
      </c>
      <c r="B12" s="54" t="s">
        <v>100</v>
      </c>
      <c r="C12" s="7">
        <f t="shared" si="0"/>
        <v>14</v>
      </c>
      <c r="D12" s="41">
        <v>3</v>
      </c>
      <c r="E12" s="41">
        <v>3</v>
      </c>
      <c r="F12" s="43">
        <v>4</v>
      </c>
      <c r="G12" s="41">
        <v>3</v>
      </c>
      <c r="H12" s="41">
        <v>3</v>
      </c>
      <c r="I12" s="41">
        <v>3</v>
      </c>
      <c r="J12" s="43">
        <v>4</v>
      </c>
      <c r="K12" s="41">
        <v>3</v>
      </c>
      <c r="L12" s="43">
        <v>4</v>
      </c>
      <c r="M12" s="41">
        <v>3</v>
      </c>
      <c r="N12" s="43">
        <v>4</v>
      </c>
      <c r="O12" s="43">
        <v>4</v>
      </c>
      <c r="P12" s="41">
        <v>3</v>
      </c>
      <c r="Q12" s="42">
        <v>2</v>
      </c>
      <c r="R12" s="41">
        <v>3</v>
      </c>
      <c r="S12" s="43">
        <v>4</v>
      </c>
      <c r="T12" s="42">
        <v>2</v>
      </c>
      <c r="U12" s="44">
        <v>5</v>
      </c>
      <c r="V12" s="43">
        <v>4</v>
      </c>
      <c r="W12" s="43">
        <v>4</v>
      </c>
      <c r="X12" s="41">
        <v>3</v>
      </c>
      <c r="Y12" s="43">
        <v>4</v>
      </c>
      <c r="Z12" s="43">
        <v>4</v>
      </c>
      <c r="AA12" s="47">
        <v>3</v>
      </c>
    </row>
    <row r="13" spans="1:27" ht="24.75" thickBot="1">
      <c r="A13" s="45" t="s">
        <v>416</v>
      </c>
      <c r="B13" s="54" t="s">
        <v>75</v>
      </c>
      <c r="C13" s="7">
        <f t="shared" si="0"/>
        <v>13</v>
      </c>
      <c r="D13" s="41">
        <v>3</v>
      </c>
      <c r="E13" s="43">
        <v>4</v>
      </c>
      <c r="F13" s="43">
        <v>4</v>
      </c>
      <c r="G13" s="41">
        <v>3</v>
      </c>
      <c r="H13" s="43">
        <v>4</v>
      </c>
      <c r="I13" s="43">
        <v>4</v>
      </c>
      <c r="J13" s="41">
        <v>3</v>
      </c>
      <c r="K13" s="41">
        <v>3</v>
      </c>
      <c r="L13" s="41">
        <v>3</v>
      </c>
      <c r="M13" s="41">
        <v>3</v>
      </c>
      <c r="N13" s="41">
        <v>3</v>
      </c>
      <c r="O13" s="41">
        <v>3</v>
      </c>
      <c r="P13" s="41">
        <v>3</v>
      </c>
      <c r="Q13" s="43">
        <v>4</v>
      </c>
      <c r="R13" s="43">
        <v>4</v>
      </c>
      <c r="S13" s="43">
        <v>4</v>
      </c>
      <c r="T13" s="41">
        <v>3</v>
      </c>
      <c r="U13" s="43">
        <v>4</v>
      </c>
      <c r="V13" s="43">
        <v>4</v>
      </c>
      <c r="W13" s="41">
        <v>3</v>
      </c>
      <c r="X13" s="41">
        <v>3</v>
      </c>
      <c r="Y13" s="41">
        <v>3</v>
      </c>
      <c r="Z13" s="43">
        <v>4</v>
      </c>
      <c r="AA13" s="47">
        <v>3</v>
      </c>
    </row>
    <row r="14" spans="1:27" ht="24.75" thickBot="1">
      <c r="A14" s="45" t="s">
        <v>417</v>
      </c>
      <c r="B14" s="54" t="s">
        <v>49</v>
      </c>
      <c r="C14" s="7">
        <f t="shared" si="0"/>
        <v>12</v>
      </c>
      <c r="D14" s="42">
        <v>2</v>
      </c>
      <c r="E14" s="41">
        <v>3</v>
      </c>
      <c r="F14" s="43">
        <v>4</v>
      </c>
      <c r="G14" s="43">
        <v>4</v>
      </c>
      <c r="H14" s="43">
        <v>4</v>
      </c>
      <c r="I14" s="41">
        <v>3</v>
      </c>
      <c r="J14" s="43">
        <v>4</v>
      </c>
      <c r="K14" s="41">
        <v>3</v>
      </c>
      <c r="L14" s="41">
        <v>3</v>
      </c>
      <c r="M14" s="41">
        <v>3</v>
      </c>
      <c r="N14" s="43">
        <v>4</v>
      </c>
      <c r="O14" s="43">
        <v>4</v>
      </c>
      <c r="P14" s="41">
        <v>3</v>
      </c>
      <c r="Q14" s="43">
        <v>4</v>
      </c>
      <c r="R14" s="43">
        <v>4</v>
      </c>
      <c r="S14" s="41">
        <v>3</v>
      </c>
      <c r="T14" s="41">
        <v>3</v>
      </c>
      <c r="U14" s="44">
        <v>5</v>
      </c>
      <c r="V14" s="41">
        <v>3</v>
      </c>
      <c r="W14" s="43">
        <v>4</v>
      </c>
      <c r="X14" s="41">
        <v>3</v>
      </c>
      <c r="Y14" s="42">
        <v>2</v>
      </c>
      <c r="Z14" s="43">
        <v>4</v>
      </c>
      <c r="AA14" s="47">
        <v>3</v>
      </c>
    </row>
    <row r="15" spans="1:27" ht="24.75" thickBot="1">
      <c r="A15" s="45" t="s">
        <v>409</v>
      </c>
      <c r="B15" s="54" t="s">
        <v>55</v>
      </c>
      <c r="C15" s="7">
        <f t="shared" si="0"/>
        <v>15</v>
      </c>
      <c r="D15" s="41">
        <v>3</v>
      </c>
      <c r="E15" s="43">
        <v>4</v>
      </c>
      <c r="F15" s="41">
        <v>3</v>
      </c>
      <c r="G15" s="43">
        <v>4</v>
      </c>
      <c r="H15" s="43">
        <v>4</v>
      </c>
      <c r="I15" s="43">
        <v>4</v>
      </c>
      <c r="J15" s="42">
        <v>2</v>
      </c>
      <c r="K15" s="43">
        <v>4</v>
      </c>
      <c r="L15" s="41">
        <v>3</v>
      </c>
      <c r="M15" s="41">
        <v>3</v>
      </c>
      <c r="N15" s="43">
        <v>4</v>
      </c>
      <c r="O15" s="41">
        <v>3</v>
      </c>
      <c r="P15" s="42">
        <v>2</v>
      </c>
      <c r="Q15" s="43">
        <v>4</v>
      </c>
      <c r="R15" s="43">
        <v>4</v>
      </c>
      <c r="S15" s="41">
        <v>3</v>
      </c>
      <c r="T15" s="41">
        <v>3</v>
      </c>
      <c r="U15" s="41">
        <v>3</v>
      </c>
      <c r="V15" s="41">
        <v>3</v>
      </c>
      <c r="W15" s="43">
        <v>4</v>
      </c>
      <c r="X15" s="43">
        <v>4</v>
      </c>
      <c r="Y15" s="41">
        <v>3</v>
      </c>
      <c r="Z15" s="43">
        <v>4</v>
      </c>
      <c r="AA15" s="46">
        <v>4</v>
      </c>
    </row>
    <row r="16" spans="1:27" ht="24.75" thickBot="1">
      <c r="A16" s="45" t="s">
        <v>433</v>
      </c>
      <c r="B16" s="54" t="s">
        <v>84</v>
      </c>
      <c r="C16" s="7">
        <f t="shared" si="0"/>
        <v>13</v>
      </c>
      <c r="D16" s="41">
        <v>3</v>
      </c>
      <c r="E16" s="41">
        <v>3</v>
      </c>
      <c r="F16" s="41">
        <v>3</v>
      </c>
      <c r="G16" s="43">
        <v>4</v>
      </c>
      <c r="H16" s="41">
        <v>3</v>
      </c>
      <c r="I16" s="43">
        <v>4</v>
      </c>
      <c r="J16" s="41">
        <v>3</v>
      </c>
      <c r="K16" s="43">
        <v>4</v>
      </c>
      <c r="L16" s="43">
        <v>4</v>
      </c>
      <c r="M16" s="41">
        <v>3</v>
      </c>
      <c r="N16" s="41">
        <v>3</v>
      </c>
      <c r="O16" s="44">
        <v>5</v>
      </c>
      <c r="P16" s="41">
        <v>3</v>
      </c>
      <c r="Q16" s="43">
        <v>4</v>
      </c>
      <c r="R16" s="41">
        <v>3</v>
      </c>
      <c r="S16" s="41">
        <v>3</v>
      </c>
      <c r="T16" s="41">
        <v>3</v>
      </c>
      <c r="U16" s="43">
        <v>4</v>
      </c>
      <c r="V16" s="43">
        <v>4</v>
      </c>
      <c r="W16" s="41">
        <v>3</v>
      </c>
      <c r="X16" s="41">
        <v>3</v>
      </c>
      <c r="Y16" s="41">
        <v>3</v>
      </c>
      <c r="Z16" s="41">
        <v>3</v>
      </c>
      <c r="AA16" s="46">
        <v>4</v>
      </c>
    </row>
    <row r="17" spans="1:27" ht="24.75" thickBot="1">
      <c r="A17" s="45" t="s">
        <v>418</v>
      </c>
      <c r="B17" s="54" t="s">
        <v>53</v>
      </c>
      <c r="C17" s="7">
        <f t="shared" si="0"/>
        <v>13</v>
      </c>
      <c r="D17" s="42">
        <v>2</v>
      </c>
      <c r="E17" s="43">
        <v>4</v>
      </c>
      <c r="F17" s="41">
        <v>3</v>
      </c>
      <c r="G17" s="43">
        <v>4</v>
      </c>
      <c r="H17" s="43">
        <v>4</v>
      </c>
      <c r="I17" s="41">
        <v>3</v>
      </c>
      <c r="J17" s="43">
        <v>4</v>
      </c>
      <c r="K17" s="41">
        <v>3</v>
      </c>
      <c r="L17" s="43">
        <v>4</v>
      </c>
      <c r="M17" s="41">
        <v>3</v>
      </c>
      <c r="N17" s="43">
        <v>4</v>
      </c>
      <c r="O17" s="41">
        <v>3</v>
      </c>
      <c r="P17" s="41">
        <v>3</v>
      </c>
      <c r="Q17" s="43">
        <v>4</v>
      </c>
      <c r="R17" s="41">
        <v>3</v>
      </c>
      <c r="S17" s="41">
        <v>3</v>
      </c>
      <c r="T17" s="41">
        <v>3</v>
      </c>
      <c r="U17" s="43">
        <v>4</v>
      </c>
      <c r="V17" s="43">
        <v>4</v>
      </c>
      <c r="W17" s="43">
        <v>4</v>
      </c>
      <c r="X17" s="42">
        <v>2</v>
      </c>
      <c r="Y17" s="43">
        <v>4</v>
      </c>
      <c r="Z17" s="43">
        <v>4</v>
      </c>
      <c r="AA17" s="47">
        <v>3</v>
      </c>
    </row>
    <row r="18" spans="1:27" ht="24.75" thickBot="1">
      <c r="A18" s="45" t="s">
        <v>419</v>
      </c>
      <c r="B18" s="54" t="s">
        <v>46</v>
      </c>
      <c r="C18" s="7">
        <f t="shared" si="0"/>
        <v>14</v>
      </c>
      <c r="D18" s="41">
        <v>3</v>
      </c>
      <c r="E18" s="43">
        <v>4</v>
      </c>
      <c r="F18" s="41">
        <v>3</v>
      </c>
      <c r="G18" s="43">
        <v>4</v>
      </c>
      <c r="H18" s="41">
        <v>3</v>
      </c>
      <c r="I18" s="43">
        <v>4</v>
      </c>
      <c r="J18" s="41">
        <v>3</v>
      </c>
      <c r="K18" s="43">
        <v>4</v>
      </c>
      <c r="L18" s="43">
        <v>4</v>
      </c>
      <c r="M18" s="41">
        <v>3</v>
      </c>
      <c r="N18" s="41">
        <v>3</v>
      </c>
      <c r="O18" s="43">
        <v>4</v>
      </c>
      <c r="P18" s="41">
        <v>3</v>
      </c>
      <c r="Q18" s="43">
        <v>4</v>
      </c>
      <c r="R18" s="41">
        <v>3</v>
      </c>
      <c r="S18" s="41">
        <v>3</v>
      </c>
      <c r="T18" s="42">
        <v>2</v>
      </c>
      <c r="U18" s="43">
        <v>4</v>
      </c>
      <c r="V18" s="43">
        <v>4</v>
      </c>
      <c r="W18" s="41">
        <v>3</v>
      </c>
      <c r="X18" s="41">
        <v>3</v>
      </c>
      <c r="Y18" s="41">
        <v>3</v>
      </c>
      <c r="Z18" s="43">
        <v>4</v>
      </c>
      <c r="AA18" s="46">
        <v>4</v>
      </c>
    </row>
    <row r="19" spans="1:27" ht="48.75" thickBot="1">
      <c r="A19" s="45" t="s">
        <v>426</v>
      </c>
      <c r="B19" s="54" t="s">
        <v>31</v>
      </c>
      <c r="C19" s="7">
        <f t="shared" si="0"/>
        <v>13</v>
      </c>
      <c r="D19" s="42">
        <v>2</v>
      </c>
      <c r="E19" s="41">
        <v>3</v>
      </c>
      <c r="F19" s="41">
        <v>3</v>
      </c>
      <c r="G19" s="43">
        <v>4</v>
      </c>
      <c r="H19" s="43">
        <v>4</v>
      </c>
      <c r="I19" s="43">
        <v>4</v>
      </c>
      <c r="J19" s="41">
        <v>3</v>
      </c>
      <c r="K19" s="43">
        <v>4</v>
      </c>
      <c r="L19" s="41">
        <v>3</v>
      </c>
      <c r="M19" s="42">
        <v>2</v>
      </c>
      <c r="N19" s="43">
        <v>4</v>
      </c>
      <c r="O19" s="43">
        <v>4</v>
      </c>
      <c r="P19" s="41">
        <v>3</v>
      </c>
      <c r="Q19" s="41">
        <v>3</v>
      </c>
      <c r="R19" s="43">
        <v>4</v>
      </c>
      <c r="S19" s="41">
        <v>3</v>
      </c>
      <c r="T19" s="43">
        <v>4</v>
      </c>
      <c r="U19" s="43">
        <v>4</v>
      </c>
      <c r="V19" s="43">
        <v>4</v>
      </c>
      <c r="W19" s="43">
        <v>4</v>
      </c>
      <c r="X19" s="41">
        <v>3</v>
      </c>
      <c r="Y19" s="43">
        <v>4</v>
      </c>
      <c r="Z19" s="41">
        <v>3</v>
      </c>
      <c r="AA19" s="47">
        <v>3</v>
      </c>
    </row>
    <row r="20" spans="1:27" ht="24.75" thickBot="1">
      <c r="A20" s="45" t="s">
        <v>434</v>
      </c>
      <c r="B20" s="54" t="s">
        <v>435</v>
      </c>
      <c r="C20" s="7">
        <f t="shared" si="0"/>
        <v>14</v>
      </c>
      <c r="D20" s="41">
        <v>3</v>
      </c>
      <c r="E20" s="43">
        <v>4</v>
      </c>
      <c r="F20" s="41">
        <v>3</v>
      </c>
      <c r="G20" s="43">
        <v>4</v>
      </c>
      <c r="H20" s="43">
        <v>4</v>
      </c>
      <c r="I20" s="43">
        <v>4</v>
      </c>
      <c r="J20" s="43">
        <v>4</v>
      </c>
      <c r="K20" s="41">
        <v>3</v>
      </c>
      <c r="L20" s="41">
        <v>3</v>
      </c>
      <c r="M20" s="41">
        <v>3</v>
      </c>
      <c r="N20" s="42">
        <v>2</v>
      </c>
      <c r="O20" s="43">
        <v>4</v>
      </c>
      <c r="P20" s="41">
        <v>3</v>
      </c>
      <c r="Q20" s="42">
        <v>2</v>
      </c>
      <c r="R20" s="41">
        <v>3</v>
      </c>
      <c r="S20" s="43">
        <v>4</v>
      </c>
      <c r="T20" s="41">
        <v>3</v>
      </c>
      <c r="U20" s="44">
        <v>5</v>
      </c>
      <c r="V20" s="41">
        <v>3</v>
      </c>
      <c r="W20" s="43">
        <v>4</v>
      </c>
      <c r="X20" s="41">
        <v>3</v>
      </c>
      <c r="Y20" s="43">
        <v>4</v>
      </c>
      <c r="Z20" s="41">
        <v>3</v>
      </c>
      <c r="AA20" s="46">
        <v>4</v>
      </c>
    </row>
    <row r="21" spans="1:27" ht="24.75" thickBot="1">
      <c r="A21" s="45" t="s">
        <v>427</v>
      </c>
      <c r="B21" s="54" t="s">
        <v>88</v>
      </c>
      <c r="C21" s="7">
        <f t="shared" si="0"/>
        <v>14</v>
      </c>
      <c r="D21" s="41">
        <v>3</v>
      </c>
      <c r="E21" s="41">
        <v>3</v>
      </c>
      <c r="F21" s="43">
        <v>4</v>
      </c>
      <c r="G21" s="41">
        <v>3</v>
      </c>
      <c r="H21" s="43">
        <v>4</v>
      </c>
      <c r="I21" s="41">
        <v>3</v>
      </c>
      <c r="J21" s="41">
        <v>3</v>
      </c>
      <c r="K21" s="43">
        <v>4</v>
      </c>
      <c r="L21" s="41">
        <v>3</v>
      </c>
      <c r="M21" s="41">
        <v>3</v>
      </c>
      <c r="N21" s="43">
        <v>4</v>
      </c>
      <c r="O21" s="41">
        <v>3</v>
      </c>
      <c r="P21" s="41">
        <v>3</v>
      </c>
      <c r="Q21" s="43">
        <v>4</v>
      </c>
      <c r="R21" s="41">
        <v>3</v>
      </c>
      <c r="S21" s="41">
        <v>3</v>
      </c>
      <c r="T21" s="43">
        <v>4</v>
      </c>
      <c r="U21" s="43">
        <v>4</v>
      </c>
      <c r="V21" s="41">
        <v>3</v>
      </c>
      <c r="W21" s="43">
        <v>4</v>
      </c>
      <c r="X21" s="41">
        <v>3</v>
      </c>
      <c r="Y21" s="43">
        <v>4</v>
      </c>
      <c r="Z21" s="43">
        <v>4</v>
      </c>
      <c r="AA21" s="47">
        <v>3</v>
      </c>
    </row>
    <row r="22" spans="1:27" ht="24.75" thickBot="1">
      <c r="A22" s="45" t="s">
        <v>420</v>
      </c>
      <c r="B22" s="54" t="s">
        <v>70</v>
      </c>
      <c r="C22" s="7">
        <f t="shared" si="0"/>
        <v>15</v>
      </c>
      <c r="D22" s="41">
        <v>3</v>
      </c>
      <c r="E22" s="41">
        <v>3</v>
      </c>
      <c r="F22" s="41">
        <v>3</v>
      </c>
      <c r="G22" s="41">
        <v>3</v>
      </c>
      <c r="H22" s="43">
        <v>4</v>
      </c>
      <c r="I22" s="41">
        <v>3</v>
      </c>
      <c r="J22" s="41">
        <v>3</v>
      </c>
      <c r="K22" s="43">
        <v>4</v>
      </c>
      <c r="L22" s="42">
        <v>2</v>
      </c>
      <c r="M22" s="43">
        <v>4</v>
      </c>
      <c r="N22" s="43">
        <v>4</v>
      </c>
      <c r="O22" s="41">
        <v>3</v>
      </c>
      <c r="P22" s="41">
        <v>3</v>
      </c>
      <c r="Q22" s="43">
        <v>4</v>
      </c>
      <c r="R22" s="42">
        <v>2</v>
      </c>
      <c r="S22" s="43">
        <v>4</v>
      </c>
      <c r="T22" s="43">
        <v>4</v>
      </c>
      <c r="U22" s="43">
        <v>4</v>
      </c>
      <c r="V22" s="43">
        <v>4</v>
      </c>
      <c r="W22" s="41">
        <v>3</v>
      </c>
      <c r="X22" s="43">
        <v>4</v>
      </c>
      <c r="Y22" s="41">
        <v>3</v>
      </c>
      <c r="Z22" s="43">
        <v>4</v>
      </c>
      <c r="AA22" s="46">
        <v>4</v>
      </c>
    </row>
    <row r="23" spans="1:27" ht="24.75" thickBot="1">
      <c r="A23" s="45" t="s">
        <v>428</v>
      </c>
      <c r="B23" s="54" t="s">
        <v>120</v>
      </c>
      <c r="C23" s="7">
        <f t="shared" si="0"/>
        <v>13</v>
      </c>
      <c r="D23" s="41">
        <v>3</v>
      </c>
      <c r="E23" s="43">
        <v>4</v>
      </c>
      <c r="F23" s="43">
        <v>4</v>
      </c>
      <c r="G23" s="42">
        <v>2</v>
      </c>
      <c r="H23" s="43">
        <v>4</v>
      </c>
      <c r="I23" s="43">
        <v>4</v>
      </c>
      <c r="J23" s="41">
        <v>3</v>
      </c>
      <c r="K23" s="43">
        <v>4</v>
      </c>
      <c r="L23" s="41">
        <v>3</v>
      </c>
      <c r="M23" s="43">
        <v>4</v>
      </c>
      <c r="N23" s="41">
        <v>3</v>
      </c>
      <c r="O23" s="43">
        <v>4</v>
      </c>
      <c r="P23" s="41">
        <v>3</v>
      </c>
      <c r="Q23" s="43">
        <v>4</v>
      </c>
      <c r="R23" s="41">
        <v>3</v>
      </c>
      <c r="S23" s="43">
        <v>4</v>
      </c>
      <c r="T23" s="41">
        <v>3</v>
      </c>
      <c r="U23" s="41">
        <v>3</v>
      </c>
      <c r="V23" s="41">
        <v>3</v>
      </c>
      <c r="W23" s="43">
        <v>4</v>
      </c>
      <c r="X23" s="41">
        <v>3</v>
      </c>
      <c r="Y23" s="41">
        <v>3</v>
      </c>
      <c r="Z23" s="43">
        <v>4</v>
      </c>
      <c r="AA23" s="47">
        <v>3</v>
      </c>
    </row>
    <row r="24" spans="1:27" ht="24.75" thickBot="1">
      <c r="A24" s="45" t="s">
        <v>429</v>
      </c>
      <c r="B24" s="54" t="s">
        <v>37</v>
      </c>
      <c r="C24" s="7">
        <f t="shared" si="0"/>
        <v>16</v>
      </c>
      <c r="D24" s="41">
        <v>3</v>
      </c>
      <c r="E24" s="41">
        <v>3</v>
      </c>
      <c r="F24" s="43">
        <v>4</v>
      </c>
      <c r="G24" s="43">
        <v>4</v>
      </c>
      <c r="H24" s="41">
        <v>3</v>
      </c>
      <c r="I24" s="41">
        <v>3</v>
      </c>
      <c r="J24" s="41">
        <v>3</v>
      </c>
      <c r="K24" s="43">
        <v>4</v>
      </c>
      <c r="L24" s="43">
        <v>4</v>
      </c>
      <c r="M24" s="41">
        <v>3</v>
      </c>
      <c r="N24" s="42">
        <v>2</v>
      </c>
      <c r="O24" s="41">
        <v>3</v>
      </c>
      <c r="P24" s="41">
        <v>3</v>
      </c>
      <c r="Q24" s="43">
        <v>4</v>
      </c>
      <c r="R24" s="41">
        <v>3</v>
      </c>
      <c r="S24" s="43">
        <v>4</v>
      </c>
      <c r="T24" s="41">
        <v>3</v>
      </c>
      <c r="U24" s="43">
        <v>4</v>
      </c>
      <c r="V24" s="41">
        <v>3</v>
      </c>
      <c r="W24" s="41">
        <v>3</v>
      </c>
      <c r="X24" s="43">
        <v>4</v>
      </c>
      <c r="Y24" s="43">
        <v>4</v>
      </c>
      <c r="Z24" s="43">
        <v>4</v>
      </c>
      <c r="AA24" s="46">
        <v>4</v>
      </c>
    </row>
    <row r="25" spans="1:27" ht="24.75" thickBot="1">
      <c r="A25" s="45" t="s">
        <v>430</v>
      </c>
      <c r="B25" s="54" t="s">
        <v>431</v>
      </c>
      <c r="C25" s="7">
        <f t="shared" si="0"/>
        <v>14</v>
      </c>
      <c r="D25" s="41">
        <v>3</v>
      </c>
      <c r="E25" s="42">
        <v>2</v>
      </c>
      <c r="F25" s="41">
        <v>3</v>
      </c>
      <c r="G25" s="43">
        <v>4</v>
      </c>
      <c r="H25" s="43">
        <v>4</v>
      </c>
      <c r="I25" s="43">
        <v>4</v>
      </c>
      <c r="J25" s="41">
        <v>3</v>
      </c>
      <c r="K25" s="42">
        <v>2</v>
      </c>
      <c r="L25" s="43">
        <v>4</v>
      </c>
      <c r="M25" s="41">
        <v>3</v>
      </c>
      <c r="N25" s="43">
        <v>4</v>
      </c>
      <c r="O25" s="41">
        <v>3</v>
      </c>
      <c r="P25" s="41">
        <v>3</v>
      </c>
      <c r="Q25" s="41">
        <v>3</v>
      </c>
      <c r="R25" s="43">
        <v>4</v>
      </c>
      <c r="S25" s="41">
        <v>3</v>
      </c>
      <c r="T25" s="43">
        <v>4</v>
      </c>
      <c r="U25" s="44">
        <v>5</v>
      </c>
      <c r="V25" s="41">
        <v>3</v>
      </c>
      <c r="W25" s="43">
        <v>4</v>
      </c>
      <c r="X25" s="43">
        <v>4</v>
      </c>
      <c r="Y25" s="41">
        <v>3</v>
      </c>
      <c r="Z25" s="41">
        <v>3</v>
      </c>
      <c r="AA25" s="46">
        <v>4</v>
      </c>
    </row>
    <row r="26" spans="1:27" ht="24.75" thickBot="1">
      <c r="A26" s="45" t="s">
        <v>421</v>
      </c>
      <c r="B26" s="54" t="s">
        <v>35</v>
      </c>
      <c r="C26" s="7">
        <f t="shared" si="0"/>
        <v>16</v>
      </c>
      <c r="D26" s="42">
        <v>2</v>
      </c>
      <c r="E26" s="43">
        <v>4</v>
      </c>
      <c r="F26" s="43">
        <v>4</v>
      </c>
      <c r="G26" s="43">
        <v>4</v>
      </c>
      <c r="H26" s="41">
        <v>3</v>
      </c>
      <c r="I26" s="41">
        <v>3</v>
      </c>
      <c r="J26" s="43">
        <v>4</v>
      </c>
      <c r="K26" s="41">
        <v>3</v>
      </c>
      <c r="L26" s="43">
        <v>4</v>
      </c>
      <c r="M26" s="42">
        <v>2</v>
      </c>
      <c r="N26" s="41">
        <v>3</v>
      </c>
      <c r="O26" s="43">
        <v>4</v>
      </c>
      <c r="P26" s="42">
        <v>2</v>
      </c>
      <c r="Q26" s="43">
        <v>4</v>
      </c>
      <c r="R26" s="43">
        <v>4</v>
      </c>
      <c r="S26" s="43">
        <v>4</v>
      </c>
      <c r="T26" s="41">
        <v>3</v>
      </c>
      <c r="U26" s="43">
        <v>4</v>
      </c>
      <c r="V26" s="42">
        <v>2</v>
      </c>
      <c r="W26" s="41">
        <v>3</v>
      </c>
      <c r="X26" s="43">
        <v>4</v>
      </c>
      <c r="Y26" s="43">
        <v>4</v>
      </c>
      <c r="Z26" s="43">
        <v>4</v>
      </c>
      <c r="AA26" s="46">
        <v>4</v>
      </c>
    </row>
    <row r="27" spans="1:27" ht="24.75" thickBot="1">
      <c r="A27" s="45" t="s">
        <v>404</v>
      </c>
      <c r="B27" s="54" t="s">
        <v>94</v>
      </c>
      <c r="C27" s="7">
        <f t="shared" si="0"/>
        <v>13</v>
      </c>
      <c r="D27" s="41">
        <v>3</v>
      </c>
      <c r="E27" s="41">
        <v>3</v>
      </c>
      <c r="F27" s="43">
        <v>4</v>
      </c>
      <c r="G27" s="41">
        <v>3</v>
      </c>
      <c r="H27" s="43">
        <v>4</v>
      </c>
      <c r="I27" s="43">
        <v>4</v>
      </c>
      <c r="J27" s="41">
        <v>3</v>
      </c>
      <c r="K27" s="41">
        <v>3</v>
      </c>
      <c r="L27" s="43">
        <v>4</v>
      </c>
      <c r="M27" s="41">
        <v>3</v>
      </c>
      <c r="N27" s="43">
        <v>4</v>
      </c>
      <c r="O27" s="43">
        <v>4</v>
      </c>
      <c r="P27" s="43">
        <v>4</v>
      </c>
      <c r="Q27" s="42">
        <v>2</v>
      </c>
      <c r="R27" s="41">
        <v>3</v>
      </c>
      <c r="S27" s="43">
        <v>4</v>
      </c>
      <c r="T27" s="41">
        <v>3</v>
      </c>
      <c r="U27" s="43">
        <v>4</v>
      </c>
      <c r="V27" s="43">
        <v>4</v>
      </c>
      <c r="W27" s="41">
        <v>3</v>
      </c>
      <c r="X27" s="43">
        <v>4</v>
      </c>
      <c r="Y27" s="42">
        <v>2</v>
      </c>
      <c r="Z27" s="43">
        <v>4</v>
      </c>
      <c r="AA27" s="47">
        <v>3</v>
      </c>
    </row>
    <row r="28" spans="1:27" ht="24.75" thickBot="1">
      <c r="A28" s="45" t="s">
        <v>422</v>
      </c>
      <c r="B28" s="54" t="s">
        <v>108</v>
      </c>
      <c r="C28" s="7">
        <f t="shared" si="0"/>
        <v>14</v>
      </c>
      <c r="D28" s="41">
        <v>3</v>
      </c>
      <c r="E28" s="41">
        <v>3</v>
      </c>
      <c r="F28" s="43">
        <v>4</v>
      </c>
      <c r="G28" s="41">
        <v>3</v>
      </c>
      <c r="H28" s="42">
        <v>2</v>
      </c>
      <c r="I28" s="41">
        <v>3</v>
      </c>
      <c r="J28" s="41">
        <v>3</v>
      </c>
      <c r="K28" s="44">
        <v>5</v>
      </c>
      <c r="L28" s="41">
        <v>3</v>
      </c>
      <c r="M28" s="41">
        <v>3</v>
      </c>
      <c r="N28" s="43">
        <v>4</v>
      </c>
      <c r="O28" s="43">
        <v>4</v>
      </c>
      <c r="P28" s="43">
        <v>4</v>
      </c>
      <c r="Q28" s="43">
        <v>4</v>
      </c>
      <c r="R28" s="43">
        <v>4</v>
      </c>
      <c r="S28" s="42">
        <v>2</v>
      </c>
      <c r="T28" s="41">
        <v>3</v>
      </c>
      <c r="U28" s="43">
        <v>4</v>
      </c>
      <c r="V28" s="41">
        <v>3</v>
      </c>
      <c r="W28" s="43">
        <v>4</v>
      </c>
      <c r="X28" s="43">
        <v>4</v>
      </c>
      <c r="Y28" s="42">
        <v>2</v>
      </c>
      <c r="Z28" s="43">
        <v>4</v>
      </c>
      <c r="AA28" s="46">
        <v>4</v>
      </c>
    </row>
    <row r="29" spans="1:27" ht="24.75" thickBot="1">
      <c r="A29" s="45" t="s">
        <v>423</v>
      </c>
      <c r="B29" s="54" t="s">
        <v>57</v>
      </c>
      <c r="C29" s="7">
        <f t="shared" si="0"/>
        <v>15</v>
      </c>
      <c r="D29" s="41">
        <v>3</v>
      </c>
      <c r="E29" s="43">
        <v>4</v>
      </c>
      <c r="F29" s="43">
        <v>4</v>
      </c>
      <c r="G29" s="41">
        <v>3</v>
      </c>
      <c r="H29" s="43">
        <v>4</v>
      </c>
      <c r="I29" s="41">
        <v>3</v>
      </c>
      <c r="J29" s="41">
        <v>3</v>
      </c>
      <c r="K29" s="42">
        <v>2</v>
      </c>
      <c r="L29" s="43">
        <v>4</v>
      </c>
      <c r="M29" s="41">
        <v>3</v>
      </c>
      <c r="N29" s="41">
        <v>3</v>
      </c>
      <c r="O29" s="43">
        <v>4</v>
      </c>
      <c r="P29" s="41">
        <v>3</v>
      </c>
      <c r="Q29" s="43">
        <v>4</v>
      </c>
      <c r="R29" s="41">
        <v>3</v>
      </c>
      <c r="S29" s="41">
        <v>3</v>
      </c>
      <c r="T29" s="43">
        <v>4</v>
      </c>
      <c r="U29" s="43">
        <v>4</v>
      </c>
      <c r="V29" s="41">
        <v>3</v>
      </c>
      <c r="W29" s="41">
        <v>3</v>
      </c>
      <c r="X29" s="43">
        <v>4</v>
      </c>
      <c r="Y29" s="41">
        <v>3</v>
      </c>
      <c r="Z29" s="43">
        <v>4</v>
      </c>
      <c r="AA29" s="46">
        <v>4</v>
      </c>
    </row>
    <row r="30" spans="1:27" ht="24.75" thickBot="1">
      <c r="A30" s="45" t="s">
        <v>410</v>
      </c>
      <c r="B30" s="54" t="s">
        <v>67</v>
      </c>
      <c r="C30" s="7">
        <f t="shared" si="0"/>
        <v>15</v>
      </c>
      <c r="D30" s="42">
        <v>2</v>
      </c>
      <c r="E30" s="43">
        <v>4</v>
      </c>
      <c r="F30" s="43">
        <v>4</v>
      </c>
      <c r="G30" s="41">
        <v>3</v>
      </c>
      <c r="H30" s="41">
        <v>3</v>
      </c>
      <c r="I30" s="43">
        <v>4</v>
      </c>
      <c r="J30" s="41">
        <v>3</v>
      </c>
      <c r="K30" s="41">
        <v>3</v>
      </c>
      <c r="L30" s="41">
        <v>3</v>
      </c>
      <c r="M30" s="41">
        <v>3</v>
      </c>
      <c r="N30" s="43">
        <v>4</v>
      </c>
      <c r="O30" s="43">
        <v>4</v>
      </c>
      <c r="P30" s="41">
        <v>3</v>
      </c>
      <c r="Q30" s="43">
        <v>4</v>
      </c>
      <c r="R30" s="43">
        <v>4</v>
      </c>
      <c r="S30" s="42">
        <v>2</v>
      </c>
      <c r="T30" s="41">
        <v>3</v>
      </c>
      <c r="U30" s="43">
        <v>4</v>
      </c>
      <c r="V30" s="41">
        <v>3</v>
      </c>
      <c r="W30" s="43">
        <v>4</v>
      </c>
      <c r="X30" s="43">
        <v>4</v>
      </c>
      <c r="Y30" s="43">
        <v>4</v>
      </c>
      <c r="Z30" s="41">
        <v>3</v>
      </c>
      <c r="AA30" s="46">
        <v>4</v>
      </c>
    </row>
    <row r="31" spans="1:27" ht="24.75" thickBot="1">
      <c r="A31" s="48" t="s">
        <v>411</v>
      </c>
      <c r="B31" s="54" t="s">
        <v>40</v>
      </c>
      <c r="C31" s="7">
        <f t="shared" si="0"/>
        <v>16</v>
      </c>
      <c r="D31" s="49">
        <v>2</v>
      </c>
      <c r="E31" s="50">
        <v>4</v>
      </c>
      <c r="F31" s="50">
        <v>4</v>
      </c>
      <c r="G31" s="49">
        <v>2</v>
      </c>
      <c r="H31" s="50">
        <v>4</v>
      </c>
      <c r="I31" s="50">
        <v>4</v>
      </c>
      <c r="J31" s="50">
        <v>4</v>
      </c>
      <c r="K31" s="51">
        <v>3</v>
      </c>
      <c r="L31" s="50">
        <v>4</v>
      </c>
      <c r="M31" s="51">
        <v>3</v>
      </c>
      <c r="N31" s="51">
        <v>3</v>
      </c>
      <c r="O31" s="50">
        <v>4</v>
      </c>
      <c r="P31" s="51">
        <v>3</v>
      </c>
      <c r="Q31" s="50">
        <v>4</v>
      </c>
      <c r="R31" s="49">
        <v>2</v>
      </c>
      <c r="S31" s="51">
        <v>3</v>
      </c>
      <c r="T31" s="51">
        <v>3</v>
      </c>
      <c r="U31" s="50">
        <v>4</v>
      </c>
      <c r="V31" s="51">
        <v>3</v>
      </c>
      <c r="W31" s="51">
        <v>3</v>
      </c>
      <c r="X31" s="50">
        <v>4</v>
      </c>
      <c r="Y31" s="50">
        <v>4</v>
      </c>
      <c r="Z31" s="50">
        <v>4</v>
      </c>
      <c r="AA31" s="52">
        <v>4</v>
      </c>
    </row>
    <row r="32" spans="1:27" ht="20.25">
      <c r="A32" s="6"/>
      <c r="B32" s="6"/>
    </row>
    <row r="33" spans="1:2" ht="20.25">
      <c r="A33" s="6"/>
      <c r="B33" s="6"/>
    </row>
    <row r="34" spans="1:2" ht="20.25">
      <c r="A34" s="6"/>
      <c r="B34" s="6"/>
    </row>
    <row r="35" spans="1:2" ht="20.25">
      <c r="A35" s="6"/>
      <c r="B35" s="6"/>
    </row>
    <row r="36" spans="1:2" ht="20.25">
      <c r="A36" s="6"/>
      <c r="B36" s="6"/>
    </row>
    <row r="37" spans="1:2" ht="20.25">
      <c r="A37" s="6"/>
      <c r="B37" s="6"/>
    </row>
    <row r="38" spans="1:2" ht="20.25">
      <c r="A38" s="6"/>
      <c r="B38" s="6"/>
    </row>
    <row r="39" spans="1:2" ht="20.25">
      <c r="A39" s="6"/>
      <c r="B39" s="6"/>
    </row>
    <row r="40" spans="1:2" ht="20.25">
      <c r="A40" s="6"/>
      <c r="B40" s="6"/>
    </row>
    <row r="41" spans="1:2" ht="20.25">
      <c r="A41" s="6"/>
      <c r="B41" s="6"/>
    </row>
    <row r="42" spans="1:2" ht="20.25">
      <c r="A42" s="6"/>
      <c r="B42" s="6"/>
    </row>
    <row r="43" spans="1:2" ht="20.25">
      <c r="A43" s="6"/>
      <c r="B43" s="6"/>
    </row>
    <row r="44" spans="1:2" ht="20.25">
      <c r="A44" s="6"/>
      <c r="B44" s="6"/>
    </row>
    <row r="45" spans="1:2" ht="20.25">
      <c r="A45" s="6"/>
      <c r="B45" s="6"/>
    </row>
    <row r="46" spans="1:2" ht="20.25">
      <c r="A46" s="6"/>
      <c r="B46" s="6"/>
    </row>
    <row r="47" spans="1:2" ht="20.25">
      <c r="A47" s="6"/>
      <c r="B47" s="6"/>
    </row>
    <row r="48" spans="1:2" ht="20.25">
      <c r="A48" s="6"/>
      <c r="B48" s="6"/>
    </row>
    <row r="49" spans="1:2" ht="20.25">
      <c r="A49" s="6"/>
      <c r="B49" s="6"/>
    </row>
    <row r="50" spans="1:2" ht="20.25">
      <c r="A50" s="6"/>
      <c r="B50" s="6"/>
    </row>
    <row r="51" spans="1:2" ht="20.25">
      <c r="A51" s="6"/>
      <c r="B51" s="6"/>
    </row>
    <row r="52" spans="1:2" ht="20.25">
      <c r="A52" s="6"/>
      <c r="B52" s="6"/>
    </row>
    <row r="53" spans="1:2" ht="20.25">
      <c r="A53" s="6"/>
      <c r="B53" s="6"/>
    </row>
    <row r="54" spans="1:2" ht="20.25">
      <c r="A54" s="6"/>
      <c r="B54" s="6"/>
    </row>
    <row r="55" spans="1:2" ht="20.25">
      <c r="A55" s="6"/>
      <c r="B55" s="6"/>
    </row>
    <row r="56" spans="1:2" ht="20.25">
      <c r="A56" s="6"/>
      <c r="B56" s="6"/>
    </row>
    <row r="57" spans="1:2" ht="20.25">
      <c r="A57" s="6"/>
      <c r="B57" s="6"/>
    </row>
    <row r="58" spans="1:2" ht="20.25">
      <c r="A58" s="6"/>
      <c r="B58" s="6"/>
    </row>
    <row r="59" spans="1:2" ht="20.25">
      <c r="A59" s="6"/>
      <c r="B59" s="6"/>
    </row>
    <row r="60" spans="1:2" ht="20.25">
      <c r="A60" s="6"/>
      <c r="B60" s="6"/>
    </row>
    <row r="61" spans="1:2" ht="20.25">
      <c r="A61" s="6"/>
      <c r="B61" s="6"/>
    </row>
    <row r="62" spans="1:2" ht="20.25">
      <c r="A62" s="6"/>
      <c r="B62" s="6"/>
    </row>
    <row r="63" spans="1:2" ht="20.25">
      <c r="A63" s="6"/>
      <c r="B63" s="6"/>
    </row>
    <row r="64" spans="1:2" ht="20.25">
      <c r="A64" s="6"/>
      <c r="B64" s="6"/>
    </row>
    <row r="65" spans="1:2" ht="20.25">
      <c r="A65" s="6"/>
      <c r="B65" s="6"/>
    </row>
    <row r="66" spans="1:2" ht="20.25">
      <c r="A66" s="6"/>
      <c r="B66" s="6"/>
    </row>
    <row r="67" spans="1:2" ht="20.25">
      <c r="A67" s="6"/>
      <c r="B67" s="6"/>
    </row>
    <row r="68" spans="1:2" ht="20.25">
      <c r="A68" s="6"/>
      <c r="B68" s="6"/>
    </row>
    <row r="69" spans="1:2" ht="20.25">
      <c r="A69" s="6"/>
      <c r="B69" s="6"/>
    </row>
    <row r="70" spans="1:2" ht="20.25">
      <c r="A70" s="6"/>
      <c r="B70" s="6"/>
    </row>
    <row r="71" spans="1:2" ht="20.25">
      <c r="A71" s="6"/>
      <c r="B71" s="6"/>
    </row>
    <row r="72" spans="1:2" ht="20.25">
      <c r="A72" s="6"/>
      <c r="B72" s="6"/>
    </row>
    <row r="73" spans="1:2" ht="20.25">
      <c r="A73" s="6"/>
      <c r="B73" s="6"/>
    </row>
    <row r="74" spans="1:2" ht="20.25">
      <c r="A74" s="6"/>
      <c r="B74" s="6"/>
    </row>
    <row r="75" spans="1:2" ht="20.25">
      <c r="A75" s="6"/>
      <c r="B75" s="6"/>
    </row>
    <row r="76" spans="1:2" ht="20.25">
      <c r="A76" s="6"/>
      <c r="B76" s="6"/>
    </row>
    <row r="77" spans="1:2" ht="20.25">
      <c r="A77" s="6"/>
      <c r="B77" s="6"/>
    </row>
    <row r="78" spans="1:2" ht="20.25">
      <c r="A78" s="6"/>
      <c r="B78" s="6"/>
    </row>
    <row r="79" spans="1:2" ht="20.25">
      <c r="A79" s="6"/>
      <c r="B79" s="6"/>
    </row>
    <row r="80" spans="1:2" ht="20.25">
      <c r="A80" s="6"/>
      <c r="B80" s="6"/>
    </row>
    <row r="81" spans="1:2" ht="20.25">
      <c r="A81" s="6"/>
      <c r="B81" s="6"/>
    </row>
    <row r="82" spans="1:2" ht="20.25">
      <c r="A82" s="6"/>
      <c r="B82" s="6"/>
    </row>
    <row r="83" spans="1:2" ht="20.25">
      <c r="A83" s="6"/>
      <c r="B83" s="6"/>
    </row>
    <row r="84" spans="1:2" ht="20.25">
      <c r="A84" s="6"/>
      <c r="B84" s="6"/>
    </row>
    <row r="85" spans="1:2" ht="20.25">
      <c r="A85" s="6"/>
      <c r="B85" s="6"/>
    </row>
    <row r="86" spans="1:2" ht="20.25">
      <c r="A86" s="6"/>
      <c r="B86" s="6"/>
    </row>
    <row r="87" spans="1:2" ht="20.25">
      <c r="A87" s="6"/>
      <c r="B87" s="6"/>
    </row>
    <row r="88" spans="1:2" ht="20.25">
      <c r="A88" s="6"/>
      <c r="B88" s="6"/>
    </row>
  </sheetData>
  <conditionalFormatting sqref="C2:C3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BBM2022</vt:lpstr>
      <vt:lpstr>Fantasypros</vt:lpstr>
      <vt:lpstr>Valorisation</vt:lpstr>
      <vt:lpstr>RNK cats</vt:lpstr>
      <vt:lpstr>My Team</vt:lpstr>
      <vt:lpstr>Schedule</vt:lpstr>
    </vt:vector>
  </TitlesOfParts>
  <Manager/>
  <Company>FB-NINJA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Player Rankings</dc:title>
  <dc:subject/>
  <dc:creator>FB-NINJA</dc:creator>
  <cp:keywords/>
  <dc:description/>
  <cp:lastModifiedBy>Otto Carpentier</cp:lastModifiedBy>
  <cp:revision/>
  <dcterms:created xsi:type="dcterms:W3CDTF">2021-10-12T12:36:06Z</dcterms:created>
  <dcterms:modified xsi:type="dcterms:W3CDTF">2021-10-13T09:16:57Z</dcterms:modified>
  <cp:category/>
  <cp:contentStatus/>
</cp:coreProperties>
</file>